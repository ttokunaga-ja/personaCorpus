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8c6ad70c1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wing Register" sheetId="1" r:id="R4836c7fde44845c2"/>
    <x:sheet xmlns:r="http://schemas.openxmlformats.org/officeDocument/2006/relationships" name="Issues" sheetId="2" r:id="Reef78c61eed04f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9"/>
      <x:color rgb="FF44515C"/>
      <x:name val="Carlito"/>
    </x:font>
    <x:font>
      <x:b/>
      <x:sz val="11"/>
      <x:color rgb="FFFFFFFF"/>
      <x:name val="Carlito"/>
    </x:font>
    <x:font>
      <x:b/>
      <x:sz val="13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EAF0F4"/>
      </x:patternFill>
    </x:fill>
    <x:fill>
      <x:patternFill patternType="solid">
        <x:fgColor rgb="FF4E7E98"/>
      </x:patternFill>
    </x:fill>
    <x:fill>
      <x:patternFill patternType="solid">
        <x:fgColor rgb="FFF2F6F8"/>
      </x:patternFill>
    </x:fill>
  </x:fills>
  <x:borders count="14">
    <x:border/>
    <x:border>
      <x:left style="thin">
        <x:color rgb="FF9CB2C1"/>
      </x:left>
      <x:top style="thin">
        <x:color rgb="FF9CB2C1"/>
      </x:top>
      <x:bottom style="thin">
        <x:color rgb="FF9CB2C1"/>
      </x:bottom>
    </x:border>
    <x:border>
      <x:top style="thin">
        <x:color rgb="FF9CB2C1"/>
      </x:top>
      <x:bottom style="thin">
        <x:color rgb="FF9CB2C1"/>
      </x:bottom>
    </x:border>
    <x:border>
      <x:right style="thin">
        <x:color rgb="FF9CB2C1"/>
      </x:right>
      <x:top style="thin">
        <x:color rgb="FF9CB2C1"/>
      </x:top>
      <x:bottom style="thin">
        <x:color rgb="FF9CB2C1"/>
      </x:bottom>
    </x:border>
    <x:border>
      <x:right style="thin">
        <x:color rgb="FFD4DEE5"/>
      </x:right>
      <x:bottom style="thin">
        <x:color rgb="FFD4DEE5"/>
      </x:bottom>
    </x:border>
    <x:border>
      <x:left style="thin">
        <x:color rgb="FFD4DEE5"/>
      </x:left>
      <x:right style="thin">
        <x:color rgb="FFD4DEE5"/>
      </x:right>
      <x:bottom style="thin">
        <x:color rgb="FFD4DEE5"/>
      </x:bottom>
    </x:border>
    <x:border>
      <x:left style="thin">
        <x:color rgb="FFD4DEE5"/>
      </x:left>
      <x:bottom style="thin">
        <x:color rgb="FFD4DEE5"/>
      </x:bottom>
    </x:border>
    <x:border>
      <x:right style="thin">
        <x:color rgb="FFD4DEE5"/>
      </x:right>
      <x:top style="thin">
        <x:color rgb="FFD4DEE5"/>
      </x:top>
      <x:bottom style="thin">
        <x:color rgb="FFD4DEE5"/>
      </x:bottom>
    </x:border>
    <x:border>
      <x:left style="thin">
        <x:color rgb="FFD4DEE5"/>
      </x:left>
      <x:right style="thin">
        <x:color rgb="FFD4DEE5"/>
      </x:right>
      <x:top style="thin">
        <x:color rgb="FFD4DEE5"/>
      </x:top>
      <x:bottom style="thin">
        <x:color rgb="FFD4DEE5"/>
      </x:bottom>
    </x:border>
    <x:border>
      <x:left style="thin">
        <x:color rgb="FFD4DEE5"/>
      </x:left>
      <x:top style="thin">
        <x:color rgb="FFD4DEE5"/>
      </x:top>
      <x:bottom style="thin">
        <x:color rgb="FFD4DEE5"/>
      </x:bottom>
    </x:border>
    <x:border>
      <x:right style="thin">
        <x:color rgb="FFD4DEE5"/>
      </x:right>
      <x:top style="thin">
        <x:color rgb="FFD4DEE5"/>
      </x:top>
    </x:border>
    <x:border>
      <x:left style="thin">
        <x:color rgb="FFD4DEE5"/>
      </x:left>
      <x:right style="thin">
        <x:color rgb="FFD4DEE5"/>
      </x:right>
      <x:top style="thin">
        <x:color rgb="FFD4DEE5"/>
      </x:top>
    </x:border>
    <x:border>
      <x:left style="thin">
        <x:color rgb="FFD4DEE5"/>
      </x:left>
      <x:top style="thin">
        <x:color rgb="FFD4DEE5"/>
      </x:top>
    </x:border>
    <x:border>
      <x:left style="thin">
        <x:color rgb="FFB7C7D1"/>
      </x:left>
      <x:right style="thin">
        <x:color rgb="FFB7C7D1"/>
      </x:right>
      <x:top style="thin">
        <x:color rgb="FFB7C7D1"/>
      </x:top>
      <x:bottom style="thin">
        <x:color rgb="FFB7C7D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3" fillId="4" borderId="13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horizontal="center" vertical="top" wrapText="1"/>
    </x:xf>
    <x:xf numFmtId="201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8A5A00"/>
      </x:font>
      <x:fill>
        <x:patternFill patternType="solid">
          <x:bgColor rgb="FFFFF5D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388927a5e4973" /><Relationship Type="http://schemas.openxmlformats.org/officeDocument/2006/relationships/theme" Target="/xl/theme/theme1.xml" Id="R5d32869cc63a4f2f" /><Relationship Type="http://schemas.openxmlformats.org/officeDocument/2006/relationships/sharedStrings" Target="/xl/sharedStrings.xml" Id="R23883e3b786e4516" /><Relationship Type="http://schemas.openxmlformats.org/officeDocument/2006/relationships/worksheet" Target="/xl/worksheets/sheet1.xml" Id="R4836c7fde44845c2" /><Relationship Type="http://schemas.openxmlformats.org/officeDocument/2006/relationships/worksheet" Target="/xl/worksheets/sheet2.xml" Id="Reef78c61eed04f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9" hidden="0" customWidth="1"/>
    <x:col min="4" max="4" width="10" hidden="0" customWidth="1"/>
    <x:col min="5" max="5" width="13" hidden="0" customWidth="1"/>
    <x:col min="6" max="6" width="22" hidden="0" customWidth="1"/>
    <x:col min="7" max="7" width="39" hidden="0" customWidth="1"/>
    <x:col min="8" max="8" width="14" hidden="0" customWidth="1"/>
    <x:col min="9" max="9" width="38" hidden="0" customWidth="1"/>
  </x:cols>
  <x:sheetData>
    <x:row r="1" ht="30" customHeight="1">
      <x:c r="A1" s="4" t="str">
        <x:v>Harbor Build - Project Beta Drawing Register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7" t="str">
        <x:v>Design phase | Status date: 2026-07-29 | Synthetic portfolio record | Project Alpha CO-014 is not a Project Beta cost authorization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0" t="str">
        <x:v>Drawings</x:v>
      </x:c>
      <x:c r="B3" s="10" t="str">
        <x:v>Open issues</x:v>
      </x:c>
      <x:c r="C3" s="10" t="str">
        <x:v>Preliminary issue</x:v>
      </x:c>
      <x:c r="D3" s="10" t="str">
        <x:v>Status date</x:v>
      </x:c>
    </x:row>
    <x:row r="4">
      <x:c r="A4" s="16" t="n">
        <x:f>COUNTA(A8:A11)</x:f>
        <x:v>4</x:v>
      </x:c>
      <x:c r="B4" s="17" t="n">
        <x:f>COUNTIF(H8:H11,"Open")</x:f>
        <x:v>3</x:v>
      </x:c>
      <x:c r="C4" s="17" t="n">
        <x:f>COUNTIF(H8:H11,"Preliminary")</x:f>
        <x:v>1</x:v>
      </x:c>
      <x:c r="D4" s="19" t="n">
        <x:f>B5</x:f>
        <x:v>46232</x:v>
      </x:c>
    </x:row>
    <x:row r="5">
      <x:c r="A5" s="21" t="str">
        <x:v>Issue Date</x:v>
      </x:c>
      <x:c r="B5" s="21" t="n">
        <x:v>46232</x:v>
      </x:c>
    </x:row>
    <x:row r="7">
      <x:c r="A7" s="55" t="str">
        <x:v>Sheet No.</x:v>
      </x:c>
      <x:c r="B7" s="55" t="str">
        <x:v>Title</x:v>
      </x:c>
      <x:c r="C7" s="55" t="str">
        <x:v>Discipline</x:v>
      </x:c>
      <x:c r="D7" s="55" t="str">
        <x:v>Revision</x:v>
      </x:c>
      <x:c r="E7" s="55" t="str">
        <x:v>Issue Date</x:v>
      </x:c>
      <x:c r="F7" s="55" t="str">
        <x:v>Issue Purpose</x:v>
      </x:c>
      <x:c r="G7" s="55" t="str">
        <x:v>File</x:v>
      </x:c>
      <x:c r="H7" s="55" t="str">
        <x:v>Status</x:v>
      </x:c>
      <x:c r="I7" s="55" t="str">
        <x:v>Coordination note</x:v>
      </x:c>
    </x:row>
    <x:row r="8" ht="36" customHeight="1">
      <x:c r="A8" s="56" t="str">
        <x:v>A1.10</x:v>
      </x:c>
      <x:c r="B8" s="56" t="str">
        <x:v>Ground Floor Plan</x:v>
      </x:c>
      <x:c r="C8" s="56" t="str">
        <x:v>Architectural</x:v>
      </x:c>
      <x:c r="D8" s="56" t="str">
        <x:v>P1</x:v>
      </x:c>
      <x:c r="E8" s="57" t="n">
        <x:v>46232</x:v>
      </x:c>
      <x:c r="F8" s="56" t="str">
        <x:v>Preliminary coordination</x:v>
      </x:c>
      <x:c r="G8" s="56" t="str">
        <x:v>00-project-beta-ground-floor-plan-scan.png</x:v>
      </x:c>
      <x:c r="H8" s="56" t="str">
        <x:v>Preliminary</x:v>
      </x:c>
      <x:c r="I8" s="56" t="str">
        <x:v>Confirm entry canopy extent and accessible route note.</x:v>
      </x:c>
    </x:row>
    <x:row r="9" ht="36" customHeight="1">
      <x:c r="A9" s="56" t="str">
        <x:v>S1.02</x:v>
      </x:c>
      <x:c r="B9" s="56" t="str">
        <x:v>Foundation Layout</x:v>
      </x:c>
      <x:c r="C9" s="56" t="str">
        <x:v>Structural</x:v>
      </x:c>
      <x:c r="D9" s="56" t="str">
        <x:v>P1</x:v>
      </x:c>
      <x:c r="E9" s="57" t="n">
        <x:v>46232</x:v>
      </x:c>
      <x:c r="F9" s="56" t="str">
        <x:v>Preliminary coordination</x:v>
      </x:c>
      <x:c r="G9" s="56" t="str">
        <x:v>01-project-beta-foundation-layout-markup.png</x:v>
      </x:c>
      <x:c r="H9" s="56" t="str">
        <x:v>Open</x:v>
      </x:c>
      <x:c r="I9" s="56" t="str">
        <x:v>Verify pier alignment at Grid C and service trench depth.</x:v>
      </x:c>
    </x:row>
    <x:row r="10" ht="36" customHeight="1">
      <x:c r="A10" s="56" t="str">
        <x:v>A1.41</x:v>
      </x:c>
      <x:c r="B10" s="56" t="str">
        <x:v>Roof Coordination</x:v>
      </x:c>
      <x:c r="C10" s="56" t="str">
        <x:v>Architectural / MEP</x:v>
      </x:c>
      <x:c r="D10" s="56" t="str">
        <x:v>P1</x:v>
      </x:c>
      <x:c r="E10" s="57" t="n">
        <x:v>46232</x:v>
      </x:c>
      <x:c r="F10" s="56" t="str">
        <x:v>Preliminary coordination</x:v>
      </x:c>
      <x:c r="G10" s="56" t="str">
        <x:v>02-project-beta-roof-plan-coordination-overlay.png</x:v>
      </x:c>
      <x:c r="H10" s="56" t="str">
        <x:v>Open</x:v>
      </x:c>
      <x:c r="I10" s="56" t="str">
        <x:v>Clear MEP route at curbs; confirm slope to drain.</x:v>
      </x:c>
    </x:row>
    <x:row r="11" ht="36" customHeight="1">
      <x:c r="A11" s="56" t="str">
        <x:v>A3.20</x:v>
      </x:c>
      <x:c r="B11" s="56" t="str">
        <x:v>West Elevation</x:v>
      </x:c>
      <x:c r="C11" s="56" t="str">
        <x:v>Architectural</x:v>
      </x:c>
      <x:c r="D11" s="56" t="str">
        <x:v>P1</x:v>
      </x:c>
      <x:c r="E11" s="57" t="n">
        <x:v>46232</x:v>
      </x:c>
      <x:c r="F11" s="56" t="str">
        <x:v>Preliminary coordination</x:v>
      </x:c>
      <x:c r="G11" s="56" t="str">
        <x:v>03-project-beta-west-elevation-field-annotation.png</x:v>
      </x:c>
      <x:c r="H11" s="56" t="str">
        <x:v>Open</x:v>
      </x:c>
      <x:c r="I11" s="56" t="str">
        <x:v>Align siding at sill; confirm canopy soffit material.</x:v>
      </x:c>
    </x:row>
  </x:sheetData>
  <x:mergeCells>
    <x:mergeCell ref="A1:I1"/>
    <x:mergeCell ref="A2:I2"/>
  </x:mergeCells>
  <x:conditionalFormatting sqref="H8:H11">
    <x:cfRule type="containsText" dxfId="0" priority="1" operator="containsText" text="Open"/>
    <x:cfRule type="containsText" dxfId="1" priority="2" operator="containsText" text="Preliminary"/>
  </x:conditionalFormatting>
  <x:dataValidations count="1">
    <x:dataValidation type="list" sqref="H8:H11">
      <x:formula1>"Open,Preliminary,Closed"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46" hidden="0" customWidth="1"/>
    <x:col min="4" max="4" width="24" hidden="0" customWidth="1"/>
    <x:col min="5" max="5" width="12" hidden="0" customWidth="1"/>
    <x:col min="6" max="6" width="14" hidden="0" customWidth="1"/>
    <x:col min="7" max="7" width="12" hidden="0" customWidth="1"/>
  </x:cols>
  <x:sheetData>
    <x:row r="1">
      <x:c r="A1" s="59" t="str">
        <x:v>Project Beta - Drawing Coordination Issues</x:v>
      </x:c>
      <x:c r="B1" s="59"/>
      <x:c r="C1" s="59"/>
      <x:c r="D1" s="59"/>
      <x:c r="E1" s="59"/>
      <x:c r="F1" s="59"/>
      <x:c r="G1" s="59"/>
    </x:row>
    <x:row r="3">
      <x:c r="A3" s="64" t="str">
        <x:v>Issue ID</x:v>
      </x:c>
      <x:c r="B3" s="64" t="str">
        <x:v>Drawing</x:v>
      </x:c>
      <x:c r="C3" s="64" t="str">
        <x:v>Observation</x:v>
      </x:c>
      <x:c r="D3" s="64" t="str">
        <x:v>Discipline</x:v>
      </x:c>
      <x:c r="E3" s="64" t="str">
        <x:v>Status</x:v>
      </x:c>
      <x:c r="F3" s="64" t="str">
        <x:v>Opened</x:v>
      </x:c>
      <x:c r="G3" s="64" t="str">
        <x:v>Days Open</x:v>
      </x:c>
    </x:row>
    <x:row r="4" ht="34" customHeight="1">
      <x:c r="A4" s="56" t="str">
        <x:v>PB-DRW-01</x:v>
      </x:c>
      <x:c r="B4" s="56" t="str">
        <x:v>S1.02</x:v>
      </x:c>
      <x:c r="C4" s="56" t="str">
        <x:v>Confirm pier alignment and service-trench depth.</x:v>
      </x:c>
      <x:c r="D4" s="56" t="str">
        <x:v>Structural / Civil</x:v>
      </x:c>
      <x:c r="E4" s="56" t="str">
        <x:v>Open</x:v>
      </x:c>
      <x:c r="F4" s="57" t="n">
        <x:v>46232</x:v>
      </x:c>
      <x:c r="G4" s="65" t="n">
        <x:f>MAX(0,'Drawing Register'!$B$5-F4)</x:f>
        <x:v>0</x:v>
      </x:c>
    </x:row>
    <x:row r="5" ht="34" customHeight="1">
      <x:c r="A5" s="56" t="str">
        <x:v>PB-DRW-02</x:v>
      </x:c>
      <x:c r="B5" s="56" t="str">
        <x:v>A1.41</x:v>
      </x:c>
      <x:c r="C5" s="56" t="str">
        <x:v>Verify curb clearance and roof slope-to-drain continuity.</x:v>
      </x:c>
      <x:c r="D5" s="56" t="str">
        <x:v>Architectural / MEP</x:v>
      </x:c>
      <x:c r="E5" s="56" t="str">
        <x:v>Open</x:v>
      </x:c>
      <x:c r="F5" s="57" t="n">
        <x:v>46232</x:v>
      </x:c>
      <x:c r="G5" s="65" t="n">
        <x:f>MAX(0,'Drawing Register'!$B$5-F5)</x:f>
        <x:v>0</x:v>
      </x:c>
    </x:row>
    <x:row r="6" ht="34" customHeight="1">
      <x:c r="A6" s="56" t="str">
        <x:v>PB-DRW-03</x:v>
      </x:c>
      <x:c r="B6" s="56" t="str">
        <x:v>A3.20</x:v>
      </x:c>
      <x:c r="C6" s="56" t="str">
        <x:v>Align siding at sill and confirm canopy soffit material.</x:v>
      </x:c>
      <x:c r="D6" s="56" t="str">
        <x:v>Architectural</x:v>
      </x:c>
      <x:c r="E6" s="56" t="str">
        <x:v>Open</x:v>
      </x:c>
      <x:c r="F6" s="57" t="n">
        <x:v>46232</x:v>
      </x:c>
      <x:c r="G6" s="65" t="n">
        <x:f>MAX(0,'Drawing Register'!$B$5-F6)</x:f>
        <x:v>0</x:v>
      </x:c>
    </x:row>
    <x:row r="7" ht="34" customHeight="1">
      <x:c r="A7" s="56" t="str">
        <x:v>PB-DRW-04</x:v>
      </x:c>
      <x:c r="B7" s="56" t="str">
        <x:v>A1.10</x:v>
      </x:c>
      <x:c r="C7" s="56" t="str">
        <x:v>Confirm entry canopy extent and accessible route note.</x:v>
      </x:c>
      <x:c r="D7" s="56" t="str">
        <x:v>Architectural</x:v>
      </x:c>
      <x:c r="E7" s="56" t="str">
        <x:v>Open</x:v>
      </x:c>
      <x:c r="F7" s="57" t="n">
        <x:v>46232</x:v>
      </x:c>
      <x:c r="G7" s="65" t="n">
        <x:f>MAX(0,'Drawing Register'!$B$5-F7)</x:f>
        <x:v>0</x:v>
      </x:c>
    </x:row>
  </x:sheetData>
  <x:mergeCells>
    <x:mergeCell ref="A1:G1"/>
  </x:mergeCells>
  <x:conditionalFormatting sqref="E4:E7">
    <x:cfRule type="containsText" dxfId="2" priority="1" operator="containsText" text="Open"/>
  </x:conditionalFormatting>
  <x:pageMargins left="0.7" right="0.7" top="0.75" bottom="0.75" header="0.3" footer="0.3"/>
</x:worksheet>
</file>