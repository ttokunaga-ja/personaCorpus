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50531fa2b545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roval Tracker" sheetId="1" r:id="R6c1535ac513642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75569"/>
      <x:name val="Carlito"/>
    </x:font>
    <x:font>
      <x:b/>
      <x:sz val="11"/>
      <x:color rgb="FF24445A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445A"/>
      </x:patternFill>
    </x:fill>
    <x:fill>
      <x:patternFill patternType="solid">
        <x:fgColor rgb="FFE8EEF5"/>
      </x:patternFill>
    </x:fill>
  </x:fills>
  <x:borders count="11">
    <x:border/>
    <x:border>
      <x:left style="thin">
        <x:color rgb="FFCBD5DD"/>
      </x:left>
      <x:right style="thin">
        <x:color rgb="FFCBD5DD"/>
      </x:right>
      <x:top style="thin">
        <x:color rgb="FFCBD5DD"/>
      </x:top>
      <x:bottom style="thin">
        <x:color rgb="FFCBD5DD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c4375f9dfc4d39" /><Relationship Type="http://schemas.openxmlformats.org/officeDocument/2006/relationships/theme" Target="/xl/theme/theme1.xml" Id="R9d69e425de854860" /><Relationship Type="http://schemas.openxmlformats.org/officeDocument/2006/relationships/sharedStrings" Target="/xl/sharedStrings.xml" Id="Rdf97ddb5e0484640" /><Relationship Type="http://schemas.openxmlformats.org/officeDocument/2006/relationships/worksheet" Target="/xl/worksheets/sheet1.xml" Id="R6c1535ac513642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7" hidden="0" customWidth="1"/>
    <x:col min="3" max="3" width="14" hidden="0" customWidth="1"/>
    <x:col min="4" max="4" width="14" hidden="0" customWidth="1"/>
    <x:col min="5" max="5" width="20" hidden="0" customWidth="1"/>
    <x:col min="6" max="6" width="17" hidden="0" customWidth="1"/>
    <x:col min="7" max="7" width="38" hidden="0" customWidth="1"/>
    <x:col min="8" max="8" width="14" hidden="0" customWidth="1"/>
    <x:col min="10" max="10" width="20" hidden="0" customWidth="1"/>
    <x:col min="11" max="11" width="12" hidden="0" customWidth="1"/>
  </x:cols>
  <x:sheetData>
    <x:row r="1" ht="30" customHeight="1">
      <x:c r="A1" s="3" t="str">
        <x:v>Project Beta Material Approval Tracker</x:v>
      </x:c>
      <x:c r="J1" s="42" t="str">
        <x:v>Metric</x:v>
      </x:c>
      <x:c r="K1" s="42" t="str">
        <x:v>Formula</x:v>
      </x:c>
    </x:row>
    <x:row r="2">
      <x:c r="A2" s="5" t="str">
        <x:v>Harbor Build | Review health snapshot as of 2026-07-29</x:v>
      </x:c>
      <x:c r="J2" s="45" t="str">
        <x:v>Packages</x:v>
      </x:c>
      <x:c r="K2" s="43" t="n">
        <x:f>COUNTA(A5:A9)</x:f>
        <x:v>5</x:v>
      </x:c>
    </x:row>
    <x:row r="3">
      <x:c r="J3" s="45" t="str">
        <x:v>Avg completion</x:v>
      </x:c>
      <x:c r="K3" s="46" t="n">
        <x:f>AVERAGE(F5:F9)</x:f>
        <x:v>0.54</x:v>
      </x:c>
    </x:row>
    <x:row r="4" ht="32" customHeight="1">
      <x:c r="A4" s="11" t="str">
        <x:v>Submittal ID</x:v>
      </x:c>
      <x:c r="B4" s="11" t="str">
        <x:v>Material Package</x:v>
      </x:c>
      <x:c r="C4" s="11" t="str">
        <x:v>Received</x:v>
      </x:c>
      <x:c r="D4" s="11" t="str">
        <x:v>Last Action</x:v>
      </x:c>
      <x:c r="E4" s="11" t="str">
        <x:v>Disposition</x:v>
      </x:c>
      <x:c r="F4" s="11" t="str">
        <x:v>Review Complete</x:v>
      </x:c>
      <x:c r="G4" s="11" t="str">
        <x:v>Constraint / Note</x:v>
      </x:c>
      <x:c r="H4" s="11" t="str">
        <x:v>Target Date</x:v>
      </x:c>
      <x:c r="J4" s="45" t="str">
        <x:v>Approval rate</x:v>
      </x:c>
      <x:c r="K4" s="46" t="n">
        <x:f>COUNTIF(E5:E9,"Approved as Noted")/COUNTA(A5:A9)</x:f>
        <x:v>0.2</x:v>
      </x:c>
    </x:row>
    <x:row r="5" ht="36" customHeight="1">
      <x:c r="A5" s="39" t="str">
        <x:v>BETA-033000-02</x:v>
      </x:c>
      <x:c r="B5" s="39" t="str">
        <x:v>Concrete</x:v>
      </x:c>
      <x:c r="C5" s="40" t="str">
        <x:v>2026-07-24</x:v>
      </x:c>
      <x:c r="D5" s="40" t="str">
        <x:v>2026-07-29</x:v>
      </x:c>
      <x:c r="E5" s="39" t="str">
        <x:v>Revise and Resubmit</x:v>
      </x:c>
      <x:c r="F5" s="41" t="n">
        <x:v>0.65</x:v>
      </x:c>
      <x:c r="G5" s="39" t="str">
        <x:v>Gradation; curing statement</x:v>
      </x:c>
      <x:c r="H5" s="40" t="str">
        <x:v>2026-08-01</x:v>
      </x:c>
      <x:c r="J5" s="45" t="str">
        <x:v>Action required</x:v>
      </x:c>
      <x:c r="K5" s="43" t="n">
        <x:f>COUNTIF(E5:E9,"Revise and Resubmit")+COUNTIF(E5:E9,"Under Review")</x:f>
        <x:v>3</x:v>
      </x:c>
    </x:row>
    <x:row r="6" ht="36" customHeight="1">
      <x:c r="A6" s="39" t="str">
        <x:v>BETA-072100-04</x:v>
      </x:c>
      <x:c r="B6" s="39" t="str">
        <x:v>Insulation</x:v>
      </x:c>
      <x:c r="C6" s="40" t="str">
        <x:v>2026-07-27</x:v>
      </x:c>
      <x:c r="D6" s="40" t="str">
        <x:v>2026-07-29</x:v>
      </x:c>
      <x:c r="E6" s="39" t="str">
        <x:v>Approved as Noted</x:v>
      </x:c>
      <x:c r="F6" s="41" t="n">
        <x:v>0.9</x:v>
      </x:c>
      <x:c r="G6" s="39" t="str">
        <x:v>Perimeter facing transition</x:v>
      </x:c>
      <x:c r="H6" s="40" t="str">
        <x:v>2026-08-03</x:v>
      </x:c>
    </x:row>
    <x:row r="7" ht="36" customHeight="1">
      <x:c r="A7" s="39" t="str">
        <x:v>BETA-055000-01</x:v>
      </x:c>
      <x:c r="B7" s="39" t="str">
        <x:v>Metal fabrications</x:v>
      </x:c>
      <x:c r="C7" s="40" t="str">
        <x:v>2026-07-28</x:v>
      </x:c>
      <x:c r="D7" s="40" t="str"/>
      <x:c r="E7" s="39" t="str">
        <x:v>Under Review</x:v>
      </x:c>
      <x:c r="F7" s="41" t="n">
        <x:v>0.5</x:v>
      </x:c>
      <x:c r="G7" s="39" t="str">
        <x:v>Embed coordination</x:v>
      </x:c>
      <x:c r="H7" s="40" t="str">
        <x:v>2026-08-02</x:v>
      </x:c>
    </x:row>
    <x:row r="8" ht="36" customHeight="1">
      <x:c r="A8" s="39" t="str">
        <x:v>BETA-078400-03</x:v>
      </x:c>
      <x:c r="B8" s="39" t="str">
        <x:v>Firestopping</x:v>
      </x:c>
      <x:c r="C8" s="40" t="str">
        <x:v>2026-07-29</x:v>
      </x:c>
      <x:c r="D8" s="40" t="str"/>
      <x:c r="E8" s="39" t="str">
        <x:v>Under Review</x:v>
      </x:c>
      <x:c r="F8" s="41" t="n">
        <x:v>0.45</x:v>
      </x:c>
      <x:c r="G8" s="39" t="str">
        <x:v>Listed system selection</x:v>
      </x:c>
      <x:c r="H8" s="40" t="str">
        <x:v>2026-08-04</x:v>
      </x:c>
    </x:row>
    <x:row r="9" ht="36" customHeight="1">
      <x:c r="A9" s="39" t="str">
        <x:v>BETA-079200-01</x:v>
      </x:c>
      <x:c r="B9" s="39" t="str">
        <x:v>Joint sealants</x:v>
      </x:c>
      <x:c r="C9" s="40" t="str">
        <x:v>2026-07-29</x:v>
      </x:c>
      <x:c r="D9" s="40" t="str"/>
      <x:c r="E9" s="39" t="str">
        <x:v>Received</x:v>
      </x:c>
      <x:c r="F9" s="41" t="n">
        <x:v>0.2</x:v>
      </x:c>
      <x:c r="G9" s="39" t="str">
        <x:v>Completeness check</x:v>
      </x:c>
      <x:c r="H9" s="40" t="str">
        <x:v>2026-08-05</x:v>
      </x:c>
    </x:row>
  </x:sheetData>
  <x:mergeCells>
    <x:mergeCell ref="A1:H1"/>
    <x:mergeCell ref="A2:H2"/>
  </x:mergeCells>
  <x:conditionalFormatting sqref="F5:F9">
    <x:cfRule type="dataBar" priority="1">
      <x:dataBar>
        <x:cfvo type="min"/>
        <x:cfvo type="max"/>
        <x:color rgb="FF5B8DB8"/>
      </x:dataBar>
      <x:extLst>
        <x:ext xmlns:x14="http://schemas.microsoft.com/office/spreadsheetml/2009/9/main" uri="{B025F937-C7B1-47D3-B67F-A62EFF666E3E}">
          <x14:id>{A6E853B9-D730-3754-14C2-E46921C9B34E}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6E853B9-D730-3754-14C2-E46921C9B34E}">
            <x14:dataBar gradient="1">
              <x14:cfvo type="min"/>
              <x14:cfvo type="max"/>
              <x14:fillColor rgb="FF5B8DB8"/>
            </x14:dataBar>
          </x14:cfRule>
          <xm:sqref>F5:F9</xm:sqref>
        </x14:conditionalFormatting>
      </x14:conditionalFormattings>
    </x:ext>
  </x:extLst>
</x:worksheet>
</file>