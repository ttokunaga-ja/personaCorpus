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2a1e42bb1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I Register" sheetId="1" r:id="R5ec8f5da136d4b69"/>
    <x:sheet xmlns:r="http://schemas.openxmlformats.org/officeDocument/2006/relationships" name="Control Summary" sheetId="2" r:id="R88b6847703b4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3F5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F5F"/>
      </x:patternFill>
    </x:fill>
    <x:fill>
      <x:patternFill patternType="solid">
        <x:fgColor rgb="FF3C86A8"/>
      </x:patternFill>
    </x:fill>
    <x:fill>
      <x:patternFill patternType="solid">
        <x:fgColor rgb="FFFFF2CC"/>
      </x:patternFill>
    </x:fill>
    <x:fill>
      <x:patternFill patternType="solid">
        <x:fgColor rgb="FFFFF8DE"/>
      </x:patternFill>
    </x:fill>
    <x:fill>
      <x:patternFill patternType="solid">
        <x:fgColor rgb="FFEAF3F7"/>
      </x:patternFill>
    </x:fill>
    <x:fill>
      <x:patternFill patternType="solid">
        <x:fgColor rgb="FFDFF2E7"/>
      </x:patternFill>
    </x:fill>
  </x:fills>
  <x:borders count="16">
    <x:border/>
    <x:border>
      <x:left style="thin">
        <x:color rgb="FFC7D9E0"/>
      </x:left>
      <x:top style="thin">
        <x:color rgb="FFC7D9E0"/>
      </x:top>
    </x:border>
    <x:border>
      <x:right style="thin">
        <x:color rgb="FFC7D9E0"/>
      </x:right>
      <x:top style="thin">
        <x:color rgb="FFC7D9E0"/>
      </x:top>
    </x:border>
    <x:border>
      <x:left style="thin">
        <x:color rgb="FFC7D9E0"/>
      </x:left>
    </x:border>
    <x:border>
      <x:right style="thin">
        <x:color rgb="FFC7D9E0"/>
      </x:right>
    </x:border>
    <x:border>
      <x:left style="thin">
        <x:color rgb="FFC7D9E0"/>
      </x:left>
      <x:bottom style="thin">
        <x:color rgb="FFC7D9E0"/>
      </x:bottom>
    </x:border>
    <x:border>
      <x:right style="thin">
        <x:color rgb="FFC7D9E0"/>
      </x:right>
      <x:bottom style="thin">
        <x:color rgb="FFC7D9E0"/>
      </x:bottom>
    </x:border>
    <x:border>
      <x:left style="thin">
        <x:color rgb="FF9AB8C6"/>
      </x:left>
      <x:top style="thin">
        <x:color rgb="FF9AB8C6"/>
      </x:top>
      <x:bottom style="thin">
        <x:color rgb="FF9AB8C6"/>
      </x:bottom>
    </x:border>
    <x:border>
      <x:top style="thin">
        <x:color rgb="FF9AB8C6"/>
      </x:top>
      <x:bottom style="thin">
        <x:color rgb="FF9AB8C6"/>
      </x:bottom>
    </x:border>
    <x:border>
      <x:right style="thin">
        <x:color rgb="FF9AB8C6"/>
      </x:right>
      <x:top style="thin">
        <x:color rgb="FF9AB8C6"/>
      </x:top>
      <x:bottom style="thin">
        <x:color rgb="FF9AB8C6"/>
      </x:bottom>
    </x:border>
    <x:border>
      <x:top style="thin">
        <x:color rgb="FFC7D9E0"/>
      </x:top>
    </x:border>
    <x:border>
      <x:bottom style="thin">
        <x:color rgb="FFC7D9E0"/>
      </x:bottom>
    </x:border>
    <x:border>
      <x:left style="thin">
        <x:color rgb="FFC7D9E0"/>
      </x:left>
      <x:right style="thin">
        <x:color rgb="FFC7D9E0"/>
      </x:right>
      <x:top style="thin">
        <x:color rgb="FFC7D9E0"/>
      </x:top>
      <x:bottom style="thin">
        <x:color rgb="FFC7D9E0"/>
      </x:bottom>
    </x:border>
    <x:border>
      <x:left style="thin">
        <x:color rgb="FFC7D9E0"/>
      </x:left>
      <x:top style="thin">
        <x:color rgb="FFC7D9E0"/>
      </x:top>
      <x:bottom style="thin">
        <x:color rgb="FF9AB8C6"/>
      </x:bottom>
    </x:border>
    <x:border>
      <x:right style="thin">
        <x:color rgb="FFC7D9E0"/>
      </x:right>
      <x:top style="thin">
        <x:color rgb="FFC7D9E0"/>
      </x:top>
      <x:bottom style="thin">
        <x:color rgb="FF9AB8C6"/>
      </x:bottom>
    </x:border>
    <x:border>
      <x:top style="thin">
        <x:color rgb="FFC7D9E0"/>
      </x:top>
      <x:bottom style="thin">
        <x:color rgb="FF9AB8C6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9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200" fontId="0" fillId="4" borderId="10" xfId="0" applyNumberFormat="1" applyFont="1" applyFill="1" applyBorder="1" applyAlignment="1">
      <x:alignment vertical="center" wrapText="1"/>
    </x:xf>
    <x:xf numFmtId="201" fontId="0" fillId="4" borderId="10" xfId="0" applyNumberFormat="1" applyFont="1" applyFill="1" applyBorder="1" applyAlignment="1">
      <x:alignment vertical="center" wrapText="1"/>
    </x:xf>
    <x:xf numFmtId="200" fontId="0" fillId="4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0" fontId="0" fillId="5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0" fontId="0" fillId="6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200" fontId="0" fillId="7" borderId="11" xfId="0" applyNumberFormat="1" applyFont="1" applyFill="1" applyBorder="1" applyAlignment="1">
      <x:alignment vertical="center" wrapText="1"/>
    </x:xf>
    <x:xf numFmtId="201" fontId="0" fillId="7" borderId="11" xfId="0" applyNumberFormat="1" applyFont="1" applyFill="1" applyBorder="1" applyAlignment="1">
      <x:alignment vertical="center" wrapText="1"/>
    </x:xf>
    <x:xf numFmtId="200" fontId="0" fillId="7" borderId="6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200" fontId="0" fillId="4" borderId="12" xfId="0" applyNumberFormat="1" applyFont="1" applyFill="1" applyBorder="1" applyAlignment="1">
      <x:alignment vertical="center" wrapText="1"/>
    </x:xf>
    <x:xf numFmtId="201" fontId="0" fillId="4" borderId="12" xfId="0" applyNumberFormat="1" applyFont="1" applyFill="1" applyBorder="1" applyAlignment="1">
      <x:alignment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200" fontId="0" fillId="5" borderId="12" xfId="0" applyNumberFormat="1" applyFont="1" applyFill="1" applyBorder="1" applyAlignment="1">
      <x:alignment vertical="center" wrapText="1"/>
    </x:xf>
    <x:xf numFmtId="201" fontId="0" fillId="5" borderId="12" xfId="0" applyNumberFormat="1" applyFont="1" applyFill="1" applyBorder="1" applyAlignment="1">
      <x:alignment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200" fontId="0" fillId="6" borderId="12" xfId="0" applyNumberFormat="1" applyFont="1" applyFill="1" applyBorder="1" applyAlignment="1">
      <x:alignment vertical="center" wrapText="1"/>
    </x:xf>
    <x:xf numFmtId="201" fontId="0" fillId="6" borderId="12" xfId="0" applyNumberFormat="1" applyFont="1" applyFill="1" applyBorder="1" applyAlignment="1">
      <x:alignment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200" fontId="0" fillId="7" borderId="12" xfId="0" applyNumberFormat="1" applyFont="1" applyFill="1" applyBorder="1" applyAlignment="1">
      <x:alignment vertical="center" wrapText="1"/>
    </x:xf>
    <x:xf numFmtId="201" fontId="0" fillId="7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1" fontId="2" fillId="6" borderId="0" xfId="0" applyNumberFormat="1" applyFont="1" applyFill="1" applyBorder="1"/>
    <x:xf numFmtId="0" fontId="3" fillId="3" borderId="13" xfId="0" applyNumberFormat="1" applyFont="1" applyFill="1" applyBorder="1" applyAlignment="1">
      <x:alignment horizontal="center" vertical="center" wrapText="1"/>
    </x:xf>
    <x:xf numFmtId="0" fontId="3" fillId="3" borderId="14" xfId="0" applyNumberFormat="1" applyFont="1" applyFill="1" applyBorder="1" applyAlignment="1">
      <x:alignment horizontal="center" vertical="center" wrapText="1"/>
    </x:xf>
    <x:xf numFmtId="201" fontId="2" fillId="6" borderId="4" xfId="0" applyNumberFormat="1" applyFont="1" applyFill="1" applyBorder="1"/>
    <x:xf numFmtId="201" fontId="2" fillId="6" borderId="6" xfId="0" applyNumberFormat="1" applyFont="1" applyFill="1" applyBorder="1"/>
    <x:xf numFmtId="0" fontId="3" fillId="3" borderId="1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2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8ef90ae894042" /><Relationship Type="http://schemas.openxmlformats.org/officeDocument/2006/relationships/theme" Target="/xl/theme/theme1.xml" Id="R75976bae57254748" /><Relationship Type="http://schemas.openxmlformats.org/officeDocument/2006/relationships/sharedStrings" Target="/xl/sharedStrings.xml" Id="Ra65dc8b2b4f549c3" /><Relationship Type="http://schemas.openxmlformats.org/officeDocument/2006/relationships/worksheet" Target="/xl/worksheets/sheet1.xml" Id="R5ec8f5da136d4b69" /><Relationship Type="http://schemas.openxmlformats.org/officeDocument/2006/relationships/worksheet" Target="/xl/worksheets/sheet2.xml" Id="R88b6847703b4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3" hidden="0" customWidth="1"/>
    <x:col min="4" max="4" width="14" hidden="0" customWidth="1"/>
    <x:col min="5" max="5" width="16" hidden="0" customWidth="1"/>
    <x:col min="6" max="6" width="31" hidden="0" customWidth="1"/>
    <x:col min="7" max="7" width="11" hidden="0" customWidth="1"/>
    <x:col min="8" max="8" width="12" hidden="0" customWidth="1"/>
    <x:col min="9" max="9" width="42" hidden="0" customWidth="1"/>
    <x:col min="10" max="10" width="15" hidden="0" customWidth="1"/>
  </x:cols>
  <x:sheetData>
    <x:row r="1" ht="30" customHeight="1">
      <x:c r="A1" s="3" t="str">
        <x:v>HARBOR BUILD | PROJECT BETA 2026 RFI REGISTER</x:v>
      </x:c>
      <x:c r="B1" s="3" t="str">
        <x:v>HARBOR BUILD | PROJECT BETA 2026 RFI REGISTER</x:v>
      </x:c>
      <x:c r="C1" s="3" t="str">
        <x:v>HARBOR BUILD | PROJECT BETA 2026 RFI REGISTER</x:v>
      </x:c>
      <x:c r="D1" s="3" t="str">
        <x:v>HARBOR BUILD | PROJECT BETA 2026 RFI REGISTER</x:v>
      </x:c>
      <x:c r="E1" s="3" t="str">
        <x:v>HARBOR BUILD | PROJECT BETA 2026 RFI REGISTER</x:v>
      </x:c>
      <x:c r="F1" s="3" t="str">
        <x:v>HARBOR BUILD | PROJECT BETA 2026 RFI REGISTER</x:v>
      </x:c>
      <x:c r="G1" s="3" t="str">
        <x:v>HARBOR BUILD | PROJECT BETA 2026 RFI REGISTER</x:v>
      </x:c>
      <x:c r="H1" s="3" t="str">
        <x:v>HARBOR BUILD | PROJECT BETA 2026 RFI REGISTER</x:v>
      </x:c>
      <x:c r="I1" s="3" t="str">
        <x:v>HARBOR BUILD | PROJECT BETA 2026 RFI REGISTER</x:v>
      </x:c>
      <x:c r="J1" s="3" t="str">
        <x:v>HARBOR BUILD | PROJECT BETA 2026 RFI REGISTER</x:v>
      </x:c>
    </x:row>
    <x:row r="3">
      <x:c r="A3" s="94" t="str">
        <x:v>Portfolio</x:v>
      </x:c>
      <x:c r="B3" s="95" t="str">
        <x:v>Harbor Build / Project Beta 2026</x:v>
      </x:c>
    </x:row>
    <x:row r="4">
      <x:c r="A4" s="96" t="str">
        <x:v>Status date</x:v>
      </x:c>
      <x:c r="B4" s="49" t="n">
        <x:v>46232</x:v>
      </x:c>
    </x:row>
    <x:row r="5">
      <x:c r="A5" s="96" t="str">
        <x:v>Purpose</x:v>
      </x:c>
      <x:c r="B5" s="97" t="str">
        <x:v>Open RFI coordination and aging control</x:v>
      </x:c>
    </x:row>
    <x:row r="6" ht="44" customHeight="1">
      <x:c r="A6" s="98" t="str">
        <x:v>Cross-project note</x:v>
      </x:c>
      <x:c r="B6" s="13" t="str">
        <x:v>Project Alpha / CO-014 is reference only; no Alpha cost is assigned to Beta.</x:v>
      </x:c>
    </x:row>
    <x:row r="8">
      <x:c r="A8" s="99" t="str">
        <x:v>RFI</x:v>
      </x:c>
      <x:c r="B8" s="99" t="str">
        <x:v>Subject</x:v>
      </x:c>
      <x:c r="C8" s="99" t="str">
        <x:v>Discipline</x:v>
      </x:c>
      <x:c r="D8" s="99" t="str">
        <x:v>Issued</x:v>
      </x:c>
      <x:c r="E8" s="99" t="str">
        <x:v>Requested by</x:v>
      </x:c>
      <x:c r="F8" s="99" t="str">
        <x:v>Status</x:v>
      </x:c>
      <x:c r="G8" s="99" t="str">
        <x:v>Age days</x:v>
      </x:c>
      <x:c r="H8" s="99" t="str">
        <x:v>Priority</x:v>
      </x:c>
      <x:c r="I8" s="99" t="str">
        <x:v>Response / action</x:v>
      </x:c>
      <x:c r="J8" s="99" t="str">
        <x:v>Close target</x:v>
      </x:c>
    </x:row>
    <x:row r="9" ht="38" customHeight="1">
      <x:c r="A9" s="100" t="str">
        <x:v>BETA-006</x:v>
      </x:c>
      <x:c r="B9" s="101" t="str">
        <x:v>Structural opening at Grid B-4</x:v>
      </x:c>
      <x:c r="C9" s="101" t="str">
        <x:v>Structural / MEP</x:v>
      </x:c>
      <x:c r="D9" s="102" t="n">
        <x:v>46230</x:v>
      </x:c>
      <x:c r="E9" s="102" t="n">
        <x:v>46237</x:v>
      </x:c>
      <x:c r="F9" s="101" t="str">
        <x:v>Open - priority</x:v>
      </x:c>
      <x:c r="G9" s="103" t="n">
        <x:f>DATE(2026,7,29)-D9</x:f>
        <x:v>2</x:v>
      </x:c>
      <x:c r="H9" s="101" t="str">
        <x:v>High</x:v>
      </x:c>
      <x:c r="I9" s="101" t="str">
        <x:v>Confirm opening location; no field core drilling.</x:v>
      </x:c>
      <x:c r="J9" s="102" t="n">
        <x:v>46238</x:v>
      </x:c>
    </x:row>
    <x:row r="10" ht="38" customHeight="1">
      <x:c r="A10" s="104" t="str">
        <x:v>BETA-009</x:v>
      </x:c>
      <x:c r="B10" s="105" t="str">
        <x:v>Facade anchor spacing</x:v>
      </x:c>
      <x:c r="C10" s="105" t="str">
        <x:v>Facade / Structural</x:v>
      </x:c>
      <x:c r="D10" s="106" t="n">
        <x:v>46228</x:v>
      </x:c>
      <x:c r="E10" s="106" t="n">
        <x:v>46239</x:v>
      </x:c>
      <x:c r="F10" s="105" t="str">
        <x:v>Open</x:v>
      </x:c>
      <x:c r="G10" s="107" t="n">
        <x:f>DATE(2026,7,29)-D10</x:f>
        <x:v>4</x:v>
      </x:c>
      <x:c r="H10" s="105" t="str">
        <x:v>High</x:v>
      </x:c>
      <x:c r="I10" s="105" t="str">
        <x:v>Confirm maximum horizontal anchor adjustment.</x:v>
      </x:c>
      <x:c r="J10" s="106" t="n">
        <x:v>46240</x:v>
      </x:c>
    </x:row>
    <x:row r="11" ht="38" customHeight="1">
      <x:c r="A11" s="108" t="str">
        <x:v>BETA-004</x:v>
      </x:c>
      <x:c r="B11" s="109" t="str">
        <x:v>Roof drain overflow routing</x:v>
      </x:c>
      <x:c r="C11" s="109" t="str">
        <x:v>Plumbing / Architectural</x:v>
      </x:c>
      <x:c r="D11" s="110" t="n">
        <x:v>46220</x:v>
      </x:c>
      <x:c r="E11" s="110" t="n">
        <x:v>46231</x:v>
      </x:c>
      <x:c r="F11" s="109" t="str">
        <x:v>Response received - closeout pending</x:v>
      </x:c>
      <x:c r="G11" s="111" t="n">
        <x:f>DATE(2026,7,29)-D11</x:f>
        <x:v>12</x:v>
      </x:c>
      <x:c r="H11" s="109" t="str">
        <x:v>Medium</x:v>
      </x:c>
      <x:c r="I11" s="109" t="str">
        <x:v>Link returned sketch then close register entry.</x:v>
      </x:c>
      <x:c r="J11" s="110" t="n">
        <x:v>46233</x:v>
      </x:c>
    </x:row>
    <x:row r="12" ht="38" customHeight="1">
      <x:c r="A12" s="112" t="str">
        <x:v>BETA-002</x:v>
      </x:c>
      <x:c r="B12" s="113" t="str">
        <x:v>Service corridor ceiling access</x:v>
      </x:c>
      <x:c r="C12" s="113" t="str">
        <x:v>Architectural</x:v>
      </x:c>
      <x:c r="D12" s="114" t="n">
        <x:v>46214</x:v>
      </x:c>
      <x:c r="E12" s="114" t="n">
        <x:v>46225</x:v>
      </x:c>
      <x:c r="F12" s="113" t="str">
        <x:v>Closed</x:v>
      </x:c>
      <x:c r="G12" s="115" t="n">
        <x:f>DATE(2026,7,29)-D12</x:f>
        <x:v>18</x:v>
      </x:c>
      <x:c r="H12" s="113" t="str">
        <x:v>Low</x:v>
      </x:c>
      <x:c r="I12" s="113" t="str">
        <x:v>Incorporated in coordination drawing.</x:v>
      </x:c>
      <x:c r="J12" s="114" t="n">
        <x:v>46227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5" hidden="0" customWidth="1"/>
    <x:col min="5" max="5" width="36" hidden="0" customWidth="1"/>
    <x:col min="6" max="6" width="8" hidden="0" customWidth="1"/>
  </x:cols>
  <x:sheetData>
    <x:row r="1" ht="30" customHeight="1">
      <x:c r="A1" s="3" t="str">
        <x:v>PROJECT BETA | RFI CONTROL SUMMARY</x:v>
      </x:c>
      <x:c r="B1" s="3" t="str">
        <x:v>PROJECT BETA | RFI CONTROL SUMMARY</x:v>
      </x:c>
      <x:c r="C1" s="3" t="str">
        <x:v>PROJECT BETA | RFI CONTROL SUMMARY</x:v>
      </x:c>
      <x:c r="D1" s="3" t="str">
        <x:v>PROJECT BETA | RFI CONTROL SUMMARY</x:v>
      </x:c>
      <x:c r="E1" s="3" t="str">
        <x:v>PROJECT BETA | RFI CONTROL SUMMARY</x:v>
      </x:c>
      <x:c r="F1" s="3" t="str">
        <x:v>PROJECT BETA | RFI CONTROL SUMMARY</x:v>
      </x:c>
    </x:row>
    <x:row r="3">
      <x:c r="A3" s="119" t="str">
        <x:v>Metric</x:v>
      </x:c>
      <x:c r="B3" s="120" t="str">
        <x:v>Value</x:v>
      </x:c>
      <x:c r="D3" s="119" t="str">
        <x:v>Control note</x:v>
      </x:c>
      <x:c r="E3" s="123"/>
      <x:c r="F3" s="120"/>
    </x:row>
    <x:row r="4" ht="32" customHeight="1">
      <x:c r="A4" s="34" t="str">
        <x:v>Open RFIs</x:v>
      </x:c>
      <x:c r="B4" s="121" t="n">
        <x:f>IF('RFI Register'!F9&lt;&gt;"Closed",1,0)+IF('RFI Register'!F10&lt;&gt;"Closed",1,0)</x:f>
        <x:v>2</x:v>
      </x:c>
      <x:c r="D4" s="125" t="str">
        <x:v>Decision focus</x:v>
      </x:c>
      <x:c r="E4" s="61" t="str">
        <x:v>BETA-006 and BETA-009 need written direction before planned releases.</x:v>
      </x:c>
      <x:c r="F4" s="126"/>
    </x:row>
    <x:row r="5" ht="32" customHeight="1">
      <x:c r="A5" s="34" t="str">
        <x:v>Priority open RFIs</x:v>
      </x:c>
      <x:c r="B5" s="121" t="n">
        <x:f>IF('RFI Register'!H9="High",1,0)+IF('RFI Register'!H10="High",1,0)</x:f>
        <x:v>2</x:v>
      </x:c>
      <x:c r="D5" s="125" t="str">
        <x:v>Portfolio separation</x:v>
      </x:c>
      <x:c r="E5" s="61" t="str">
        <x:v>Alpha/CO-014 is context only; Beta cost is not represented in this workbook.</x:v>
      </x:c>
      <x:c r="F5" s="126"/>
    </x:row>
    <x:row r="6" ht="32" customHeight="1">
      <x:c r="A6" s="34" t="str">
        <x:v>Average age - open</x:v>
      </x:c>
      <x:c r="B6" s="121" t="n">
        <x:f>AVERAGE('RFI Register'!G9:G10)</x:f>
        <x:v>3</x:v>
      </x:c>
      <x:c r="D6" s="125" t="str">
        <x:v>As-of date</x:v>
      </x:c>
      <x:c r="E6" s="62" t="n">
        <x:v>46232</x:v>
      </x:c>
      <x:c r="F6" s="126"/>
    </x:row>
    <x:row r="7" ht="32" customHeight="1">
      <x:c r="A7" s="36" t="str">
        <x:v>Overdue requested-by date</x:v>
      </x:c>
      <x:c r="B7" s="122" t="n">
        <x:f>IF('RFI Register'!E9&lt;DATE(2026,7,29),1,0)+IF('RFI Register'!E10&lt;DATE(2026,7,29),1,0)</x:f>
        <x:v>0</x:v>
      </x:c>
      <x:c r="D7" s="127" t="str">
        <x:v>Register basis</x:v>
      </x:c>
      <x:c r="E7" s="66" t="str">
        <x:v>Formula-driven values source the RFI Register sheet.</x:v>
      </x:c>
      <x:c r="F7" s="128"/>
    </x:row>
  </x:sheetData>
  <x:mergeCells>
    <x:mergeCell ref="A1:F1"/>
    <x:mergeCell ref="D3:F3"/>
    <x:mergeCell ref="E4:F4"/>
    <x:mergeCell ref="E5:F5"/>
    <x:mergeCell ref="E6:F6"/>
    <x:mergeCell ref="E7:F7"/>
  </x:mergeCells>
  <x:pageMargins left="0.7" right="0.7" top="0.75" bottom="0.75" header="0.3" footer="0.3"/>
</x:worksheet>
</file>