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41dd35acb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b6f68483f744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24445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A"/>
      </x:patternFill>
    </x:fill>
    <x:fill>
      <x:patternFill patternType="solid">
        <x:fgColor rgb="FFE8EEF5"/>
      </x:patternFill>
    </x:fill>
  </x:fills>
  <x:borders count="11">
    <x:border/>
    <x:border>
      <x:left style="thin">
        <x:color rgb="FFCBD5DD"/>
      </x:left>
      <x:right style="thin">
        <x:color rgb="FFCBD5DD"/>
      </x:right>
      <x:top style="thin">
        <x:color rgb="FFCBD5DD"/>
      </x:top>
      <x:bottom style="thin">
        <x:color rgb="FFCBD5DD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1E6B3B"/>
      </x:font>
      <x:fill>
        <x:patternFill patternType="solid">
          <x:bgColor rgb="FFDDEFE1"/>
        </x:patternFill>
      </x:fill>
    </x:dxf>
    <x:dxf>
      <x:font>
        <x:color rgb="FFA42A20"/>
      </x:font>
      <x:fill>
        <x:patternFill patternType="solid">
          <x:bgColor rgb="FFFC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e05952dcd4aaa" /><Relationship Type="http://schemas.openxmlformats.org/officeDocument/2006/relationships/theme" Target="/xl/theme/theme1.xml" Id="R82d0b8fee39b4a32" /><Relationship Type="http://schemas.openxmlformats.org/officeDocument/2006/relationships/sharedStrings" Target="/xl/sharedStrings.xml" Id="R8b87a8ba31c4407d" /><Relationship Type="http://schemas.openxmlformats.org/officeDocument/2006/relationships/worksheet" Target="/xl/worksheets/sheet1.xml" Id="Rb6f68483f7444e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7" hidden="0" customWidth="1"/>
    <x:col min="4" max="4" width="14" hidden="0" customWidth="1"/>
    <x:col min="5" max="5" width="20" hidden="0" customWidth="1"/>
    <x:col min="6" max="6" width="14" hidden="0" customWidth="1"/>
    <x:col min="7" max="7" width="42" hidden="0" customWidth="1"/>
    <x:col min="8" max="8" width="18" hidden="0" customWidth="1"/>
    <x:col min="10" max="10" width="22" hidden="0" customWidth="1"/>
    <x:col min="11" max="11" width="11" hidden="0" customWidth="1"/>
  </x:cols>
  <x:sheetData>
    <x:row r="1" ht="30" customHeight="1">
      <x:c r="A1" s="3" t="str">
        <x:v>Project Beta Submittal Register</x:v>
      </x:c>
      <x:c r="J1" s="41" t="str">
        <x:v>Status Summary</x:v>
      </x:c>
      <x:c r="K1" s="41"/>
    </x:row>
    <x:row r="2">
      <x:c r="A2" s="5" t="str">
        <x:v>Harbor Build | Status date: 2026-07-29 | Synthetic internal record</x:v>
      </x:c>
      <x:c r="J2" s="43" t="str">
        <x:v>Total open</x:v>
      </x:c>
      <x:c r="K2" s="45" t="n">
        <x:f>COUNTA(A5:A10)</x:f>
        <x:v>6</x:v>
      </x:c>
    </x:row>
    <x:row r="3">
      <x:c r="J3" s="43" t="str">
        <x:v>Under review</x:v>
      </x:c>
      <x:c r="K3" s="45" t="n">
        <x:f>COUNTIF(E5:E10,"Under Review")</x:f>
        <x:v>2</x:v>
      </x:c>
    </x:row>
    <x:row r="4" ht="32" customHeight="1">
      <x:c r="A4" s="11" t="str">
        <x:v>Submittal ID</x:v>
      </x:c>
      <x:c r="B4" s="11" t="str">
        <x:v>Spec Section</x:v>
      </x:c>
      <x:c r="C4" s="11" t="str">
        <x:v>Package</x:v>
      </x:c>
      <x:c r="D4" s="11" t="str">
        <x:v>Received</x:v>
      </x:c>
      <x:c r="E4" s="11" t="str">
        <x:v>Current Status</x:v>
      </x:c>
      <x:c r="F4" s="11" t="str">
        <x:v>Next Review</x:v>
      </x:c>
      <x:c r="G4" s="11" t="str">
        <x:v>Open Coordination Item</x:v>
      </x:c>
      <x:c r="H4" s="11" t="str">
        <x:v>Review Lead</x:v>
      </x:c>
      <x:c r="J4" s="43" t="str">
        <x:v>Approved as noted</x:v>
      </x:c>
      <x:c r="K4" s="45" t="n">
        <x:f>COUNTIF(E5:E10,"Approved as Noted")</x:f>
        <x:v>1</x:v>
      </x:c>
    </x:row>
    <x:row r="5" ht="36" customHeight="1">
      <x:c r="A5" s="39" t="str">
        <x:v>BETA-033000-02</x:v>
      </x:c>
      <x:c r="B5" s="39" t="str">
        <x:v>03 30 00</x:v>
      </x:c>
      <x:c r="C5" s="39" t="str">
        <x:v>Concrete mix design</x:v>
      </x:c>
      <x:c r="D5" s="40" t="str">
        <x:v>2026-07-24</x:v>
      </x:c>
      <x:c r="E5" s="39" t="str">
        <x:v>Revise and Resubmit</x:v>
      </x:c>
      <x:c r="F5" s="40" t="str">
        <x:v>2026-08-01</x:v>
      </x:c>
      <x:c r="G5" s="39" t="str">
        <x:v>Need aggregate gradation and curing cross-reference</x:v>
      </x:c>
      <x:c r="H5" s="39" t="str">
        <x:v>Project Controls</x:v>
      </x:c>
      <x:c r="J5" s="43" t="str">
        <x:v>Resubmit</x:v>
      </x:c>
      <x:c r="K5" s="45" t="n">
        <x:f>COUNTIF(E5:E10,"Revise and Resubmit")</x:f>
        <x:v>1</x:v>
      </x:c>
    </x:row>
    <x:row r="6" ht="36" customHeight="1">
      <x:c r="A6" s="39" t="str">
        <x:v>BETA-072100-04</x:v>
      </x:c>
      <x:c r="B6" s="39" t="str">
        <x:v>07 21 00</x:v>
      </x:c>
      <x:c r="C6" s="39" t="str">
        <x:v>Mineral wool insulation</x:v>
      </x:c>
      <x:c r="D6" s="40" t="str">
        <x:v>2026-07-27</x:v>
      </x:c>
      <x:c r="E6" s="39" t="str">
        <x:v>Approved as Noted</x:v>
      </x:c>
      <x:c r="F6" s="40" t="str">
        <x:v>2026-08-03</x:v>
      </x:c>
      <x:c r="G6" s="39" t="str">
        <x:v>Confirm perimeter-facing transition detail</x:v>
      </x:c>
      <x:c r="H6" s="39" t="str">
        <x:v>Envelope Lead</x:v>
      </x:c>
    </x:row>
    <x:row r="7" ht="36" customHeight="1">
      <x:c r="A7" s="39" t="str">
        <x:v>BETA-055000-01</x:v>
      </x:c>
      <x:c r="B7" s="39" t="str">
        <x:v>05 50 00</x:v>
      </x:c>
      <x:c r="C7" s="39" t="str">
        <x:v>Metal fabrications</x:v>
      </x:c>
      <x:c r="D7" s="40" t="str">
        <x:v>2026-07-28</x:v>
      </x:c>
      <x:c r="E7" s="39" t="str">
        <x:v>Under Review</x:v>
      </x:c>
      <x:c r="F7" s="40" t="str">
        <x:v>2026-08-02</x:v>
      </x:c>
      <x:c r="G7" s="39" t="str">
        <x:v>Coordinate embeds with concrete package</x:v>
      </x:c>
      <x:c r="H7" s="39" t="str">
        <x:v>Structural Lead</x:v>
      </x:c>
    </x:row>
    <x:row r="8" ht="36" customHeight="1">
      <x:c r="A8" s="39" t="str">
        <x:v>BETA-078400-03</x:v>
      </x:c>
      <x:c r="B8" s="39" t="str">
        <x:v>07 84 00</x:v>
      </x:c>
      <x:c r="C8" s="39" t="str">
        <x:v>Firestopping systems</x:v>
      </x:c>
      <x:c r="D8" s="40" t="str">
        <x:v>2026-07-29</x:v>
      </x:c>
      <x:c r="E8" s="39" t="str">
        <x:v>Under Review</x:v>
      </x:c>
      <x:c r="F8" s="40" t="str">
        <x:v>2026-08-04</x:v>
      </x:c>
      <x:c r="G8" s="39" t="str">
        <x:v>Verify listed system at mixed-material joints</x:v>
      </x:c>
      <x:c r="H8" s="39" t="str">
        <x:v>Life Safety Lead</x:v>
      </x:c>
    </x:row>
    <x:row r="9" ht="36" customHeight="1">
      <x:c r="A9" s="39" t="str">
        <x:v>BETA-079200-01</x:v>
      </x:c>
      <x:c r="B9" s="39" t="str">
        <x:v>07 92 00</x:v>
      </x:c>
      <x:c r="C9" s="39" t="str">
        <x:v>Joint sealants</x:v>
      </x:c>
      <x:c r="D9" s="40" t="str">
        <x:v>2026-07-29</x:v>
      </x:c>
      <x:c r="E9" s="39" t="str">
        <x:v>Received</x:v>
      </x:c>
      <x:c r="F9" s="40" t="str">
        <x:v>2026-08-05</x:v>
      </x:c>
      <x:c r="G9" s="39" t="str">
        <x:v>Initial completeness screening scheduled</x:v>
      </x:c>
      <x:c r="H9" s="39" t="str">
        <x:v>Envelope Lead</x:v>
      </x:c>
    </x:row>
    <x:row r="10" ht="36" customHeight="1">
      <x:c r="A10" s="39" t="str">
        <x:v>BETA-096500-02</x:v>
      </x:c>
      <x:c r="B10" s="39" t="str">
        <x:v>09 65 00</x:v>
      </x:c>
      <x:c r="C10" s="39" t="str">
        <x:v>Resilient flooring sample</x:v>
      </x:c>
      <x:c r="D10" s="40" t="str">
        <x:v>2026-07-29</x:v>
      </x:c>
      <x:c r="E10" s="39" t="str">
        <x:v>Received</x:v>
      </x:c>
      <x:c r="F10" s="40" t="str">
        <x:v>2026-08-06</x:v>
      </x:c>
      <x:c r="G10" s="39" t="str">
        <x:v>Color and maintenance data to be reviewed</x:v>
      </x:c>
      <x:c r="H10" s="39" t="str">
        <x:v>Interiors Lead</x:v>
      </x:c>
    </x:row>
  </x:sheetData>
  <x:mergeCells>
    <x:mergeCell ref="A1:H1"/>
    <x:mergeCell ref="A2:H2"/>
    <x:mergeCell ref="J1:K1"/>
  </x:mergeCells>
  <x:conditionalFormatting sqref="E5:E10">
    <x:cfRule type="containsText" dxfId="0" priority="1" operator="containsText" text="Approved"/>
    <x:cfRule type="containsText" dxfId="1" priority="2" operator="containsText" text="Revise"/>
  </x:conditionalFormatting>
  <x:pageMargins left="0.7" right="0.7" top="0.75" bottom="0.75" header="0.3" footer="0.3"/>
</x:worksheet>
</file>