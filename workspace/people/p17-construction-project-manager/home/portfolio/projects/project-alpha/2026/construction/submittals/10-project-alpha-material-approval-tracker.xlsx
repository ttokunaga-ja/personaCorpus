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0f82a6655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als" sheetId="1" r:id="Ra9cd501e78924f22"/>
    <x:sheet xmlns:r="http://schemas.openxmlformats.org/officeDocument/2006/relationships" name="Dashboard" sheetId="2" r:id="R6e28d2d82fa9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A556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4253"/>
      </x:patternFill>
    </x:fill>
    <x:fill>
      <x:patternFill patternType="solid">
        <x:fgColor rgb="FF2B6F74"/>
      </x:patternFill>
    </x:fill>
    <x:fill>
      <x:patternFill patternType="solid">
        <x:fgColor rgb="FFE8F1F2"/>
      </x:patternFill>
    </x:fill>
  </x:fills>
  <x:borders count="2">
    <x:border/>
    <x:border>
      <x:left style="thin">
        <x:color rgb="FFC9D5D9"/>
      </x:left>
      <x:right style="thin">
        <x:color rgb="FFC9D5D9"/>
      </x:right>
      <x:top style="thin">
        <x:color rgb="FFC9D5D9"/>
      </x:top>
      <x:bottom style="thin">
        <x:color rgb="FFC9D5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7d1fd71bb49b9" /><Relationship Type="http://schemas.openxmlformats.org/officeDocument/2006/relationships/theme" Target="/xl/theme/theme1.xml" Id="R8d2d3c44046d4227" /><Relationship Type="http://schemas.openxmlformats.org/officeDocument/2006/relationships/sharedStrings" Target="/xl/sharedStrings.xml" Id="Ra466a6cbd30847aa" /><Relationship Type="http://schemas.openxmlformats.org/officeDocument/2006/relationships/worksheet" Target="/xl/worksheets/sheet1.xml" Id="Ra9cd501e78924f22" /><Relationship Type="http://schemas.openxmlformats.org/officeDocument/2006/relationships/worksheet" Target="/xl/worksheets/sheet2.xml" Id="R6e28d2d82fa9400b" /></Relationships>
</file>

<file path=xl/tables/table1.xml><?xml version="1.0" encoding="utf-8"?>
<x:table xmlns:x="http://schemas.openxmlformats.org/spreadsheetml/2006/main" id="1" name="MaterialTracker" displayName="MaterialTracker" ref="A4:K9" headerRowCount="1" totalsRowCount="0" totalsRowShown="0">
  <x:tableColumns count="11">
    <x:tableColumn id="1" name="Material ID"/>
    <x:tableColumn id="2" name="Material"/>
    <x:tableColumn id="3" name="Trade"/>
    <x:tableColumn id="4" name="Submittal"/>
    <x:tableColumn id="5" name="Supplier lead days"/>
    <x:tableColumn id="6" name="Required on site"/>
    <x:tableColumn id="7" name="Approval status"/>
    <x:tableColumn id="8" name="Risk"/>
    <x:tableColumn id="9" name="Budget impact JPY"/>
    <x:tableColumn id="10" name="Committed JPY"/>
    <x:tableColumn id="11" name="Variance JP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e7805d1f4f44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9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0" customHeight="1">
      <x:c r="A1" s="4" t="str">
        <x:v>Project Alpha - Material Approval Tracker</x:v>
      </x:c>
    </x:row>
    <x:row r="2">
      <x:c r="A2" s="6" t="str">
        <x:v>Harbor Build | 2026-07-29 | procurement control supporting CO-014</x:v>
      </x:c>
    </x:row>
    <x:row r="4" ht="30" customHeight="1">
      <x:c r="A4" s="12" t="str">
        <x:v>Material ID</x:v>
      </x:c>
      <x:c r="B4" s="12" t="str">
        <x:v>Material</x:v>
      </x:c>
      <x:c r="C4" s="12" t="str">
        <x:v>Trade</x:v>
      </x:c>
      <x:c r="D4" s="12" t="str">
        <x:v>Submittal</x:v>
      </x:c>
      <x:c r="E4" s="12" t="str">
        <x:v>Supplier lead days</x:v>
      </x:c>
      <x:c r="F4" s="12" t="str">
        <x:v>Required on site</x:v>
      </x:c>
      <x:c r="G4" s="12" t="str">
        <x:v>Approval status</x:v>
      </x:c>
      <x:c r="H4" s="12" t="str">
        <x:v>Risk</x:v>
      </x:c>
      <x:c r="I4" s="12" t="str">
        <x:v>Budget impact JPY</x:v>
      </x:c>
      <x:c r="J4" s="12" t="str">
        <x:v>Committed JPY</x:v>
      </x:c>
      <x:c r="K4" s="12" t="str">
        <x:v>Variance JPY</x:v>
      </x:c>
    </x:row>
    <x:row r="5">
      <x:c r="A5" s="14" t="str">
        <x:v>MAT-033</x:v>
      </x:c>
      <x:c r="B5" s="14" t="str">
        <x:v>Concrete mix</x:v>
      </x:c>
      <x:c r="C5" s="14" t="str">
        <x:v>Concrete</x:v>
      </x:c>
      <x:c r="D5" s="14" t="str">
        <x:v>033000-07</x:v>
      </x:c>
      <x:c r="E5" s="14" t="n">
        <x:v>14</x:v>
      </x:c>
      <x:c r="F5" s="15" t="n">
        <x:v>46251</x:v>
      </x:c>
      <x:c r="G5" s="14" t="str">
        <x:v>Approved as noted</x:v>
      </x:c>
      <x:c r="H5" s="14" t="str">
        <x:v>Medium</x:v>
      </x:c>
      <x:c r="I5" s="16" t="n">
        <x:v>4200000</x:v>
      </x:c>
      <x:c r="J5" s="16" t="n">
        <x:v>4000000</x:v>
      </x:c>
      <x:c r="K5" s="16" t="n">
        <x:f>I5-J5</x:f>
        <x:v>200000</x:v>
      </x:c>
    </x:row>
    <x:row r="6">
      <x:c r="A6" s="14" t="str">
        <x:v>MAT-051</x:v>
      </x:c>
      <x:c r="B6" s="14" t="str">
        <x:v>Steel embeds</x:v>
      </x:c>
      <x:c r="C6" s="14" t="str">
        <x:v>Structural</x:v>
      </x:c>
      <x:c r="D6" s="14" t="str">
        <x:v>051200-03</x:v>
      </x:c>
      <x:c r="E6" s="14" t="n">
        <x:v>21</x:v>
      </x:c>
      <x:c r="F6" s="15" t="n">
        <x:v>46258</x:v>
      </x:c>
      <x:c r="G6" s="14" t="str">
        <x:v>Approved as noted</x:v>
      </x:c>
      <x:c r="H6" s="14" t="str">
        <x:v>High</x:v>
      </x:c>
      <x:c r="I6" s="16" t="n">
        <x:v>6100000</x:v>
      </x:c>
      <x:c r="J6" s="16" t="n">
        <x:v>6100000</x:v>
      </x:c>
      <x:c r="K6" s="16" t="n">
        <x:f>I6-J6</x:f>
        <x:v>0</x:v>
      </x:c>
    </x:row>
    <x:row r="7">
      <x:c r="A7" s="14" t="str">
        <x:v>MAT-072</x:v>
      </x:c>
      <x:c r="B7" s="14" t="str">
        <x:v>Roof insulation</x:v>
      </x:c>
      <x:c r="C7" s="14" t="str">
        <x:v>Envelope</x:v>
      </x:c>
      <x:c r="D7" s="14" t="str">
        <x:v>072100-02</x:v>
      </x:c>
      <x:c r="E7" s="14" t="n">
        <x:v>18</x:v>
      </x:c>
      <x:c r="F7" s="15" t="n">
        <x:v>46248</x:v>
      </x:c>
      <x:c r="G7" s="14" t="str">
        <x:v>Overdue</x:v>
      </x:c>
      <x:c r="H7" s="14" t="str">
        <x:v>High</x:v>
      </x:c>
      <x:c r="I7" s="16" t="n">
        <x:v>2500000</x:v>
      </x:c>
      <x:c r="J7" s="16" t="n">
        <x:v>0</x:v>
      </x:c>
      <x:c r="K7" s="16" t="n">
        <x:f>I7-J7</x:f>
        <x:v>2500000</x:v>
      </x:c>
    </x:row>
    <x:row r="8">
      <x:c r="A8" s="14" t="str">
        <x:v>MAT-230</x:v>
      </x:c>
      <x:c r="B8" s="14" t="str">
        <x:v>Air handling unit</x:v>
      </x:c>
      <x:c r="C8" s="14" t="str">
        <x:v>Mechanical</x:v>
      </x:c>
      <x:c r="D8" s="14" t="str">
        <x:v>230500-04</x:v>
      </x:c>
      <x:c r="E8" s="14" t="n">
        <x:v>35</x:v>
      </x:c>
      <x:c r="F8" s="15" t="n">
        <x:v>46275</x:v>
      </x:c>
      <x:c r="G8" s="14" t="str">
        <x:v>Approved</x:v>
      </x:c>
      <x:c r="H8" s="14" t="str">
        <x:v>Medium</x:v>
      </x:c>
      <x:c r="I8" s="16" t="n">
        <x:v>3100000</x:v>
      </x:c>
      <x:c r="J8" s="16" t="n">
        <x:v>3100000</x:v>
      </x:c>
      <x:c r="K8" s="16" t="n">
        <x:f>I8-J8</x:f>
        <x:v>0</x:v>
      </x:c>
    </x:row>
    <x:row r="9">
      <x:c r="A9" s="14" t="str">
        <x:v>MAT-260</x:v>
      </x:c>
      <x:c r="B9" s="14" t="str">
        <x:v>Panelboard</x:v>
      </x:c>
      <x:c r="C9" s="14" t="str">
        <x:v>Electrical</x:v>
      </x:c>
      <x:c r="D9" s="14" t="str">
        <x:v>260500-06</x:v>
      </x:c>
      <x:c r="E9" s="14" t="n">
        <x:v>28</x:v>
      </x:c>
      <x:c r="F9" s="15" t="n">
        <x:v>46268</x:v>
      </x:c>
      <x:c r="G9" s="14" t="str">
        <x:v>Approved as noted</x:v>
      </x:c>
      <x:c r="H9" s="14" t="str">
        <x:v>Medium</x:v>
      </x:c>
      <x:c r="I9" s="16" t="n">
        <x:v>2700000</x:v>
      </x:c>
      <x:c r="J9" s="16" t="n">
        <x:v>2500000</x:v>
      </x:c>
      <x:c r="K9" s="16" t="n">
        <x:f>I9-J9</x:f>
        <x:v>200000</x:v>
      </x:c>
    </x:row>
  </x:sheetData>
  <x:mergeCells>
    <x:mergeCell ref="A1:K1"/>
    <x:mergeCell ref="A2:K2"/>
  </x:mergeCells>
  <x:conditionalFormatting sqref="G5:G9">
    <x:cfRule type="containsText" dxfId="0" priority="1" operator="containsText" text="Overdue"/>
  </x:conditionalFormatting>
  <x:conditionalFormatting sqref="H5:H9">
    <x:cfRule type="containsText" dxfId="1" priority="2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c4e7805d1f4f44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8" hidden="0" customWidth="1"/>
    <x:col min="5" max="5" width="28" hidden="0" customWidth="1"/>
  </x:cols>
  <x:sheetData>
    <x:row r="1" ht="30" customHeight="1">
      <x:c r="A1" s="4" t="str">
        <x:v>Material Approval Dashboard</x:v>
      </x:c>
    </x:row>
    <x:row r="2">
      <x:c r="A2" s="6" t="str">
        <x:v>Live formulas linked to the approvals tracker</x:v>
      </x:c>
    </x:row>
    <x:row r="4" ht="30" customHeight="1">
      <x:c r="A4" s="12" t="str">
        <x:v>KPI</x:v>
      </x:c>
      <x:c r="B4" s="12" t="str">
        <x:v>Value</x:v>
      </x:c>
      <x:c r="D4" s="12" t="str">
        <x:v>CO-014 control</x:v>
      </x:c>
      <x:c r="E4" s="12" t="str">
        <x:v>Current state</x:v>
      </x:c>
    </x:row>
    <x:row r="5">
      <x:c r="A5" s="14" t="str">
        <x:v>Total budget</x:v>
      </x:c>
      <x:c r="B5" s="19" t="n">
        <x:f>SUM('Approvals'!I5:I9)</x:f>
        <x:v>18600000</x:v>
      </x:c>
      <x:c r="D5" s="14" t="str">
        <x:v>Allowance reference</x:v>
      </x:c>
      <x:c r="E5" s="16" t="n">
        <x:v>18600000</x:v>
      </x:c>
    </x:row>
    <x:row r="6">
      <x:c r="A6" s="14" t="str">
        <x:v>Committed</x:v>
      </x:c>
      <x:c r="B6" s="19" t="n">
        <x:f>SUM('Approvals'!J5:J9)</x:f>
        <x:v>15700000</x:v>
      </x:c>
      <x:c r="D6" s="14" t="str">
        <x:v>Insulation release</x:v>
      </x:c>
      <x:c r="E6" s="14" t="str">
        <x:v>Blocked by overdue review</x:v>
      </x:c>
    </x:row>
    <x:row r="7">
      <x:c r="A7" s="14" t="str">
        <x:v>Open variance</x:v>
      </x:c>
      <x:c r="B7" s="19" t="n">
        <x:f>SUM('Approvals'!K5:K9)</x:f>
        <x:v>2900000</x:v>
      </x:c>
      <x:c r="D7" s="14" t="str">
        <x:v>Steel embeds</x:v>
      </x:c>
      <x:c r="E7" s="14" t="str">
        <x:v>Closeout by 2026-08-03</x:v>
      </x:c>
    </x:row>
    <x:row r="8">
      <x:c r="A8" s="14" t="str">
        <x:v>High risk items</x:v>
      </x:c>
      <x:c r="B8" s="20" t="n">
        <x:f>COUNTIF('Approvals'!H5:H9,"High")</x:f>
        <x:v>2</x:v>
      </x:c>
    </x:row>
  </x:sheetData>
  <x:mergeCells>
    <x:mergeCell ref="A1:F1"/>
    <x:mergeCell ref="A2:F2"/>
  </x:mergeCells>
  <x:pageMargins left="0.7" right="0.7" top="0.75" bottom="0.75" header="0.3" footer="0.3"/>
</x:worksheet>
</file>