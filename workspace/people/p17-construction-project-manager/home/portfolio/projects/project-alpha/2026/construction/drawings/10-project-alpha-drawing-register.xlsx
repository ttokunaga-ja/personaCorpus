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e635f7216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awing Register" sheetId="1" r:id="Re216e945182540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JPY&quot;"/>
    <x:numFmt numFmtId="201" formatCode="yyyy-mm-dd"/>
  </x:numFmts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3756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a2fa57f6b1413c" /><Relationship Type="http://schemas.openxmlformats.org/officeDocument/2006/relationships/theme" Target="/xl/theme/theme1.xml" Id="R003d21d6e8c94b5e" /><Relationship Type="http://schemas.openxmlformats.org/officeDocument/2006/relationships/sharedStrings" Target="/xl/sharedStrings.xml" Id="R68e89881714a4014" /><Relationship Type="http://schemas.openxmlformats.org/officeDocument/2006/relationships/worksheet" Target="/xl/worksheets/sheet1.xml" Id="Re216e945182540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10" hidden="0" customWidth="1"/>
    <x:col min="5" max="5" width="14" hidden="0" customWidth="1"/>
    <x:col min="6" max="6" width="24" hidden="0" customWidth="1"/>
    <x:col min="7" max="7" width="28" hidden="0" customWidth="1"/>
    <x:col min="8" max="8" width="22" hidden="0" customWidth="1"/>
    <x:col min="10" max="10" width="20" hidden="0" customWidth="1"/>
    <x:col min="11" max="11" width="18" hidden="0" customWidth="1"/>
  </x:cols>
  <x:sheetData>
    <x:row r="1" ht="26" customHeight="1">
      <x:c r="A1" s="4" t="str">
        <x:v>HARBOR BUILD - PROJECT ALPHA 2026 DRAWING REGISTER</x:v>
      </x:c>
      <x:c r="B1" s="4"/>
      <x:c r="C1" s="4"/>
      <x:c r="D1" s="4"/>
      <x:c r="E1" s="4"/>
      <x:c r="F1" s="4"/>
      <x:c r="G1" s="4"/>
      <x:c r="H1" s="4"/>
      <x:c r="J1" s="19" t="str">
        <x:v>CONTROL SUMMARY</x:v>
      </x:c>
      <x:c r="K1" s="19"/>
    </x:row>
    <x:row r="2" ht="20" customHeight="1">
      <x:c r="A2" s="7" t="str">
        <x:v>Status date: 2026-07-29 | Change Order CO-014 | Approved value: JPY 18,600,000</x:v>
      </x:c>
      <x:c r="B2" s="7"/>
      <x:c r="C2" s="7"/>
      <x:c r="D2" s="7"/>
      <x:c r="E2" s="7"/>
      <x:c r="F2" s="7"/>
      <x:c r="G2" s="7"/>
      <x:c r="H2" s="7"/>
      <x:c r="J2" s="20" t="str">
        <x:v>Registered sheets</x:v>
      </x:c>
      <x:c r="K2" s="17" t="n">
        <x:v>5</x:v>
      </x:c>
    </x:row>
    <x:row r="3" ht="22" customHeight="1">
      <x:c r="A3" s="28" t="str">
        <x:v>Post-approval control snapshot as of 2026-07-29 17:50 JST; approval recorded at 16:42 JST</x:v>
      </x:c>
      <x:c r="B3" s="28"/>
      <x:c r="C3" s="28"/>
      <x:c r="D3" s="28"/>
      <x:c r="E3" s="28"/>
      <x:c r="F3" s="28"/>
      <x:c r="G3" s="28"/>
      <x:c r="H3" s="28"/>
      <x:c r="J3" s="20" t="str">
        <x:v>IFC sheets</x:v>
      </x:c>
      <x:c r="K3" s="17" t="n">
        <x:f>COUNTIF(F5:F9,"Issued for construction")</x:f>
        <x:v>5</x:v>
      </x:c>
    </x:row>
    <x:row r="4">
      <x:c r="A4" s="22" t="str">
        <x:v>Drawing</x:v>
      </x:c>
      <x:c r="B4" s="22" t="str">
        <x:v>Title</x:v>
      </x:c>
      <x:c r="C4" s="22" t="str">
        <x:v>Discipline</x:v>
      </x:c>
      <x:c r="D4" s="22" t="str">
        <x:v>Revision</x:v>
      </x:c>
      <x:c r="E4" s="22" t="str">
        <x:v>Issue date</x:v>
      </x:c>
      <x:c r="F4" s="22" t="str">
        <x:v>Review state</x:v>
      </x:c>
      <x:c r="G4" s="22" t="str">
        <x:v>As-built state</x:v>
      </x:c>
      <x:c r="H4" s="22" t="str">
        <x:v>Control note</x:v>
      </x:c>
      <x:c r="J4" s="20" t="str">
        <x:v>Pending as-built</x:v>
      </x:c>
      <x:c r="K4" s="17" t="n">
        <x:f>COUNTIF(G5:G9,"Pending*")</x:f>
        <x:v>0</x:v>
      </x:c>
    </x:row>
    <x:row r="5">
      <x:c r="A5" s="23" t="str">
        <x:v>A-101</x:v>
      </x:c>
      <x:c r="B5" s="23" t="str">
        <x:v>Level 01 Grid Plan</x:v>
      </x:c>
      <x:c r="C5" s="23" t="str">
        <x:v>Architectural</x:v>
      </x:c>
      <x:c r="D5" s="23" t="str">
        <x:v>C</x:v>
      </x:c>
      <x:c r="E5" s="24" t="n">
        <x:v>46232</x:v>
      </x:c>
      <x:c r="F5" s="23" t="str">
        <x:v>Issued for construction</x:v>
      </x:c>
      <x:c r="G5" s="23" t="str">
        <x:v>Pending field confirmation</x:v>
      </x:c>
      <x:c r="H5" s="23" t="str">
        <x:v>Grid basis</x:v>
      </x:c>
      <x:c r="J5" s="20" t="str">
        <x:v>CO-014 value</x:v>
      </x:c>
      <x:c r="K5" s="21" t="n">
        <x:v>18600000</x:v>
      </x:c>
    </x:row>
    <x:row r="6">
      <x:c r="A6" s="23" t="str">
        <x:v>S-201</x:v>
      </x:c>
      <x:c r="B6" s="23" t="str">
        <x:v>Foundation Layout</x:v>
      </x:c>
      <x:c r="C6" s="23" t="str">
        <x:v>Structural</x:v>
      </x:c>
      <x:c r="D6" s="23" t="str">
        <x:v>C</x:v>
      </x:c>
      <x:c r="E6" s="24" t="n">
        <x:v>46232</x:v>
      </x:c>
      <x:c r="F6" s="23" t="str">
        <x:v>Issued for construction</x:v>
      </x:c>
      <x:c r="G6" s="23" t="str">
        <x:v>Markup incorporated</x:v>
      </x:c>
      <x:c r="H6" s="23" t="str">
        <x:v>CO-014 hold point</x:v>
      </x:c>
    </x:row>
    <x:row r="7">
      <x:c r="A7" s="23" t="str">
        <x:v>C-220</x:v>
      </x:c>
      <x:c r="B7" s="23" t="str">
        <x:v>Level 02 Coordination Overlay</x:v>
      </x:c>
      <x:c r="C7" s="23" t="str">
        <x:v>Coordination</x:v>
      </x:c>
      <x:c r="D7" s="23" t="str">
        <x:v>C</x:v>
      </x:c>
      <x:c r="E7" s="24" t="n">
        <x:v>46232</x:v>
      </x:c>
      <x:c r="F7" s="23" t="str">
        <x:v>Issued for construction</x:v>
      </x:c>
      <x:c r="G7" s="23" t="str">
        <x:v>Coordination complete</x:v>
      </x:c>
      <x:c r="H7" s="23" t="str">
        <x:v>MEP clearance</x:v>
      </x:c>
    </x:row>
    <x:row r="8">
      <x:c r="A8" s="23" t="str">
        <x:v>A-401</x:v>
      </x:c>
      <x:c r="B8" s="23" t="str">
        <x:v>East Elevation</x:v>
      </x:c>
      <x:c r="C8" s="23" t="str">
        <x:v>Architectural</x:v>
      </x:c>
      <x:c r="D8" s="23" t="str">
        <x:v>B</x:v>
      </x:c>
      <x:c r="E8" s="24" t="n">
        <x:v>46232</x:v>
      </x:c>
      <x:c r="F8" s="23" t="str">
        <x:v>Issued for construction</x:v>
      </x:c>
      <x:c r="G8" s="23" t="str">
        <x:v>Pending facade verification</x:v>
      </x:c>
      <x:c r="H8" s="23" t="str">
        <x:v>Datum annotation</x:v>
      </x:c>
    </x:row>
    <x:row r="9">
      <x:c r="A9" s="23" t="str">
        <x:v>L-001</x:v>
      </x:c>
      <x:c r="B9" s="23" t="str">
        <x:v>Crane Logistics Plan</x:v>
      </x:c>
      <x:c r="C9" s="23" t="str">
        <x:v>Logistics</x:v>
      </x:c>
      <x:c r="D9" s="23" t="str">
        <x:v>C</x:v>
      </x:c>
      <x:c r="E9" s="24" t="n">
        <x:v>46232</x:v>
      </x:c>
      <x:c r="F9" s="23" t="str">
        <x:v>Issued for construction</x:v>
      </x:c>
      <x:c r="G9" s="23" t="str">
        <x:v>Historical reference</x:v>
      </x:c>
      <x:c r="H9" s="23" t="str">
        <x:v>Planning aid</x:v>
      </x:c>
    </x:row>
  </x:sheetData>
  <x:mergeCells>
    <x:mergeCell ref="A1:H1"/>
    <x:mergeCell ref="A2:H2"/>
    <x:mergeCell ref="J1:K1"/>
    <x:mergeCell ref="A3:H3"/>
  </x:mergeCells>
  <x:pageMargins left="0.7" right="0.7" top="0.75" bottom="0.75" header="0.3" footer="0.3"/>
</x:worksheet>
</file>