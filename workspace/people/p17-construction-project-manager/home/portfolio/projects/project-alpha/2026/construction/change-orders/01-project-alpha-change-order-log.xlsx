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03fefdfbc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 Register" sheetId="1" r:id="R9fbd8676222b4ec4"/>
    <x:sheet xmlns:r="http://schemas.openxmlformats.org/officeDocument/2006/relationships" name="Summary" sheetId="2" r:id="R0b4e12209e2a4bef"/>
  </x:sheets>
  <x:definedNames>
    <x:definedName name="_xlnm.Print_Area" localSheetId="0">'Change Register'!$A$1:$H$9</x:definedName>
    <x:definedName name="_xlnm.Print_Area" localSheetId="1">'Summary'!$A$1:$D$9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163B5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B52"/>
      </x:patternFill>
    </x:fill>
    <x:fill>
      <x:patternFill patternType="solid">
        <x:fgColor rgb="FFD58B32"/>
      </x:patternFill>
    </x:fill>
    <x:fill>
      <x:patternFill patternType="solid">
        <x:fgColor rgb="FFF7EAD7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451a14bcf4760" /><Relationship Type="http://schemas.openxmlformats.org/officeDocument/2006/relationships/theme" Target="/xl/theme/theme1.xml" Id="R2410bba201434bfa" /><Relationship Type="http://schemas.openxmlformats.org/officeDocument/2006/relationships/sharedStrings" Target="/xl/sharedStrings.xml" Id="R2c44aa2c7ea24cbd" /><Relationship Type="http://schemas.openxmlformats.org/officeDocument/2006/relationships/worksheet" Target="/xl/worksheets/sheet1.xml" Id="R9fbd8676222b4ec4" /><Relationship Type="http://schemas.openxmlformats.org/officeDocument/2006/relationships/worksheet" Target="/xl/worksheets/sheet2.xml" Id="R0b4e12209e2a4b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 autoPageBreaks="1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6" hidden="0" customWidth="1"/>
    <x:col min="5" max="5" width="22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3" t="str">
        <x:v>Project Alpha Change Order Register</x:v>
      </x:c>
      <x:c r="B1" s="3"/>
      <x:c r="C1" s="3"/>
      <x:c r="D1" s="3"/>
      <x:c r="E1" s="3"/>
      <x:c r="F1" s="3"/>
      <x:c r="G1" s="3"/>
      <x:c r="H1" s="3"/>
    </x:row>
    <x:row r="2">
      <x:c r="A2" t="str">
        <x:v>Harbor Build | Status at 2026-07-29</x:v>
      </x:c>
      <x:c r="B2" t="str">
        <x:v>Harbor Build | Status at 2026-07-29</x:v>
      </x:c>
      <x:c r="C2" t="str">
        <x:v>Harbor Build | Status at 2026-07-29</x:v>
      </x:c>
      <x:c r="D2" t="str">
        <x:v>Harbor Build | Status at 2026-07-29</x:v>
      </x:c>
      <x:c r="E2" t="str">
        <x:v>Harbor Build | Status at 2026-07-29</x:v>
      </x:c>
      <x:c r="F2" t="str">
        <x:v>Harbor Build | Status at 2026-07-29</x:v>
      </x:c>
      <x:c r="G2" t="str">
        <x:v>Harbor Build | Status at 2026-07-29</x:v>
      </x:c>
      <x:c r="H2" t="str">
        <x:v>Harbor Build | Status at 2026-07-29</x:v>
      </x:c>
    </x:row>
    <x:row r="4">
      <x:c r="A4" s="7" t="str">
        <x:v>Event</x:v>
      </x:c>
      <x:c r="B4" s="7" t="str">
        <x:v>Date</x:v>
      </x:c>
      <x:c r="C4" s="7" t="str">
        <x:v>Change order</x:v>
      </x:c>
      <x:c r="D4" s="7" t="str">
        <x:v>Scope</x:v>
      </x:c>
      <x:c r="E4" s="7" t="str">
        <x:v>Owner</x:v>
      </x:c>
      <x:c r="F4" s="7" t="str">
        <x:v>Status</x:v>
      </x:c>
      <x:c r="G4" s="7" t="str">
        <x:v>Proposed JPY</x:v>
      </x:c>
      <x:c r="H4" s="7" t="str">
        <x:v>Approved JPY</x:v>
      </x:c>
    </x:row>
    <x:row r="5">
      <x:c r="A5" s="8" t="str">
        <x:v>CE-009</x:v>
      </x:c>
      <x:c r="B5" s="10" t="str">
        <x:v>2026-05-14</x:v>
      </x:c>
      <x:c r="C5" s="8" t="str">
        <x:v>CO-009</x:v>
      </x:c>
      <x:c r="D5" s="8" t="str">
        <x:v>Foundation access revision</x:v>
      </x:c>
      <x:c r="E5" s="8" t="str">
        <x:v>Project Controls</x:v>
      </x:c>
      <x:c r="F5" s="8" t="str">
        <x:v>Approved</x:v>
      </x:c>
      <x:c r="G5" s="9" t="n">
        <x:v>3200000</x:v>
      </x:c>
      <x:c r="H5" s="9" t="n">
        <x:v>3200000</x:v>
      </x:c>
    </x:row>
    <x:row r="6">
      <x:c r="A6" s="8" t="str">
        <x:v>CE-011</x:v>
      </x:c>
      <x:c r="B6" s="10" t="str">
        <x:v>2026-06-03</x:v>
      </x:c>
      <x:c r="C6" s="8" t="str">
        <x:v>CO-011</x:v>
      </x:c>
      <x:c r="D6" s="8" t="str">
        <x:v>Electrical containment adjustment</x:v>
      </x:c>
      <x:c r="E6" s="8" t="str">
        <x:v>MEP Lead</x:v>
      </x:c>
      <x:c r="F6" s="8" t="str">
        <x:v>Approved</x:v>
      </x:c>
      <x:c r="G6" s="9" t="n">
        <x:v>4750000</x:v>
      </x:c>
      <x:c r="H6" s="9" t="n">
        <x:v>4500000</x:v>
      </x:c>
    </x:row>
    <x:row r="7">
      <x:c r="A7" s="8" t="str">
        <x:v>CE-012</x:v>
      </x:c>
      <x:c r="B7" s="10" t="str">
        <x:v>2026-06-21</x:v>
      </x:c>
      <x:c r="C7" s="8" t="str">
        <x:v>CO-012</x:v>
      </x:c>
      <x:c r="D7" s="8" t="str">
        <x:v>Façade mock-up revision</x:v>
      </x:c>
      <x:c r="E7" s="8" t="str">
        <x:v>Envelope Lead</x:v>
      </x:c>
      <x:c r="F7" s="8" t="str">
        <x:v>Withdrawn</x:v>
      </x:c>
      <x:c r="G7" s="9" t="n">
        <x:v>1100000</x:v>
      </x:c>
      <x:c r="H7" s="9" t="n">
        <x:v>0</x:v>
      </x:c>
    </x:row>
    <x:row r="8">
      <x:c r="A8" s="8" t="str">
        <x:v>CE-014</x:v>
      </x:c>
      <x:c r="B8" s="10" t="str">
        <x:v>2026-07-11</x:v>
      </x:c>
      <x:c r="C8" s="8" t="str">
        <x:v>CO-014</x:v>
      </x:c>
      <x:c r="D8" s="8" t="str">
        <x:v>Issued coordination delta</x:v>
      </x:c>
      <x:c r="E8" s="8" t="str">
        <x:v>Commercial Controls</x:v>
      </x:c>
      <x:c r="F8" s="8" t="str">
        <x:v>Pending approval</x:v>
      </x:c>
      <x:c r="G8" s="9" t="n">
        <x:v>18600000</x:v>
      </x:c>
      <x:c r="H8" s="9" t="n">
        <x:v>0</x:v>
      </x:c>
    </x:row>
    <x:row r="9">
      <x:c r="A9" s="8" t="str">
        <x:v>CE-015</x:v>
      </x:c>
      <x:c r="B9" s="10" t="str">
        <x:v>2026-07-26</x:v>
      </x:c>
      <x:c r="C9" s="8" t="str">
        <x:v>CO-015</x:v>
      </x:c>
      <x:c r="D9" s="8" t="str">
        <x:v>Look-ahead resequencing</x:v>
      </x:c>
      <x:c r="E9" s="8" t="str">
        <x:v>Project Controls</x:v>
      </x:c>
      <x:c r="F9" s="8" t="str">
        <x:v>Under review</x:v>
      </x:c>
      <x:c r="G9" s="9" t="n">
        <x:v>2100000</x:v>
      </x:c>
      <x:c r="H9" s="9" t="n">
        <x:v>0</x:v>
      </x:c>
    </x:row>
  </x:sheetData>
  <x:mergeCells>
    <x:mergeCell ref="A1:H1"/>
    <x:mergeCell ref="A2:H2"/>
  </x:mergeCells>
  <x:printOptions horizontalCentered="1" verticalCentered="0" headings="0" gridLines="0"/>
  <x:pageMargins left="0.25" right="0.25" top="0.40" bottom="0.40" header="0.15" footer="0.15"/>
  <x:pageSetup paperSize="9" orientation="landscape" fitToWidth="1" fitToHeight="0" horizontalDpi="300" verticalDpi="300"/>
</x:worksheet>
</file>

<file path=xl/worksheets/sheet2.xml><?xml version="1.0" encoding="utf-8"?>
<x:worksheet xmlns:x="http://schemas.openxmlformats.org/spreadsheetml/2006/main">
  <x:sheetPr>
    <x:pageSetUpPr fitToPage="1" autoPageBreaks="1"/>
  </x:sheetPr>
  <x:sheetFormatPr defaultRowHeight="15"/>
  <x:cols>
    <x:col min="1" max="1" width="28" hidden="0" customWidth="1"/>
    <x:col min="2" max="2" width="18" hidden="0" customWidth="1"/>
  </x:cols>
  <x:sheetData>
    <x:row r="1">
      <x:c r="A1" s="2" t="str">
        <x:v>Change Control Summary | Project Alpha 2026</x:v>
      </x:c>
      <x:c r="B1" s="2"/>
      <x:c r="C1" s="2"/>
      <x:c r="D1" s="2"/>
    </x:row>
    <x:row r="3">
      <x:c r="A3" s="12" t="str">
        <x:v>Metric</x:v>
      </x:c>
      <x:c r="B3" s="12" t="str">
        <x:v>Value</x:v>
      </x:c>
    </x:row>
    <x:row r="4">
      <x:c r="A4" s="8" t="str">
        <x:v>Proposed pipeline</x:v>
      </x:c>
      <x:c r="B4" s="9" t="n">
        <x:f>SUM('Change Register'!G5:G9)</x:f>
        <x:v>29750000</x:v>
      </x:c>
    </x:row>
    <x:row r="5">
      <x:c r="A5" s="8" t="str">
        <x:v>Approved value</x:v>
      </x:c>
      <x:c r="B5" s="9" t="n">
        <x:f>SUM('Change Register'!H5:H9)</x:f>
        <x:v>7700000</x:v>
      </x:c>
    </x:row>
    <x:row r="6">
      <x:c r="A6" s="8" t="str">
        <x:v>CO-014 proposed value</x:v>
      </x:c>
      <x:c r="B6" s="9" t="n">
        <x:f>'Change Register'!G8</x:f>
        <x:v>18600000</x:v>
      </x:c>
    </x:row>
    <x:row r="8">
      <x:c r="A8" s="15" t="str">
        <x:v>Pre-approval control snapshot — as of 2026-07-29 15:30 JST; superseded by approval recorded at 16:42 JST. Before approval, release was prohibited.</x:v>
      </x:c>
      <x:c r="B8" s="15"/>
      <x:c r="C8" s="15"/>
      <x:c r="D8" s="15"/>
    </x:row>
    <x:row r="9">
      <x:c r="A9" s="15"/>
      <x:c r="B9" s="15"/>
      <x:c r="C9" s="15"/>
      <x:c r="D9" s="15"/>
    </x:row>
  </x:sheetData>
  <x:mergeCells>
    <x:mergeCell ref="A1:D1"/>
    <x:mergeCell ref="A8:D9"/>
  </x:mergeCells>
  <x:printOptions horizontalCentered="1" verticalCentered="0" headings="0" gridLines="0"/>
  <x:pageMargins left="0.25" right="0.25" top="0.40" bottom="0.40" header="0.15" footer="0.15"/>
  <x:pageSetup paperSize="9" orientation="landscape" fitToWidth="1" fitToHeight="0" horizontalDpi="300" verticalDpi="300"/>
</x:worksheet>
</file>