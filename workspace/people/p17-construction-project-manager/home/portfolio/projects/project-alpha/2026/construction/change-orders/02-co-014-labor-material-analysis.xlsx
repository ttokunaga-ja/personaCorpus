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018df2dbf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or" sheetId="1" r:id="R804496705adb4e10"/>
    <x:sheet xmlns:r="http://schemas.openxmlformats.org/officeDocument/2006/relationships" name="Material" sheetId="2" r:id="R758d8ed6758543c3"/>
    <x:sheet xmlns:r="http://schemas.openxmlformats.org/officeDocument/2006/relationships" name="Reconciliation" sheetId="3" r:id="R96541b5fa1c940dc"/>
  </x:sheets>
  <x:definedNames>
    <x:definedName name="_xlnm.Print_Area" localSheetId="0">'Labor'!$A$1:$H$8</x:definedName>
    <x:definedName name="_xlnm.Print_Area" localSheetId="1">'Material'!$A$1:$H$7</x:definedName>
    <x:definedName name="_xlnm.Print_Area" localSheetId="2">'Reconciliation'!$A$1:$D$10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163B5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B52"/>
      </x:patternFill>
    </x:fill>
    <x:fill>
      <x:patternFill patternType="solid">
        <x:fgColor rgb="FFD58B32"/>
      </x:patternFill>
    </x:fill>
    <x:fill>
      <x:patternFill patternType="solid">
        <x:fgColor rgb="FFF7EAD7"/>
      </x:patternFill>
    </x:fill>
    <x:fill>
      <x:patternFill patternType="solid">
        <x:fgColor rgb="FFF7EAD7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e77dbf41f4d36" /><Relationship Type="http://schemas.openxmlformats.org/officeDocument/2006/relationships/theme" Target="/xl/theme/theme1.xml" Id="R9de53a46778e47e2" /><Relationship Type="http://schemas.openxmlformats.org/officeDocument/2006/relationships/sharedStrings" Target="/xl/sharedStrings.xml" Id="Ra1b1e37e14754acb" /><Relationship Type="http://schemas.openxmlformats.org/officeDocument/2006/relationships/worksheet" Target="/xl/worksheets/sheet1.xml" Id="R804496705adb4e10" /><Relationship Type="http://schemas.openxmlformats.org/officeDocument/2006/relationships/worksheet" Target="/xl/worksheets/sheet2.xml" Id="R758d8ed6758543c3" /><Relationship Type="http://schemas.openxmlformats.org/officeDocument/2006/relationships/worksheet" Target="/xl/worksheets/sheet3.xml" Id="R96541b5fa1c940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1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3" t="str">
        <x:v>CO-014 Labor Analysis</x:v>
      </x:c>
      <x:c r="B1" s="3"/>
      <x:c r="C1" s="3"/>
      <x:c r="D1" s="3"/>
      <x:c r="E1" s="3"/>
      <x:c r="F1" s="3"/>
      <x:c r="G1" s="3"/>
      <x:c r="H1" s="3"/>
    </x:row>
    <x:row r="2">
      <x:c r="A2" t="str">
        <x:v>Harbor Build | CO-014 | Rates and extended values</x:v>
      </x:c>
      <x:c r="B2" t="str">
        <x:v>Harbor Build | CO-014 | Rates and extended values</x:v>
      </x:c>
      <x:c r="C2" t="str">
        <x:v>Harbor Build | CO-014 | Rates and extended values</x:v>
      </x:c>
      <x:c r="D2" t="str">
        <x:v>Harbor Build | CO-014 | Rates and extended values</x:v>
      </x:c>
      <x:c r="E2" t="str">
        <x:v>Harbor Build | CO-014 | Rates and extended values</x:v>
      </x:c>
      <x:c r="F2" t="str">
        <x:v>Harbor Build | CO-014 | Rates and extended values</x:v>
      </x:c>
      <x:c r="G2" t="str">
        <x:v>Harbor Build | CO-014 | Rates and extended values</x:v>
      </x:c>
      <x:c r="H2" t="str">
        <x:v>Harbor Build | CO-014 | Rates and extended values</x:v>
      </x:c>
    </x:row>
    <x:row r="4">
      <x:c r="A4" s="7" t="str">
        <x:v>Work package</x:v>
      </x:c>
      <x:c r="B4" s="7" t="str">
        <x:v>Trade</x:v>
      </x:c>
      <x:c r="C4" s="7" t="str">
        <x:v>Hours</x:v>
      </x:c>
      <x:c r="D4" s="7" t="str">
        <x:v>Rate JPY/hr</x:v>
      </x:c>
      <x:c r="E4" s="6" t="str">
        <x:v>Extended JPY</x:v>
      </x:c>
      <x:c r="F4" s="6" t="str"/>
      <x:c r="G4" s="6" t="str"/>
      <x:c r="H4" s="6" t="str"/>
    </x:row>
    <x:row r="5">
      <x:c r="A5" s="8" t="str">
        <x:v>Design coordination</x:v>
      </x:c>
      <x:c r="B5" s="8" t="str">
        <x:v>PM / Engineering</x:v>
      </x:c>
      <x:c r="C5" s="9" t="n">
        <x:v>2400</x:v>
      </x:c>
      <x:c r="D5" s="9" t="n">
        <x:v>1700</x:v>
      </x:c>
      <x:c r="E5" s="10" t="n">
        <x:f>C5*D5</x:f>
        <x:v>4080000</x:v>
      </x:c>
    </x:row>
    <x:row r="6">
      <x:c r="A6" s="8" t="str">
        <x:v>MEP reroute</x:v>
      </x:c>
      <x:c r="B6" s="8" t="str">
        <x:v>Installation crew</x:v>
      </x:c>
      <x:c r="C6" s="9" t="n">
        <x:v>7640</x:v>
      </x:c>
      <x:c r="D6" s="9" t="n">
        <x:v>500</x:v>
      </x:c>
      <x:c r="E6" s="10" t="n">
        <x:f>C6*D6</x:f>
        <x:v>3820000</x:v>
      </x:c>
    </x:row>
    <x:row r="7">
      <x:c r="A7" s="8" t="str">
        <x:v>Fire protection coordination</x:v>
      </x:c>
      <x:c r="B7" s="8" t="str">
        <x:v>Fire trade</x:v>
      </x:c>
      <x:c r="C7" s="9" t="n">
        <x:v>1800</x:v>
      </x:c>
      <x:c r="D7" s="9" t="n">
        <x:v>600</x:v>
      </x:c>
      <x:c r="E7" s="10" t="n">
        <x:f>C7*D7</x:f>
        <x:v>1080000</x:v>
      </x:c>
    </x:row>
    <x:row r="8">
      <x:c r="A8" s="8" t="str">
        <x:v>Commissioning and testing</x:v>
      </x:c>
      <x:c r="B8" s="8" t="str">
        <x:v>Controls trade</x:v>
      </x:c>
      <x:c r="C8" s="9" t="n">
        <x:v>3400</x:v>
      </x:c>
      <x:c r="D8" s="9" t="n">
        <x:v>300</x:v>
      </x:c>
      <x:c r="E8" s="10" t="n">
        <x:f>C8*D8</x:f>
        <x:v>1020000</x:v>
      </x:c>
    </x:row>
  </x:sheetData>
  <x:mergeCells>
    <x:mergeCell ref="A1:H1"/>
    <x:mergeCell ref="A2:H2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

<file path=xl/worksheets/sheet2.xml><?xml version="1.0" encoding="utf-8"?>
<x:worksheet xmlns:x="http://schemas.openxmlformats.org/spreadsheetml/2006/main">
  <x:sheetPr>
    <x:pageSetUpPr fitToPage="1" autoPageBreaks="1"/>
  </x:sheetPr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3" t="str">
        <x:v>CO-014 Material Analysis</x:v>
      </x:c>
      <x:c r="B1" s="3"/>
      <x:c r="C1" s="3"/>
      <x:c r="D1" s="3"/>
      <x:c r="E1" s="3"/>
      <x:c r="F1" s="3"/>
      <x:c r="G1" s="3"/>
      <x:c r="H1" s="3"/>
    </x:row>
    <x:row r="2">
      <x:c r="A2" t="str">
        <x:v>Harbor Build | CO-014 | Quantities and unit costs</x:v>
      </x:c>
      <x:c r="B2" t="str">
        <x:v>Harbor Build | CO-014 | Quantities and unit costs</x:v>
      </x:c>
      <x:c r="C2" t="str">
        <x:v>Harbor Build | CO-014 | Quantities and unit costs</x:v>
      </x:c>
      <x:c r="D2" t="str">
        <x:v>Harbor Build | CO-014 | Quantities and unit costs</x:v>
      </x:c>
      <x:c r="E2" t="str">
        <x:v>Harbor Build | CO-014 | Quantities and unit costs</x:v>
      </x:c>
      <x:c r="F2" t="str">
        <x:v>Harbor Build | CO-014 | Quantities and unit costs</x:v>
      </x:c>
      <x:c r="G2" t="str">
        <x:v>Harbor Build | CO-014 | Quantities and unit costs</x:v>
      </x:c>
      <x:c r="H2" t="str">
        <x:v>Harbor Build | CO-014 | Quantities and unit costs</x:v>
      </x:c>
    </x:row>
    <x:row r="4">
      <x:c r="A4" s="7" t="str">
        <x:v>Material package</x:v>
      </x:c>
      <x:c r="B4" s="7" t="str">
        <x:v>Unit</x:v>
      </x:c>
      <x:c r="C4" s="7" t="str">
        <x:v>Quantity</x:v>
      </x:c>
      <x:c r="D4" s="7" t="str">
        <x:v>Unit cost JPY</x:v>
      </x:c>
      <x:c r="E4" s="7" t="str">
        <x:v>Material JPY</x:v>
      </x:c>
      <x:c r="F4" s="6" t="str"/>
      <x:c r="G4" s="6" t="str"/>
      <x:c r="H4" s="6" t="str"/>
    </x:row>
    <x:row r="5">
      <x:c r="A5" s="8" t="str">
        <x:v>Structural steel connections</x:v>
      </x:c>
      <x:c r="B5" s="8" t="str">
        <x:v>tonne</x:v>
      </x:c>
      <x:c r="C5" s="9" t="n">
        <x:v>150</x:v>
      </x:c>
      <x:c r="D5" s="9" t="n">
        <x:v>14000</x:v>
      </x:c>
      <x:c r="E5" s="9" t="n">
        <x:f>C5*D5</x:f>
        <x:v>2100000</x:v>
      </x:c>
    </x:row>
    <x:row r="6">
      <x:c r="A6" s="8" t="str">
        <x:v>Envelope flashing and waterproofing</x:v>
      </x:c>
      <x:c r="B6" s="8" t="str">
        <x:v>m2</x:v>
      </x:c>
      <x:c r="C6" s="9" t="n">
        <x:v>6200</x:v>
      </x:c>
      <x:c r="D6" s="9" t="n">
        <x:v>400</x:v>
      </x:c>
      <x:c r="E6" s="9" t="n">
        <x:f>C6*D6</x:f>
        <x:v>2480000</x:v>
      </x:c>
    </x:row>
    <x:row r="7">
      <x:c r="A7" s="8" t="str">
        <x:v>Equipment supports and misc.</x:v>
      </x:c>
      <x:c r="B7" s="8" t="str">
        <x:v>set</x:v>
      </x:c>
      <x:c r="C7" s="9" t="n">
        <x:v>250</x:v>
      </x:c>
      <x:c r="D7" s="9" t="n">
        <x:v>4880</x:v>
      </x:c>
      <x:c r="E7" s="9" t="n">
        <x:f>C7*D7</x:f>
        <x:v>1220000</x:v>
      </x:c>
    </x:row>
  </x:sheetData>
  <x:mergeCells>
    <x:mergeCell ref="A1:H1"/>
    <x:mergeCell ref="A2:H2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

<file path=xl/worksheets/sheet3.xml><?xml version="1.0" encoding="utf-8"?>
<x:worksheet xmlns:x="http://schemas.openxmlformats.org/spreadsheetml/2006/main">
  <x:sheetPr>
    <x:pageSetUpPr fitToPage="1" autoPageBreaks="1"/>
  </x:sheetPr>
  <x:sheetFormatPr defaultRowHeight="15"/>
  <x:cols>
    <x:col min="1" max="1" width="24" hidden="0" customWidth="1"/>
    <x:col min="2" max="2" width="25" hidden="0" customWidth="1"/>
    <x:col min="3" max="3" width="18" hidden="0" customWidth="1"/>
    <x:col min="4" max="4" width="18" hidden="0" customWidth="1"/>
  </x:cols>
  <x:sheetData>
    <x:row r="1">
      <x:c r="A1" s="2" t="str">
        <x:v>CO-014 Cost-Class Reconciliation</x:v>
      </x:c>
      <x:c r="B1" s="2"/>
      <x:c r="C1" s="2"/>
      <x:c r="D1" s="2"/>
    </x:row>
    <x:row r="3">
      <x:c r="A3" s="12" t="str">
        <x:v>Cost class</x:v>
      </x:c>
      <x:c r="B3" s="12" t="str">
        <x:v>Source</x:v>
      </x:c>
      <x:c r="C3" s="12" t="str">
        <x:v>Formula amount</x:v>
      </x:c>
      <x:c r="D3" s="12" t="str">
        <x:v>Target JPY</x:v>
      </x:c>
    </x:row>
    <x:row r="4">
      <x:c r="A4" s="8" t="str">
        <x:v>Labor</x:v>
      </x:c>
      <x:c r="B4" s="8" t="str">
        <x:v>Labor sheet</x:v>
      </x:c>
      <x:c r="C4" s="9" t="n">
        <x:f>SUM('Labor'!E5:E8)</x:f>
        <x:v>10000000</x:v>
      </x:c>
      <x:c r="D4" s="9" t="str"/>
    </x:row>
    <x:row r="5">
      <x:c r="A5" s="8" t="str">
        <x:v>Material</x:v>
      </x:c>
      <x:c r="B5" s="8" t="str">
        <x:v>Material sheet</x:v>
      </x:c>
      <x:c r="C5" s="9" t="n">
        <x:f>SUM('Material'!E5:E7)</x:f>
        <x:v>5800000</x:v>
      </x:c>
      <x:c r="D5" s="9" t="str"/>
    </x:row>
    <x:row r="6">
      <x:c r="A6" s="8" t="str">
        <x:v>General conditions</x:v>
      </x:c>
      <x:c r="B6" s="8" t="str">
        <x:v>Controlled allowance</x:v>
      </x:c>
      <x:c r="C6" s="9" t="n">
        <x:v>2800000</x:v>
      </x:c>
      <x:c r="D6" s="9" t="n">
        <x:v>2800000</x:v>
      </x:c>
    </x:row>
    <x:row r="7">
      <x:c r="A7" s="15" t="str">
        <x:v>CO-014 total</x:v>
      </x:c>
      <x:c r="B7" s="15" t="str">
        <x:v>Formula total</x:v>
      </x:c>
      <x:c r="C7" s="16" t="n">
        <x:f>SUM(C4:C6)</x:f>
        <x:v>18600000</x:v>
      </x:c>
      <x:c r="D7" s="16" t="n">
        <x:v>18600000</x:v>
      </x:c>
    </x:row>
    <x:row r="9">
      <x:c r="A9" s="19" t="str">
        <x:v>Pre-approval control snapshot — as of 2026-07-29 15:30 JST; superseded by approval recorded at 16:42 JST. Before approval, release was prohibited.</x:v>
      </x:c>
      <x:c r="B9" s="19"/>
      <x:c r="C9" s="19"/>
      <x:c r="D9" s="19"/>
    </x:row>
    <x:row r="10">
      <x:c r="A10" s="19"/>
      <x:c r="B10" s="19"/>
      <x:c r="C10" s="19"/>
      <x:c r="D10" s="19"/>
    </x:row>
  </x:sheetData>
  <x:mergeCells>
    <x:mergeCell ref="A1:D1"/>
    <x:mergeCell ref="A9:D10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