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4d94cbbaf042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er" sheetId="1" r:id="R62c93384e9f644ba"/>
    <x:sheet xmlns:r="http://schemas.openxmlformats.org/officeDocument/2006/relationships" name="Summary" sheetId="2" r:id="R37425c2fdb5048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A5560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04253"/>
      </x:patternFill>
    </x:fill>
    <x:fill>
      <x:patternFill patternType="solid">
        <x:fgColor rgb="FF2B6F74"/>
      </x:patternFill>
    </x:fill>
    <x:fill>
      <x:patternFill patternType="solid">
        <x:fgColor rgb="FFE8F1F2"/>
      </x:patternFill>
    </x:fill>
  </x:fills>
  <x:borders count="2">
    <x:border/>
    <x:border>
      <x:left style="thin">
        <x:color rgb="FFC9D5D9"/>
      </x:left>
      <x:right style="thin">
        <x:color rgb="FFC9D5D9"/>
      </x:right>
      <x:top style="thin">
        <x:color rgb="FFC9D5D9"/>
      </x:top>
      <x:bottom style="thin">
        <x:color rgb="FFC9D5D9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201" fontId="4" fillId="4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af188294b742f9" /><Relationship Type="http://schemas.openxmlformats.org/officeDocument/2006/relationships/theme" Target="/xl/theme/theme1.xml" Id="Rf266c857d9494f8a" /><Relationship Type="http://schemas.openxmlformats.org/officeDocument/2006/relationships/sharedStrings" Target="/xl/sharedStrings.xml" Id="Rad4553747dc845b1" /><Relationship Type="http://schemas.openxmlformats.org/officeDocument/2006/relationships/worksheet" Target="/xl/worksheets/sheet1.xml" Id="R62c93384e9f644ba" /><Relationship Type="http://schemas.openxmlformats.org/officeDocument/2006/relationships/worksheet" Target="/xl/worksheets/sheet2.xml" Id="R37425c2fdb504877" /></Relationships>
</file>

<file path=xl/tables/table1.xml><?xml version="1.0" encoding="utf-8"?>
<x:table xmlns:x="http://schemas.openxmlformats.org/spreadsheetml/2006/main" id="1" name="SubmittalRegister" displayName="SubmittalRegister" ref="A4:J9" headerRowCount="1" totalsRowCount="0" totalsRowShown="0">
  <x:tableColumns count="10">
    <x:tableColumn id="1" name="Submittal ID"/>
    <x:tableColumn id="2" name="Spec section"/>
    <x:tableColumn id="3" name="Package"/>
    <x:tableColumn id="4" name="Revision"/>
    <x:tableColumn id="5" name="Received"/>
    <x:tableColumn id="6" name="Status"/>
    <x:tableColumn id="7" name="Reviewer"/>
    <x:tableColumn id="8" name="Due date"/>
    <x:tableColumn id="9" name="CO-014"/>
    <x:tableColumn id="10" name="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260d2e2c6341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6" hidden="0" customWidth="1"/>
  </x:cols>
  <x:sheetData>
    <x:row r="1" ht="30" customHeight="1">
      <x:c r="A1" s="4" t="str">
        <x:v>Project Alpha - Submittal Register</x:v>
      </x:c>
    </x:row>
    <x:row r="2">
      <x:c r="A2" s="6" t="str">
        <x:v>Harbor Build | 2026-07-29 | CO-014 controlled packages | JPY 18,600,000 reference</x:v>
      </x:c>
    </x:row>
    <x:row r="4" ht="30" customHeight="1">
      <x:c r="A4" s="12" t="str">
        <x:v>Submittal ID</x:v>
      </x:c>
      <x:c r="B4" s="12" t="str">
        <x:v>Spec section</x:v>
      </x:c>
      <x:c r="C4" s="12" t="str">
        <x:v>Package</x:v>
      </x:c>
      <x:c r="D4" s="12" t="str">
        <x:v>Revision</x:v>
      </x:c>
      <x:c r="E4" s="12" t="str">
        <x:v>Received</x:v>
      </x:c>
      <x:c r="F4" s="12" t="str">
        <x:v>Status</x:v>
      </x:c>
      <x:c r="G4" s="12" t="str">
        <x:v>Reviewer</x:v>
      </x:c>
      <x:c r="H4" s="12" t="str">
        <x:v>Due date</x:v>
      </x:c>
      <x:c r="I4" s="12" t="str">
        <x:v>CO-014</x:v>
      </x:c>
      <x:c r="J4" s="12" t="str">
        <x:v>Action</x:v>
      </x:c>
    </x:row>
    <x:row r="5">
      <x:c r="A5" s="14" t="str">
        <x:v>033000-07</x:v>
      </x:c>
      <x:c r="B5" s="14" t="str">
        <x:v>033000</x:v>
      </x:c>
      <x:c r="C5" s="14" t="str">
        <x:v>Concrete Mix Design</x:v>
      </x:c>
      <x:c r="D5" s="14" t="str">
        <x:v>02</x:v>
      </x:c>
      <x:c r="E5" s="15" t="n">
        <x:v>46225</x:v>
      </x:c>
      <x:c r="F5" s="14" t="str">
        <x:v>Approved as noted</x:v>
      </x:c>
      <x:c r="G5" s="14" t="str">
        <x:v>Project controls</x:v>
      </x:c>
      <x:c r="H5" s="15" t="n">
        <x:v>46237</x:v>
      </x:c>
      <x:c r="I5" s="14" t="str">
        <x:v>Yes</x:v>
      </x:c>
      <x:c r="J5" s="14" t="str">
        <x:v>Add 56-day data</x:v>
      </x:c>
    </x:row>
    <x:row r="6">
      <x:c r="A6" s="14" t="str">
        <x:v>051200-03</x:v>
      </x:c>
      <x:c r="B6" s="14" t="str">
        <x:v>051200</x:v>
      </x:c>
      <x:c r="C6" s="14" t="str">
        <x:v>Steel Shop Drawings</x:v>
      </x:c>
      <x:c r="D6" s="14" t="str">
        <x:v>01</x:v>
      </x:c>
      <x:c r="E6" s="15" t="n">
        <x:v>46224</x:v>
      </x:c>
      <x:c r="F6" s="14" t="str">
        <x:v>Approved as noted</x:v>
      </x:c>
      <x:c r="G6" s="14" t="str">
        <x:v>Structural review</x:v>
      </x:c>
      <x:c r="H6" s="15" t="n">
        <x:v>46237</x:v>
      </x:c>
      <x:c r="I6" s="14" t="str">
        <x:v>Yes</x:v>
      </x:c>
      <x:c r="J6" s="14" t="str">
        <x:v>Confirm embeds</x:v>
      </x:c>
    </x:row>
    <x:row r="7">
      <x:c r="A7" s="14" t="str">
        <x:v>072100-02</x:v>
      </x:c>
      <x:c r="B7" s="14" t="str">
        <x:v>072100</x:v>
      </x:c>
      <x:c r="C7" s="14" t="str">
        <x:v>Insulation Product Data</x:v>
      </x:c>
      <x:c r="D7" s="14" t="str">
        <x:v>03</x:v>
      </x:c>
      <x:c r="E7" s="15" t="n">
        <x:v>46221</x:v>
      </x:c>
      <x:c r="F7" s="14" t="str">
        <x:v>Overdue</x:v>
      </x:c>
      <x:c r="G7" s="14" t="str">
        <x:v>Envelope review</x:v>
      </x:c>
      <x:c r="H7" s="15" t="n">
        <x:v>46230</x:v>
      </x:c>
      <x:c r="I7" s="14" t="str">
        <x:v>No</x:v>
      </x:c>
      <x:c r="J7" s="14" t="str">
        <x:v>Revise vapor detail</x:v>
      </x:c>
    </x:row>
    <x:row r="8">
      <x:c r="A8" s="14" t="str">
        <x:v>230500-04</x:v>
      </x:c>
      <x:c r="B8" s="14" t="str">
        <x:v>230500</x:v>
      </x:c>
      <x:c r="C8" s="14" t="str">
        <x:v>HVAC Equipment Data</x:v>
      </x:c>
      <x:c r="D8" s="14" t="str">
        <x:v>01</x:v>
      </x:c>
      <x:c r="E8" s="15" t="n">
        <x:v>46226</x:v>
      </x:c>
      <x:c r="F8" s="14" t="str">
        <x:v>Approved</x:v>
      </x:c>
      <x:c r="G8" s="14" t="str">
        <x:v>MEP review</x:v>
      </x:c>
      <x:c r="H8" s="15" t="n">
        <x:v>46233</x:v>
      </x:c>
      <x:c r="I8" s="14" t="str">
        <x:v>Yes</x:v>
      </x:c>
      <x:c r="J8" s="14" t="str">
        <x:v>File final data</x:v>
      </x:c>
    </x:row>
    <x:row r="9">
      <x:c r="A9" s="14" t="str">
        <x:v>260500-06</x:v>
      </x:c>
      <x:c r="B9" s="14" t="str">
        <x:v>260500</x:v>
      </x:c>
      <x:c r="C9" s="14" t="str">
        <x:v>Panelboard Data</x:v>
      </x:c>
      <x:c r="D9" s="14" t="str">
        <x:v>02</x:v>
      </x:c>
      <x:c r="E9" s="15" t="n">
        <x:v>46225</x:v>
      </x:c>
      <x:c r="F9" s="14" t="str">
        <x:v>Approved as noted</x:v>
      </x:c>
      <x:c r="G9" s="14" t="str">
        <x:v>Electrical review</x:v>
      </x:c>
      <x:c r="H9" s="15" t="n">
        <x:v>46236</x:v>
      </x:c>
      <x:c r="I9" s="14" t="str">
        <x:v>Yes</x:v>
      </x:c>
      <x:c r="J9" s="14" t="str">
        <x:v>Verify labels</x:v>
      </x:c>
    </x:row>
  </x:sheetData>
  <x:mergeCells>
    <x:mergeCell ref="A1:J1"/>
    <x:mergeCell ref="A2:J2"/>
  </x:mergeCells>
  <x:conditionalFormatting sqref="F5:F9">
    <x:cfRule type="containsText" dxfId="0" priority="1" operator="containsText" text="Overdue"/>
    <x:cfRule type="containsText" dxfId="1" priority="2" operator="containsText" text="Approved"/>
  </x:conditionalFormatting>
  <x:pageMargins left="0.7" right="0.7" top="0.75" bottom="0.75" header="0.3" footer="0.3"/>
  <x:tableParts count="1">
    <x:tablePart xmlns:r="http://schemas.openxmlformats.org/officeDocument/2006/relationships" r:id="R78260d2e2c63416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4" max="4" width="24" hidden="0" customWidth="1"/>
    <x:col min="5" max="5" width="24" hidden="0" customWidth="1"/>
  </x:cols>
  <x:sheetData>
    <x:row r="1" ht="30" customHeight="1">
      <x:c r="A1" s="4" t="str">
        <x:v>Submittal Control Summary</x:v>
      </x:c>
    </x:row>
    <x:row r="2">
      <x:c r="A2" s="6" t="str">
        <x:v>Formula-driven count of Project Alpha status as at 2026-07-29</x:v>
      </x:c>
    </x:row>
    <x:row r="4" ht="30" customHeight="1">
      <x:c r="A4" s="12" t="str">
        <x:v>KPI</x:v>
      </x:c>
      <x:c r="B4" s="12" t="str">
        <x:v>Value</x:v>
      </x:c>
      <x:c r="D4" s="12" t="str">
        <x:v>Control point</x:v>
      </x:c>
      <x:c r="E4" s="12" t="str">
        <x:v>Status</x:v>
      </x:c>
    </x:row>
    <x:row r="5">
      <x:c r="A5" s="14" t="str">
        <x:v>Total active</x:v>
      </x:c>
      <x:c r="B5" s="18" t="n">
        <x:f>COUNTA('Register'!A5:A9)</x:f>
        <x:v>5</x:v>
      </x:c>
      <x:c r="D5" s="14" t="str">
        <x:v>CO-014 reference</x:v>
      </x:c>
      <x:c r="E5" s="14" t="str">
        <x:v>JPY 18,600,000</x:v>
      </x:c>
    </x:row>
    <x:row r="6">
      <x:c r="A6" s="14" t="str">
        <x:v>Approved</x:v>
      </x:c>
      <x:c r="B6" s="18" t="n">
        <x:f>COUNTIF('Register'!F5:F9,"Approved")</x:f>
        <x:v>1</x:v>
      </x:c>
      <x:c r="D6" s="14" t="str">
        <x:v>Next review</x:v>
      </x:c>
      <x:c r="E6" s="14" t="str">
        <x:v>2026-08-03</x:v>
      </x:c>
    </x:row>
    <x:row r="7">
      <x:c r="A7" s="14" t="str">
        <x:v>Approved as noted</x:v>
      </x:c>
      <x:c r="B7" s="18" t="n">
        <x:f>COUNTIF('Register'!F5:F9,"Approved as noted")</x:f>
        <x:v>3</x:v>
      </x:c>
      <x:c r="D7" s="14" t="str">
        <x:v>Overdue owner</x:v>
      </x:c>
      <x:c r="E7" s="14" t="str">
        <x:v>Envelope review</x:v>
      </x:c>
    </x:row>
    <x:row r="8">
      <x:c r="A8" s="14" t="str">
        <x:v>Overdue</x:v>
      </x:c>
      <x:c r="B8" s="18" t="n">
        <x:f>COUNTIF('Register'!F5:F9,"Overdue")</x:f>
        <x:v>1</x:v>
      </x:c>
      <x:c r="D8" s="14" t="str">
        <x:v>Decision</x:v>
      </x:c>
      <x:c r="E8" s="14" t="str">
        <x:v>Escalate attachments</x:v>
      </x:c>
    </x:row>
  </x:sheetData>
  <x:mergeCells>
    <x:mergeCell ref="A1:F1"/>
    <x:mergeCell ref="A2:F2"/>
  </x:mergeCells>
  <x:pageMargins left="0.7" right="0.7" top="0.75" bottom="0.75" header="0.3" footer="0.3"/>
</x:worksheet>
</file>