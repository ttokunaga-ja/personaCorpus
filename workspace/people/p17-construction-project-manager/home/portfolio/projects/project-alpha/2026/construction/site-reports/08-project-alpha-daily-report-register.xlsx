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4cd6f0b38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Register" sheetId="1" r:id="Rb1eb0f21859448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¥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85723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651fef2474e72" /><Relationship Type="http://schemas.openxmlformats.org/officeDocument/2006/relationships/theme" Target="/xl/theme/theme1.xml" Id="R7c4d3d3c099941f1" /><Relationship Type="http://schemas.openxmlformats.org/officeDocument/2006/relationships/sharedStrings" Target="/xl/sharedStrings.xml" Id="R4575ed54c2724536" /><Relationship Type="http://schemas.openxmlformats.org/officeDocument/2006/relationships/worksheet" Target="/xl/worksheets/sheet1.xml" Id="Rb1eb0f2185944832" /></Relationships>
</file>

<file path=xl/tables/table1.xml><?xml version="1.0" encoding="utf-8"?>
<x:table xmlns:x="http://schemas.openxmlformats.org/spreadsheetml/2006/main" id="1" name="DailyReportRegister" displayName="DailyReportRegister" ref="A4:H7" headerRowCount="1" totalsRowCount="0" totalsRowShown="0">
  <x:tableColumns count="8">
    <x:tableColumn id="1" name="Report date"/>
    <x:tableColumn id="2" name="Report ID"/>
    <x:tableColumn id="3" name="Workface"/>
    <x:tableColumn id="4" name="Weather / condition"/>
    <x:tableColumn id="5" name="Safety status"/>
    <x:tableColumn id="6" name="Progress status"/>
    <x:tableColumn id="7" name="Open actions"/>
    <x:tableColumn id="8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822997e88f46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24" hidden="0" customWidth="1"/>
    <x:col min="4" max="4" width="23" hidden="0" customWidth="1"/>
    <x:col min="5" max="5" width="16" hidden="0" customWidth="1"/>
    <x:col min="6" max="6" width="27" hidden="0" customWidth="1"/>
    <x:col min="7" max="7" width="26" hidden="0" customWidth="1"/>
    <x:col min="8" max="8" width="20" hidden="0" customWidth="1"/>
  </x:cols>
  <x:sheetData>
    <x:row r="1" ht="27" customHeight="1">
      <x:c r="A1" s="4" t="str">
        <x:v>Project Alpha 2026 | Daily Site Report Register</x:v>
      </x:c>
      <x:c r="B1" s="4"/>
      <x:c r="C1" s="4"/>
      <x:c r="D1" s="4"/>
      <x:c r="E1" s="4"/>
      <x:c r="F1" s="4"/>
      <x:c r="G1" s="4"/>
      <x:c r="H1" s="4"/>
    </x:row>
    <x:row r="2">
      <x:c r="A2" s="7" t="str">
        <x:v>Harbor Build | Reporting date: 2026-07-29 | Internal synthetic record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6" t="str">
        <x:v>Report date</x:v>
      </x:c>
      <x:c r="B4" s="16" t="str">
        <x:v>Report ID</x:v>
      </x:c>
      <x:c r="C4" s="16" t="str">
        <x:v>Workface</x:v>
      </x:c>
      <x:c r="D4" s="16" t="str">
        <x:v>Weather / condition</x:v>
      </x:c>
      <x:c r="E4" s="16" t="str">
        <x:v>Safety status</x:v>
      </x:c>
      <x:c r="F4" s="16" t="str">
        <x:v>Progress status</x:v>
      </x:c>
      <x:c r="G4" s="16" t="str">
        <x:v>Open actions</x:v>
      </x:c>
      <x:c r="H4" s="16" t="str">
        <x:v>Reference</x:v>
      </x:c>
    </x:row>
    <x:row r="5" ht="32" customHeight="1">
      <x:c r="A5" s="21" t="n">
        <x:v>46230</x:v>
      </x:c>
      <x:c r="B5" s="22" t="str">
        <x:v>DAR-2026-0727</x:v>
      </x:c>
      <x:c r="C5" s="22" t="str">
        <x:v>Central bay</x:v>
      </x:c>
      <x:c r="D5" s="22" t="str">
        <x:v>Light cloud; dry</x:v>
      </x:c>
      <x:c r="E5" s="22" t="str">
        <x:v>Closed</x:v>
      </x:c>
      <x:c r="F5" s="22" t="str">
        <x:v>Reinforcement closeout</x:v>
      </x:c>
      <x:c r="G5" s="22" t="str">
        <x:v>Confirm pump setup</x:v>
      </x:c>
      <x:c r="H5" s="22" t="str">
        <x:v>Daily report scan</x:v>
      </x:c>
    </x:row>
    <x:row r="6" ht="32" customHeight="1">
      <x:c r="A6" s="21" t="n">
        <x:v>46231</x:v>
      </x:c>
      <x:c r="B6" s="22" t="str">
        <x:v>DAR-2026-0728</x:v>
      </x:c>
      <x:c r="C6" s="22" t="str">
        <x:v>Central bay / east elevation</x:v>
      </x:c>
      <x:c r="D6" s="22" t="str">
        <x:v>Overcast; stable</x:v>
      </x:c>
      <x:c r="E6" s="22" t="str">
        <x:v>Closed</x:v>
      </x:c>
      <x:c r="F6" s="22" t="str">
        <x:v>68 m3 placed; panels staged</x:v>
      </x:c>
      <x:c r="G6" s="22" t="str">
        <x:v>Verify curing cover</x:v>
      </x:c>
      <x:c r="H6" s="22" t="str">
        <x:v>Daily report scan</x:v>
      </x:c>
    </x:row>
    <x:row r="7" ht="32" customHeight="1">
      <x:c r="A7" s="21" t="n">
        <x:v>46232</x:v>
      </x:c>
      <x:c r="B7" s="22" t="str">
        <x:v>DAR-2026-0729</x:v>
      </x:c>
      <x:c r="C7" s="22" t="str">
        <x:v>Site logistics</x:v>
      </x:c>
      <x:c r="D7" s="22" t="str">
        <x:v>Overcast; dry</x:v>
      </x:c>
      <x:c r="E7" s="22" t="str">
        <x:v>Closed</x:v>
      </x:c>
      <x:c r="F7" s="22" t="str">
        <x:v>Walkdown complete</x:v>
      </x:c>
      <x:c r="G7" s="22" t="str">
        <x:v>Recheck morning separation</x:v>
      </x:c>
      <x:c r="H7" s="22" t="str">
        <x:v>Daily site report</x:v>
      </x:c>
    </x:row>
    <x:row r="9">
      <x:c r="A9" s="18" t="str">
        <x:v>Summary metric</x:v>
      </x:c>
      <x:c r="B9" s="18" t="str">
        <x:v>Value</x:v>
      </x:c>
      <x:c r="C9" s="18" t="str">
        <x:v>Formula / basis</x:v>
      </x:c>
      <x:c r="D9" s="18" t="str">
        <x:v>Note</x:v>
      </x:c>
    </x:row>
    <x:row r="10">
      <x:c r="A10" s="17" t="str">
        <x:v>Reports logged</x:v>
      </x:c>
      <x:c r="B10" s="17" t="n">
        <x:f>COUNTA(B5:B7)</x:f>
        <x:v>3</x:v>
      </x:c>
      <x:c r="C10" s="17" t="n">
        <x:f>COUNTA(B5:B7)</x:f>
        <x:v>3</x:v>
      </x:c>
      <x:c r="D10" s="17" t="str">
        <x:v>Daily reports in register</x:v>
      </x:c>
    </x:row>
    <x:row r="11">
      <x:c r="A11" s="17" t="str">
        <x:v>Closed safety checks</x:v>
      </x:c>
      <x:c r="B11" s="17" t="n">
        <x:f>COUNTIF(E5:E7,"Closed")</x:f>
        <x:v>3</x:v>
      </x:c>
      <x:c r="C11" s="17" t="n">
        <x:f>COUNTIF(E5:E7,"Closed")</x:f>
        <x:v>3</x:v>
      </x:c>
      <x:c r="D11" s="17" t="str">
        <x:v>No open safety hold points</x:v>
      </x:c>
    </x:row>
    <x:row r="12">
      <x:c r="A12" s="17" t="str">
        <x:v>Concrete placed (m3)</x:v>
      </x:c>
      <x:c r="B12" s="17" t="n">
        <x:v>68</x:v>
      </x:c>
      <x:c r="C12" s="17" t="str">
        <x:v>Manual field quantity</x:v>
      </x:c>
      <x:c r="D12" s="17" t="str">
        <x:v>2026-07-28 central bay</x:v>
      </x:c>
    </x:row>
    <x:row r="13">
      <x:c r="A13" s="17" t="str">
        <x:v>CO-014 context (JPY)</x:v>
      </x:c>
      <x:c r="B13" s="20" t="n">
        <x:v>18600000</x:v>
      </x:c>
      <x:c r="C13" s="17" t="str">
        <x:v>Commercial reference only</x:v>
      </x:c>
      <x:c r="D13" s="17" t="str">
        <x:v>Not a daily production measure</x:v>
      </x:c>
    </x:row>
  </x:sheetData>
  <x:mergeCells>
    <x:mergeCell ref="A1:H1"/>
    <x:mergeCell ref="A2:H2"/>
  </x:mergeCells>
  <x:conditionalFormatting sqref="E5:E7">
    <x:cfRule type="containsText" dxfId="0" priority="1" operator="containsText" text="Closed"/>
  </x:conditionalFormatting>
  <x:pageMargins left="0.7" right="0.7" top="0.75" bottom="0.75" header="0.3" footer="0.3"/>
  <x:tableParts count="1">
    <x:tablePart xmlns:r="http://schemas.openxmlformats.org/officeDocument/2006/relationships" r:id="Rf6822997e88f469b"/>
  </x:tableParts>
</x:worksheet>
</file>