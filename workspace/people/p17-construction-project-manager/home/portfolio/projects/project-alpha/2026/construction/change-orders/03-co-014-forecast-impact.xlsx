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d33d18c4b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 Dashboard" sheetId="1" r:id="Re428e135c0304a58"/>
    <x:sheet xmlns:r="http://schemas.openxmlformats.org/officeDocument/2006/relationships" name="Assumptions" sheetId="2" r:id="R0b367bd739a34a46"/>
  </x:sheets>
  <x:definedNames>
    <x:definedName name="_xlnm.Print_Area" localSheetId="0">'Forecast Dashboard'!$A$1:$F$13</x:definedName>
    <x:definedName name="_xlnm.Print_Area" localSheetId="1">'Assumptions'!$A$1:$D$6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163B5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B52"/>
      </x:patternFill>
    </x:fill>
    <x:fill>
      <x:patternFill patternType="solid">
        <x:fgColor rgb="FFD58B32"/>
      </x:patternFill>
    </x:fill>
    <x:fill>
      <x:patternFill patternType="solid">
        <x:fgColor rgb="FFF7EAD7"/>
      </x:patternFill>
    </x:fill>
    <x:fill>
      <x:patternFill patternType="solid">
        <x:fgColor rgb="FFF7EAD7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e604b1ccd24bba" /><Relationship Type="http://schemas.openxmlformats.org/officeDocument/2006/relationships/theme" Target="/xl/theme/theme1.xml" Id="Ra0c9cee6d6534a95" /><Relationship Type="http://schemas.openxmlformats.org/officeDocument/2006/relationships/sharedStrings" Target="/xl/sharedStrings.xml" Id="Rc08847ee8c384d8e" /><Relationship Type="http://schemas.openxmlformats.org/officeDocument/2006/relationships/worksheet" Target="/xl/worksheets/sheet1.xml" Id="Re428e135c0304a58" /><Relationship Type="http://schemas.openxmlformats.org/officeDocument/2006/relationships/worksheet" Target="/xl/worksheets/sheet2.xml" Id="R0b367bd739a34a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 autoPageBreaks="1"/>
  </x:sheetPr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6" hidden="0" customWidth="1"/>
  </x:cols>
  <x:sheetData>
    <x:row r="1">
      <x:c r="A1" s="3" t="str">
        <x:v>Project Alpha 2026 | CO-014 Forecast Impact Dashboard</x:v>
      </x:c>
      <x:c r="B1" s="3"/>
      <x:c r="C1" s="3"/>
      <x:c r="D1" s="3"/>
      <x:c r="E1" s="3"/>
      <x:c r="F1" s="3"/>
    </x:row>
    <x:row r="3">
      <x:c r="A3" s="6" t="str">
        <x:v>Metric</x:v>
      </x:c>
      <x:c r="B3" s="6" t="str">
        <x:v>Baseline JPY</x:v>
      </x:c>
      <x:c r="C3" s="6" t="str">
        <x:v>Current approved JPY</x:v>
      </x:c>
      <x:c r="D3" s="6" t="str">
        <x:v>CO-014 JPY</x:v>
      </x:c>
      <x:c r="E3" s="6" t="str">
        <x:v>Forecast JPY</x:v>
      </x:c>
      <x:c r="F3" s="6" t="str">
        <x:v>Decision gate</x:v>
      </x:c>
    </x:row>
    <x:row r="4">
      <x:c r="A4" s="4" t="str">
        <x:v>Construction budget</x:v>
      </x:c>
      <x:c r="B4" s="7" t="n">
        <x:v>420000000</x:v>
      </x:c>
      <x:c r="C4" s="7" t="n">
        <x:v>412500000</x:v>
      </x:c>
      <x:c r="D4" s="7" t="n">
        <x:v>18600000</x:v>
      </x:c>
      <x:c r="E4" s="7" t="n">
        <x:f>C4+D4</x:f>
        <x:v>431100000</x:v>
      </x:c>
      <x:c r="F4" s="4" t="str">
        <x:v>Approve CO-014</x:v>
      </x:c>
    </x:row>
    <x:row r="5">
      <x:c r="A5" s="4" t="str">
        <x:v>Contingency</x:v>
      </x:c>
      <x:c r="B5" s="7" t="n">
        <x:v>31500000</x:v>
      </x:c>
      <x:c r="C5" s="7" t="n">
        <x:v>27400000</x:v>
      </x:c>
      <x:c r="D5" s="7" t="n">
        <x:v>0</x:v>
      </x:c>
      <x:c r="E5" s="7" t="n">
        <x:f>C5-D4</x:f>
        <x:v>8800000</x:v>
      </x:c>
      <x:c r="F5" s="4" t="str">
        <x:v>Protect reserve</x:v>
      </x:c>
    </x:row>
    <x:row r="6">
      <x:c r="A6" s="4" t="str">
        <x:v>Contingency remaining</x:v>
      </x:c>
      <x:c r="B6" s="7" t="n">
        <x:v>0</x:v>
      </x:c>
      <x:c r="C6" s="7" t="n">
        <x:v>0</x:v>
      </x:c>
      <x:c r="D6" s="7" t="n">
        <x:v>0</x:v>
      </x:c>
      <x:c r="E6" s="7" t="n">
        <x:f>E5</x:f>
        <x:v>8800000</x:v>
      </x:c>
      <x:c r="F6" s="4" t="str">
        <x:v>Confirm authorization</x:v>
      </x:c>
    </x:row>
    <x:row r="7">
      <x:c r="A7" s="4" t="str">
        <x:v>Schedule impact (days)</x:v>
      </x:c>
      <x:c r="B7" s="4" t="n">
        <x:v>0</x:v>
      </x:c>
      <x:c r="C7" s="4" t="n">
        <x:v>0</x:v>
      </x:c>
      <x:c r="D7" s="4" t="n">
        <x:v>12</x:v>
      </x:c>
      <x:c r="E7" s="4" t="n">
        <x:v>12</x:v>
      </x:c>
      <x:c r="F7" s="4" t="str">
        <x:v>Access sequence approval</x:v>
      </x:c>
    </x:row>
    <x:row r="9">
      <x:c r="A9" s="10" t="str">
        <x:v>Decision: approve CO-014 at JPY 18,600,000 to maintain the revised access sequence; forecast shows contingency remaining of JPY 8,800,000.</x:v>
      </x:c>
      <x:c r="B9" s="10"/>
      <x:c r="C9" s="10"/>
      <x:c r="D9" s="10"/>
      <x:c r="E9" s="10"/>
      <x:c r="F9" s="10"/>
    </x:row>
    <x:row r="10">
      <x:c r="A10" s="10"/>
      <x:c r="B10" s="10"/>
      <x:c r="C10" s="10"/>
      <x:c r="D10" s="10"/>
      <x:c r="E10" s="10"/>
      <x:c r="F10" s="10"/>
    </x:row>
    <x:row r="12">
      <x:c r="A12" s="13" t="str">
        <x:v>Pre-approval control snapshot — as of 2026-07-29 15:30 JST; superseded by approval recorded at 16:42 JST. Before approval, release was prohibited.</x:v>
      </x:c>
      <x:c r="B12" s="13"/>
      <x:c r="C12" s="13"/>
      <x:c r="D12" s="13"/>
    </x:row>
    <x:row r="13">
      <x:c r="A13" s="13"/>
      <x:c r="B13" s="13"/>
      <x:c r="C13" s="13"/>
      <x:c r="D13" s="13"/>
    </x:row>
  </x:sheetData>
  <x:mergeCells>
    <x:mergeCell ref="A1:F1"/>
    <x:mergeCell ref="A9:F10"/>
    <x:mergeCell ref="A12:D13"/>
  </x:mergeCells>
  <x:printOptions horizontalCentered="1" verticalCentered="0" headings="0" gridLines="0"/>
  <x:pageMargins left="0.25" right="0.25" top="0.40" bottom="0.40" header="0.15" footer="0.15"/>
  <x:pageSetup paperSize="9" orientation="landscape" fitToWidth="1" fitToHeight="0" horizontalDpi="300" verticalDpi="300"/>
</x:worksheet>
</file>

<file path=xl/worksheets/sheet2.xml><?xml version="1.0" encoding="utf-8"?>
<x:worksheet xmlns:x="http://schemas.openxmlformats.org/spreadsheetml/2006/main">
  <x:sheetPr>
    <x:pageSetUpPr fitToPage="1" autoPageBreaks="1"/>
  </x:sheetPr>
  <x:sheetFormatPr defaultRowHeight="15"/>
  <x:cols>
    <x:col min="1" max="1" width="26" hidden="0" customWidth="1"/>
    <x:col min="2" max="2" width="22" hidden="0" customWidth="1"/>
    <x:col min="3" max="3" width="18" hidden="0" customWidth="1"/>
    <x:col min="4" max="4" width="30" hidden="0" customWidth="1"/>
  </x:cols>
  <x:sheetData>
    <x:row r="1">
      <x:c r="A1" s="2" t="str">
        <x:v>Forecast Assumptions and Controls</x:v>
      </x:c>
      <x:c r="B1" s="2"/>
      <x:c r="C1" s="2"/>
      <x:c r="D1" s="2"/>
    </x:row>
    <x:row r="3">
      <x:c r="A3" s="6" t="str">
        <x:v>Assumption</x:v>
      </x:c>
      <x:c r="B3" s="6" t="str">
        <x:v>Value</x:v>
      </x:c>
      <x:c r="C3" s="6" t="str">
        <x:v>Status</x:v>
      </x:c>
      <x:c r="D3" s="6" t="str">
        <x:v>Control</x:v>
      </x:c>
    </x:row>
    <x:row r="4">
      <x:c r="A4" s="4" t="str">
        <x:v>CO-014 status</x:v>
      </x:c>
      <x:c r="B4" s="4" t="str">
        <x:v>Pending approval</x:v>
      </x:c>
      <x:c r="C4" s="4" t="str">
        <x:v>Open</x:v>
      </x:c>
      <x:c r="D4" s="4" t="str">
        <x:v>Formal authorization required</x:v>
      </x:c>
    </x:row>
    <x:row r="5">
      <x:c r="A5" s="4" t="str">
        <x:v>Status date</x:v>
      </x:c>
      <x:c r="B5" s="4" t="str">
        <x:v>2026-07-29</x:v>
      </x:c>
      <x:c r="C5" s="4" t="str">
        <x:v>Current</x:v>
      </x:c>
      <x:c r="D5" s="4" t="str">
        <x:v>Review at next control gate</x:v>
      </x:c>
    </x:row>
    <x:row r="6">
      <x:c r="A6" s="4" t="str">
        <x:v>Schedule basis</x:v>
      </x:c>
      <x:c r="B6" s="4" t="str">
        <x:v>12 calendar days</x:v>
      </x:c>
      <x:c r="C6" s="4" t="str">
        <x:v>Controlled</x:v>
      </x:c>
      <x:c r="D6" s="4" t="str">
        <x:v>Maintain revised access sequence</x:v>
      </x:c>
    </x:row>
  </x:sheetData>
  <x:mergeCells>
    <x:mergeCell ref="A1:D1"/>
  </x:mergeCells>
  <x:printOptions horizontalCentered="1" verticalCentered="0" headings="0" gridLines="0"/>
  <x:pageMargins left="0.25" right="0.25" top="0.40" bottom="0.40" header="0.15" footer="0.15"/>
  <x:pageSetup paperSize="9" orientation="landscape" fitToWidth="1" fitToHeight="0" horizontalDpi="300" verticalDpi="300"/>
</x:worksheet>
</file>