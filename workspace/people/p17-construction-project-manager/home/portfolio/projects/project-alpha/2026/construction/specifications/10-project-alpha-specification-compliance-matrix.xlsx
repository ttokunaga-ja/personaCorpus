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efffb597684b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liance Matrix" sheetId="1" r:id="R35c0cc5337d74a9c"/>
    <x:sheet xmlns:r="http://schemas.openxmlformats.org/officeDocument/2006/relationships" name="Control Summary" sheetId="2" r:id="R2dae996b82c34d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¥#,##0"/>
    <x:numFmt numFmtId="202" formatCode="0.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23B5D"/>
      <x:name val="Carlito"/>
    </x:font>
    <x:font>
      <x:b/>
      <x:sz val="11"/>
      <x:color rgb="FFFFFFFF"/>
      <x:name val="Carlito"/>
    </x:font>
    <x:font>
      <x:b/>
      <x:sz val="11"/>
      <x:color rgb="FF123B5D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EAF1F6"/>
      </x:patternFill>
    </x:fill>
    <x:fill>
      <x:patternFill patternType="solid">
        <x:fgColor rgb="FF1F5F89"/>
      </x:patternFill>
    </x:fill>
    <x:fill>
      <x:patternFill patternType="solid">
        <x:fgColor rgb="FFFFFFFF"/>
      </x:patternFill>
    </x:fill>
    <x:fill>
      <x:patternFill patternType="solid">
        <x:fgColor rgb="FFDCEAF4"/>
      </x:patternFill>
    </x:fill>
    <x:fill>
      <x:patternFill patternType="solid">
        <x:fgColor rgb="FFF5F8FA"/>
      </x:patternFill>
    </x:fill>
    <x:fill>
      <x:patternFill patternType="solid">
        <x:fgColor rgb="FFFFF7E6"/>
      </x:patternFill>
    </x:fill>
  </x:fills>
  <x:borders count="2">
    <x:border/>
    <x:border>
      <x:left style="thin">
        <x:color rgb="FFB8CBD8"/>
      </x:left>
      <x:right style="thin">
        <x:color rgb="FFB8CBD8"/>
      </x:right>
      <x:top style="thin">
        <x:color rgb="FFB8CBD8"/>
      </x:top>
      <x:bottom style="thin">
        <x:color rgb="FFB8CBD8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0" borderId="1" xfId="0" applyNumberFormat="1" applyFont="1" applyFill="1" applyBorder="1"/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200" fontId="0" fillId="5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b1eba9f93a4978" /><Relationship Type="http://schemas.openxmlformats.org/officeDocument/2006/relationships/theme" Target="/xl/theme/theme1.xml" Id="R22610d10cca24720" /><Relationship Type="http://schemas.openxmlformats.org/officeDocument/2006/relationships/sharedStrings" Target="/xl/sharedStrings.xml" Id="R13307ba02fed426b" /><Relationship Type="http://schemas.openxmlformats.org/officeDocument/2006/relationships/worksheet" Target="/xl/worksheets/sheet1.xml" Id="R35c0cc5337d74a9c" /><Relationship Type="http://schemas.openxmlformats.org/officeDocument/2006/relationships/worksheet" Target="/xl/worksheets/sheet2.xml" Id="R2dae996b82c34d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18" hidden="0" customWidth="1"/>
    <x:col min="4" max="4" width="14" hidden="0" customWidth="1"/>
    <x:col min="5" max="5" width="21" hidden="0" customWidth="1"/>
    <x:col min="6" max="6" width="13" hidden="0" customWidth="1"/>
  </x:cols>
  <x:sheetData>
    <x:row r="1" ht="28" customHeight="1">
      <x:c r="A1" s="25" t="str">
        <x:v>Project Alpha Specification Compliance Matrix</x:v>
      </x:c>
      <x:c r="B1" s="25"/>
      <x:c r="C1" s="25"/>
      <x:c r="D1" s="25"/>
      <x:c r="E1" s="25"/>
      <x:c r="F1" s="25"/>
    </x:row>
    <x:row r="2" ht="21" customHeight="1">
      <x:c r="A2" s="26" t="str">
        <x:v>Harbor Build | Issued 2026-07-29 | CO-014 | JPY 18,600,000</x:v>
      </x:c>
      <x:c r="B2" s="26"/>
      <x:c r="C2" s="26"/>
      <x:c r="D2" s="26"/>
      <x:c r="E2" s="26"/>
      <x:c r="F2" s="26"/>
    </x:row>
    <x:row r="3">
      <x:c r="A3" s="27"/>
      <x:c r="B3" s="27"/>
      <x:c r="C3" s="27"/>
      <x:c r="D3" s="27"/>
      <x:c r="E3" s="27"/>
      <x:c r="F3" s="27"/>
    </x:row>
    <x:row r="4" ht="28" customHeight="1">
      <x:c r="A4" s="12" t="str">
        <x:v>Section</x:v>
      </x:c>
      <x:c r="B4" s="12" t="str">
        <x:v>Requirement</x:v>
      </x:c>
      <x:c r="C4" s="12" t="str">
        <x:v>Evidence</x:v>
      </x:c>
      <x:c r="D4" s="12" t="str">
        <x:v>Status</x:v>
      </x:c>
      <x:c r="E4" s="12" t="str">
        <x:v>CO-014 Impact</x:v>
      </x:c>
      <x:c r="F4" s="12" t="str">
        <x:v>Score</x:v>
      </x:c>
    </x:row>
    <x:row r="5">
      <x:c r="A5" s="16" t="str">
        <x:v>03 30 00</x:v>
      </x:c>
      <x:c r="B5" s="16" t="str">
        <x:v>Concrete curing plan submitted</x:v>
      </x:c>
      <x:c r="C5" s="16" t="str">
        <x:v>SUB-0330-04</x:v>
      </x:c>
      <x:c r="D5" s="16" t="str">
        <x:v>Compliant</x:v>
      </x:c>
      <x:c r="E5" s="16" t="str">
        <x:v>Monitor sequence</x:v>
      </x:c>
      <x:c r="F5" s="22" t="n">
        <x:f>IF(D5="Compliant",100,0)</x:f>
        <x:v>100</x:v>
      </x:c>
    </x:row>
    <x:row r="6">
      <x:c r="A6" s="16" t="str">
        <x:v>05 12 00</x:v>
      </x:c>
      <x:c r="B6" s="16" t="str">
        <x:v>Steel coating touch-up recorded</x:v>
      </x:c>
      <x:c r="C6" s="16" t="str">
        <x:v>DEV-018</x:v>
      </x:c>
      <x:c r="D6" s="16" t="str">
        <x:v>Pending</x:v>
      </x:c>
      <x:c r="E6" s="16" t="str">
        <x:v>None</x:v>
      </x:c>
      <x:c r="F6" s="22" t="n">
        <x:f>IF(D6="Compliant",100,0)</x:f>
        <x:v>0</x:v>
      </x:c>
    </x:row>
    <x:row r="7">
      <x:c r="A7" s="16" t="str">
        <x:v>07 21 00</x:v>
      </x:c>
      <x:c r="B7" s="16" t="str">
        <x:v>Thermal values confirmed</x:v>
      </x:c>
      <x:c r="C7" s="16" t="str">
        <x:v>SUB-0721-02</x:v>
      </x:c>
      <x:c r="D7" s="16" t="str">
        <x:v>Compliant</x:v>
      </x:c>
      <x:c r="E7" s="16" t="str">
        <x:v>Sequence only</x:v>
      </x:c>
      <x:c r="F7" s="22" t="n">
        <x:f>IF(D7="Compliant",100,0)</x:f>
        <x:v>100</x:v>
      </x:c>
    </x:row>
    <x:row r="8">
      <x:c r="A8" s="16" t="str">
        <x:v>09 29 00</x:v>
      </x:c>
      <x:c r="B8" s="16" t="str">
        <x:v>Finish level verified</x:v>
      </x:c>
      <x:c r="C8" s="16" t="str">
        <x:v>CL-023</x:v>
      </x:c>
      <x:c r="D8" s="16" t="str">
        <x:v>Open</x:v>
      </x:c>
      <x:c r="E8" s="16" t="str">
        <x:v>None</x:v>
      </x:c>
      <x:c r="F8" s="22" t="n">
        <x:f>IF(D8="Compliant",100,0)</x:f>
        <x:v>0</x:v>
      </x:c>
    </x:row>
    <x:row r="9">
      <x:c r="A9" s="16" t="str">
        <x:v>23 05 00</x:v>
      </x:c>
      <x:c r="B9" s="16" t="str">
        <x:v>Equipment coordination checked</x:v>
      </x:c>
      <x:c r="C9" s="16" t="str">
        <x:v>M-COORD-11</x:v>
      </x:c>
      <x:c r="D9" s="16" t="str">
        <x:v>Compliant</x:v>
      </x:c>
      <x:c r="E9" s="16" t="str">
        <x:v>None</x:v>
      </x:c>
      <x:c r="F9" s="22" t="n">
        <x:f>IF(D9="Compliant",100,0)</x:f>
        <x:v>100</x:v>
      </x:c>
    </x:row>
    <x:row r="10">
      <x:c r="A10" s="16" t="str">
        <x:v>26 05 00</x:v>
      </x:c>
      <x:c r="B10" s="16" t="str">
        <x:v>Sleeve routing tracked</x:v>
      </x:c>
      <x:c r="C10" s="16" t="str">
        <x:v>DEV-019</x:v>
      </x:c>
      <x:c r="D10" s="16" t="str">
        <x:v>Compliant</x:v>
      </x:c>
      <x:c r="E10" s="16" t="str">
        <x:v>Coordination</x:v>
      </x:c>
      <x:c r="F10" s="22" t="n">
        <x:f>IF(D10="Compliant",100,0)</x:f>
        <x:v>100</x:v>
      </x:c>
    </x:row>
    <x:row r="11">
      <x:c r="A11" s="27"/>
      <x:c r="B11" s="27"/>
      <x:c r="C11" s="27"/>
      <x:c r="D11" s="27"/>
      <x:c r="E11" s="27"/>
      <x:c r="F11" s="27"/>
    </x:row>
    <x:row r="12">
      <x:c r="A12" s="28" t="str">
        <x:v>Portfolio controls</x:v>
      </x:c>
      <x:c r="B12" s="28"/>
      <x:c r="C12" s="27"/>
      <x:c r="D12" s="27"/>
      <x:c r="E12" s="28" t="str">
        <x:v>Calculated checks</x:v>
      </x:c>
      <x:c r="F12" s="28"/>
    </x:row>
    <x:row r="13">
      <x:c r="A13" s="29" t="str">
        <x:v>Control</x:v>
      </x:c>
      <x:c r="B13" s="29" t="str">
        <x:v>Value</x:v>
      </x:c>
      <x:c r="C13" s="27"/>
      <x:c r="D13" s="27"/>
      <x:c r="E13" s="29" t="str">
        <x:v>Metric</x:v>
      </x:c>
      <x:c r="F13" s="29" t="str">
        <x:v>Result</x:v>
      </x:c>
    </x:row>
    <x:row r="14">
      <x:c r="A14" s="30" t="str">
        <x:v>Issue date</x:v>
      </x:c>
      <x:c r="B14" s="30" t="str">
        <x:v>2026-07-29</x:v>
      </x:c>
      <x:c r="C14" s="27"/>
      <x:c r="D14" s="27"/>
      <x:c r="E14" s="30" t="str">
        <x:v>Average compliance</x:v>
      </x:c>
      <x:c r="F14" s="31" t="n">
        <x:f>AVERAGE(F5:F10)</x:f>
        <x:v>66.66666666666667</x:v>
      </x:c>
    </x:row>
    <x:row r="15">
      <x:c r="A15" s="30" t="str">
        <x:v>Change order</x:v>
      </x:c>
      <x:c r="B15" s="30" t="str">
        <x:v>CO-014</x:v>
      </x:c>
      <x:c r="C15" s="27"/>
      <x:c r="D15" s="27"/>
      <x:c r="E15" s="30" t="str">
        <x:v>Compliant sections</x:v>
      </x:c>
      <x:c r="F15" s="30" t="n">
        <x:f>COUNTIF(D5:D10,"Compliant")</x:f>
        <x:v>4</x:v>
      </x:c>
    </x:row>
    <x:row r="16">
      <x:c r="A16" s="30" t="str">
        <x:v>Controlled value (JPY)</x:v>
      </x:c>
      <x:c r="B16" s="32" t="n">
        <x:v>18600000</x:v>
      </x:c>
      <x:c r="C16" s="27"/>
      <x:c r="D16" s="27"/>
      <x:c r="E16" s="30" t="str">
        <x:v>Open / pending</x:v>
      </x:c>
      <x:c r="F16" s="30" t="n">
        <x:f>COUNTIF(D5:D10,"Open")+COUNTIF(D5:D10,"Pending")</x:f>
        <x:v>2</x:v>
      </x:c>
    </x:row>
  </x:sheetData>
  <x:mergeCells>
    <x:mergeCell ref="A1:F1"/>
    <x:mergeCell ref="A2:F2"/>
    <x:mergeCell ref="A12:E12"/>
    <x:mergeCell ref="E12:F12"/>
  </x:mergeCells>
  <x:conditionalFormatting sqref="D5:D10">
    <x:cfRule type="containsText" dxfId="0" priority="1" operator="containsText" text="Compliant"/>
    <x:cfRule type="containsText" dxfId="1" priority="2" operator="containsText" text="Pending"/>
    <x:cfRule type="containsText" dxfId="2" priority="3" operator="containsText" text="Open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6" hidden="0" customWidth="1"/>
    <x:col min="4" max="4" width="16" hidden="0" customWidth="1"/>
  </x:cols>
  <x:sheetData>
    <x:row r="1" ht="28" customHeight="1">
      <x:c r="A1" s="4" t="str">
        <x:v>Project Alpha Specification Control Summary</x:v>
      </x:c>
      <x:c r="B1" s="4"/>
      <x:c r="C1" s="4"/>
      <x:c r="D1" s="4"/>
      <x:c r="E1" s="4"/>
      <x:c r="F1" s="4"/>
    </x:row>
    <x:row r="2" ht="22" customHeight="1">
      <x:c r="A2" s="7" t="str">
        <x:v>Harbor Build | Coordination readiness for issued 2026-07-29 package</x:v>
      </x:c>
      <x:c r="B2" s="7"/>
      <x:c r="C2" s="7"/>
      <x:c r="D2" s="7"/>
      <x:c r="E2" s="7"/>
      <x:c r="F2" s="7"/>
    </x:row>
    <x:row r="4">
      <x:c r="A4" s="33" t="str">
        <x:v>Control</x:v>
      </x:c>
      <x:c r="B4" s="33" t="str">
        <x:v>Value</x:v>
      </x:c>
    </x:row>
    <x:row r="5">
      <x:c r="A5" s="30" t="str">
        <x:v>Issue date</x:v>
      </x:c>
      <x:c r="B5" s="30" t="str">
        <x:v>2026-07-29</x:v>
      </x:c>
    </x:row>
    <x:row r="6">
      <x:c r="A6" s="30" t="str">
        <x:v>CO-014 value (JPY)</x:v>
      </x:c>
      <x:c r="B6" s="32" t="n">
        <x:v>18600000</x:v>
      </x:c>
    </x:row>
    <x:row r="7">
      <x:c r="A7" s="30" t="str">
        <x:v>Average compliance</x:v>
      </x:c>
      <x:c r="B7" s="31" t="n">
        <x:f>'Compliance Matrix'!F14</x:f>
        <x:v>66.66666666666667</x:v>
      </x:c>
    </x:row>
    <x:row r="8">
      <x:c r="A8" s="30" t="str">
        <x:v>Open / pending items</x:v>
      </x:c>
      <x:c r="B8" s="30" t="n">
        <x:f>'Compliance Matrix'!F16</x:f>
        <x:v>2</x:v>
      </x:c>
    </x:row>
    <x:row r="10" ht="32" customHeight="1">
      <x:c r="A10" s="37" t="str">
        <x:v>Review note: procurement release requires evidence for DEV-018 and closure of CL-023.</x:v>
      </x:c>
      <x:c r="B10" s="37"/>
      <x:c r="C10" s="37"/>
      <x:c r="D10" s="37"/>
    </x:row>
  </x:sheetData>
  <x:mergeCells>
    <x:mergeCell ref="A1:D1"/>
    <x:mergeCell ref="A2:D2"/>
    <x:mergeCell ref="A10:D10"/>
  </x:mergeCells>
  <x:pageMargins left="0.7" right="0.7" top="0.75" bottom="0.75" header="0.3" footer="0.3"/>
</x:worksheet>
</file>