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c874f2338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2caae7e47542f0"/>
    <x:sheet xmlns:r="http://schemas.openxmlformats.org/officeDocument/2006/relationships" name="RFI Data" sheetId="2" r:id="R188814d4d3ee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172554"/>
      <x:name val="Aptos"/>
    </x:font>
    <x:font>
      <x:sz val="10"/>
      <x:color rgb="FF172554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554d7dbd24be3" /><Relationship Type="http://schemas.openxmlformats.org/officeDocument/2006/relationships/theme" Target="/xl/theme/theme1.xml" Id="R1d7a05b3f5b54251" /><Relationship Type="http://schemas.openxmlformats.org/officeDocument/2006/relationships/sharedStrings" Target="/xl/sharedStrings.xml" Id="R16ce4034ceb64670" /><Relationship Type="http://schemas.openxmlformats.org/officeDocument/2006/relationships/worksheet" Target="/xl/worksheets/sheet1.xml" Id="R302caae7e47542f0" /><Relationship Type="http://schemas.openxmlformats.org/officeDocument/2006/relationships/worksheet" Target="/xl/worksheets/sheet2.xml" Id="R188814d4d3ee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</x:cols>
  <x:sheetData>
    <x:row r="1">
      <x:c r="A1" s="8" t="str">
        <x:v>PROJECT ALPHA 2026 | RFI AGING DASHBOARD</x:v>
      </x:c>
      <x:c r="B1" s="8"/>
      <x:c r="C1" s="8"/>
      <x:c r="D1" s="8"/>
      <x:c r="E1" s="8"/>
      <x:c r="F1" s="8"/>
      <x:c r="G1" s="8"/>
      <x:c r="H1" s="8"/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10" t="str">
        <x:v>As of</x:v>
      </x:c>
      <x:c r="B3" s="10" t="str">
        <x:v>2026-07-29</x:v>
      </x:c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 t="str">
        <x:v>Open RFIs</x:v>
      </x:c>
      <x:c r="B5" s="9" t="n">
        <x:f>COUNTIF('RFI Data'!E4:E8,"Open")</x:f>
        <x:v>3</x:v>
      </x:c>
      <x:c r="C5" s="9"/>
      <x:c r="D5" s="9" t="str">
        <x:v>High priority</x:v>
      </x:c>
      <x:c r="E5" s="9" t="n">
        <x:f>COUNTIFS('RFI Data'!E4:E8,"Open",'RFI Data'!F4:F8,"High")</x:f>
        <x:v>1</x:v>
      </x:c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10" t="str">
        <x:v>Aging band</x:v>
      </x:c>
      <x:c r="B7" s="10" t="str">
        <x:v>Count</x:v>
      </x:c>
      <x:c r="C7" s="9"/>
      <x:c r="D7" s="9"/>
      <x:c r="E7" s="9"/>
      <x:c r="F7" s="9"/>
      <x:c r="G7" s="9"/>
      <x:c r="H7" s="9"/>
    </x:row>
    <x:row r="8">
      <x:c r="A8" s="9" t="str">
        <x:v>0-3 days</x:v>
      </x:c>
      <x:c r="B8" s="9" t="n">
        <x:f>COUNTIFS('RFI Data'!G4:G8,"&lt;=3",'RFI Data'!E4:E8,"Open")</x:f>
        <x:v>2</x:v>
      </x:c>
      <x:c r="C8" s="9"/>
      <x:c r="D8" s="9"/>
      <x:c r="E8" s="9"/>
      <x:c r="F8" s="9"/>
      <x:c r="G8" s="9"/>
      <x:c r="H8" s="9"/>
    </x:row>
    <x:row r="9">
      <x:c r="A9" s="9" t="str">
        <x:v>4-7 days</x:v>
      </x:c>
      <x:c r="B9" s="9" t="n">
        <x:f>COUNTIFS('RFI Data'!G4:G8,"&gt;=4",'RFI Data'!G4:G8,"&lt;=7",'RFI Data'!E4:E8,"Open")</x:f>
        <x:v>1</x:v>
      </x:c>
      <x:c r="C9" s="9"/>
      <x:c r="D9" s="9"/>
      <x:c r="E9" s="9"/>
      <x:c r="F9" s="9"/>
      <x:c r="G9" s="9"/>
      <x:c r="H9" s="9"/>
    </x:row>
    <x:row r="10">
      <x:c r="A10" s="9" t="str">
        <x:v>Over 7 days</x:v>
      </x:c>
      <x:c r="B10" s="9" t="n">
        <x:f>COUNTIFS('RFI Data'!G4:G8,"&gt;7",'RFI Data'!E4:E8,"Open")</x:f>
        <x:v>0</x:v>
      </x:c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13" hidden="0" customWidth="1"/>
    <x:col min="4" max="4" width="13" hidden="0" customWidth="1"/>
    <x:col min="5" max="5" width="14" hidden="0" customWidth="1"/>
    <x:col min="6" max="6" width="12" hidden="0" customWidth="1"/>
    <x:col min="7" max="7" width="11" hidden="0" customWidth="1"/>
    <x:col min="8" max="8" width="46" hidden="0" customWidth="1"/>
    <x:col min="9" max="9" width="27" hidden="0" customWidth="1"/>
    <x:col min="10" max="10" width="10" hidden="0" customWidth="1"/>
  </x:cols>
  <x:sheetData>
    <x:row r="1">
      <x:c r="A1" s="8" t="str">
        <x:v>RFI DATA INPUTS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>
      <x:c r="A3" s="10" t="str">
        <x:v>RFI</x:v>
      </x:c>
      <x:c r="B3" s="10" t="str">
        <x:v>Subject</x:v>
      </x:c>
      <x:c r="C3" s="10" t="str">
        <x:v>Issued</x:v>
      </x:c>
      <x:c r="D3" s="10" t="str">
        <x:v>Due</x:v>
      </x:c>
      <x:c r="E3" s="10" t="str">
        <x:v>Status</x:v>
      </x:c>
      <x:c r="F3" s="10" t="str">
        <x:v>Priority</x:v>
      </x:c>
      <x:c r="G3" s="10" t="str">
        <x:v>Age Days</x:v>
      </x:c>
      <x:c r="H3" s="10" t="str">
        <x:v>Direction</x:v>
      </x:c>
      <x:c r="I3" s="10" t="str">
        <x:v>CO Context</x:v>
      </x:c>
      <x:c r="J3" s="10" t="str">
        <x:v>Close</x:v>
      </x:c>
    </x:row>
    <x:row r="4">
      <x:c r="A4" s="9" t="str">
        <x:v>RFI-014</x:v>
      </x:c>
      <x:c r="B4" s="9" t="str">
        <x:v>Foundation sleeve coordination</x:v>
      </x:c>
      <x:c r="C4" s="9" t="str">
        <x:v>2026-07-20</x:v>
      </x:c>
      <x:c r="D4" s="9" t="str">
        <x:v>2026-07-24</x:v>
      </x:c>
      <x:c r="E4" s="9" t="str">
        <x:v>Answered</x:v>
      </x:c>
      <x:c r="F4" s="9" t="str">
        <x:v>High</x:v>
      </x:c>
      <x:c r="G4" s="9" t="n">
        <x:f>MAX(0,DATE(2026,7,29)-DATEVALUE(C4))</x:f>
        <x:v>9</x:v>
      </x:c>
      <x:c r="H4" s="9" t="str">
        <x:v>Approved relocate sleeve 75 mm east; maintain reinforcing clearances.</x:v>
      </x:c>
      <x:c r="I4" s="9" t="str">
        <x:v>CO-014 | JPY 18,600,000</x:v>
      </x:c>
      <x:c r="J4" s="9" t="str">
        <x:v>Yes</x:v>
      </x:c>
    </x:row>
    <x:row r="5">
      <x:c r="A5" s="9" t="str">
        <x:v>RFI-018</x:v>
      </x:c>
      <x:c r="B5" s="9" t="str">
        <x:v>Level 02 embed plate</x:v>
      </x:c>
      <x:c r="C5" s="9" t="str">
        <x:v>2026-07-22</x:v>
      </x:c>
      <x:c r="D5" s="9" t="str">
        <x:v>2026-07-29</x:v>
      </x:c>
      <x:c r="E5" s="9" t="str">
        <x:v>Answered</x:v>
      </x:c>
      <x:c r="F5" s="9" t="str">
        <x:v>Medium</x:v>
      </x:c>
      <x:c r="G5" s="9" t="n">
        <x:f>MAX(0,DATE(2026,7,29)-DATEVALUE(C5))</x:f>
        <x:v>7</x:v>
      </x:c>
      <x:c r="H5" s="9" t="str">
        <x:v>Use PL-18A with 12 mm shim pack; revise field setout.</x:v>
      </x:c>
      <x:c r="I5" s="9" t="str">
        <x:v>CO-014 | JPY 18,600,000</x:v>
      </x:c>
      <x:c r="J5" s="9" t="str">
        <x:v>Yes</x:v>
      </x:c>
    </x:row>
    <x:row r="6">
      <x:c r="A6" s="9" t="str">
        <x:v>RFI-021</x:v>
      </x:c>
      <x:c r="B6" s="9" t="str">
        <x:v>Roof drain offset</x:v>
      </x:c>
      <x:c r="C6" s="9" t="str">
        <x:v>2026-07-24</x:v>
      </x:c>
      <x:c r="D6" s="9" t="str">
        <x:v>2026-07-31</x:v>
      </x:c>
      <x:c r="E6" s="9" t="str">
        <x:v>Open</x:v>
      </x:c>
      <x:c r="F6" s="9" t="str">
        <x:v>High</x:v>
      </x:c>
      <x:c r="G6" s="9" t="n">
        <x:f>MAX(0,DATE(2026,7,29)-DATEVALUE(C6))</x:f>
        <x:v>5</x:v>
      </x:c>
      <x:c r="H6" s="9" t="str">
        <x:v>Designer confirmation requested for 450 mm drain offset.</x:v>
      </x:c>
      <x:c r="I6" s="9" t="str">
        <x:v>CO-014 | JPY 18,600,000</x:v>
      </x:c>
      <x:c r="J6" s="9" t="str">
        <x:v>No</x:v>
      </x:c>
    </x:row>
    <x:row r="7">
      <x:c r="A7" s="9" t="str">
        <x:v>RFI-023</x:v>
      </x:c>
      <x:c r="B7" s="9" t="str">
        <x:v>Stair landing edge angle</x:v>
      </x:c>
      <x:c r="C7" s="9" t="str">
        <x:v>2026-07-27</x:v>
      </x:c>
      <x:c r="D7" s="9" t="str">
        <x:v>2026-08-03</x:v>
      </x:c>
      <x:c r="E7" s="9" t="str">
        <x:v>Open</x:v>
      </x:c>
      <x:c r="F7" s="9" t="str">
        <x:v>Medium</x:v>
      </x:c>
      <x:c r="G7" s="9" t="n">
        <x:f>MAX(0,DATE(2026,7,29)-DATEVALUE(C7))</x:f>
        <x:v>2</x:v>
      </x:c>
      <x:c r="H7" s="9" t="str">
        <x:v>Coordinate edge angle with guard post base plate.</x:v>
      </x:c>
      <x:c r="I7" s="9" t="str">
        <x:v>CO-014 | JPY 18,600,000</x:v>
      </x:c>
      <x:c r="J7" s="9" t="str">
        <x:v>No</x:v>
      </x:c>
    </x:row>
    <x:row r="8">
      <x:c r="A8" s="9" t="str">
        <x:v>RFI-026</x:v>
      </x:c>
      <x:c r="B8" s="9" t="str">
        <x:v>Electrical riser firestop</x:v>
      </x:c>
      <x:c r="C8" s="9" t="str">
        <x:v>2026-07-28</x:v>
      </x:c>
      <x:c r="D8" s="9" t="str">
        <x:v>2026-08-04</x:v>
      </x:c>
      <x:c r="E8" s="9" t="str">
        <x:v>Open</x:v>
      </x:c>
      <x:c r="F8" s="9" t="str">
        <x:v>Low</x:v>
      </x:c>
      <x:c r="G8" s="9" t="n">
        <x:f>MAX(0,DATE(2026,7,29)-DATEVALUE(C8))</x:f>
        <x:v>1</x:v>
      </x:c>
      <x:c r="H8" s="9" t="str">
        <x:v>Awaiting rated assembly selection.</x:v>
      </x:c>
      <x:c r="I8" s="9" t="str">
        <x:v>CO-014 | JPY 18,600,000</x:v>
      </x:c>
      <x:c r="J8" s="9" t="str">
        <x:v>No</x:v>
      </x:c>
    </x:row>
  </x:sheetData>
  <x:mergeCells>
    <x:mergeCell ref="A1:H1"/>
    <x:mergeCell ref="A1:J1"/>
  </x:mergeCells>
  <x:pageMargins left="0.7" right="0.7" top="0.75" bottom="0.75" header="0.3" footer="0.3"/>
</x:worksheet>
</file>