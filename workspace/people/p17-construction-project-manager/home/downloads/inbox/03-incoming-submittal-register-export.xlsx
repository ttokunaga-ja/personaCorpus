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a89787aa1348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bmittal Register" sheetId="1" r:id="Rd9783345a3e94e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4">
    <x:font>
      <x:sz val="11"/>
      <x:name val="Carlito"/>
    </x:font>
    <x:font>
      <x:b/>
      <x:sz val="14"/>
      <x:color rgb="FFFFFFFF"/>
      <x:name val="Carlito"/>
    </x:font>
    <x:font>
      <x:i/>
      <x:sz val="9"/>
      <x:color rgb="FF365F9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1F8"/>
      </x:patternFill>
    </x:fill>
    <x:fill>
      <x:patternFill patternType="solid">
        <x:fgColor rgb="FF2F75B5"/>
      </x:patternFill>
    </x:fill>
    <x:fill>
      <x:patternFill patternType="solid">
        <x:fgColor rgb="FF0F6B6D"/>
      </x:patternFill>
    </x:fill>
  </x:fills>
  <x:borders count="11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10" xfId="0" applyNumberFormat="1" applyFont="1" applyFill="1" applyBorder="1"/>
    <x:xf numFmtId="200" fontId="0" fillId="0" borderId="2" xfId="0" applyNumberFormat="1" applyFont="1" applyFill="1" applyBorder="1" applyAlignment="1">
      <x:alignment vertical="center" wrapText="1"/>
    </x:xf>
    <x:xf numFmtId="200" fontId="0" fillId="0" borderId="5" xfId="0" applyNumberFormat="1" applyFont="1" applyFill="1" applyBorder="1" applyAlignment="1">
      <x:alignment vertical="center" wrapText="1"/>
    </x:xf>
    <x:xf numFmtId="200" fontId="0" fillId="0" borderId="8" xfId="0" applyNumberFormat="1" applyFont="1" applyFill="1" applyBorder="1" applyAlignment="1">
      <x:alignment vertical="center" wrapText="1"/>
    </x:xf>
    <x:xf numFmtId="201" fontId="0" fillId="0" borderId="10" xfId="0" applyNumberFormat="1" applyFont="1" applyFill="1" applyBorder="1"/>
  </x:cellXfs>
  <x:cellStyles count="1">
    <x:cellStyle name="Normal" xfId="0"/>
  </x:cellStyles>
  <x:dxfs count="2">
    <x:dxf>
      <x:font>
        <x:color rgb="FF274E13"/>
      </x:font>
      <x:fill>
        <x:patternFill patternType="solid">
          <x:bgColor rgb="FFD9EAD3"/>
        </x:patternFill>
      </x:fill>
    </x:dxf>
    <x:dxf>
      <x:font>
        <x:color rgb="FF7F6000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d0b771059a415f" /><Relationship Type="http://schemas.openxmlformats.org/officeDocument/2006/relationships/theme" Target="/xl/theme/theme1.xml" Id="R078c3612c81a4d86" /><Relationship Type="http://schemas.openxmlformats.org/officeDocument/2006/relationships/sharedStrings" Target="/xl/sharedStrings.xml" Id="Re94f715bcf3f4a57" /><Relationship Type="http://schemas.openxmlformats.org/officeDocument/2006/relationships/worksheet" Target="/xl/worksheets/sheet1.xml" Id="Rd9783345a3e94e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3" hidden="0" customWidth="1"/>
    <x:col min="4" max="4" width="20" hidden="0" customWidth="1"/>
    <x:col min="5" max="5" width="15" hidden="0" customWidth="1"/>
    <x:col min="6" max="6" width="13" hidden="0" customWidth="1"/>
    <x:col min="7" max="7" width="14" hidden="0" customWidth="1"/>
    <x:col min="8" max="8" width="34" hidden="0" customWidth="1"/>
  </x:cols>
  <x:sheetData>
    <x:row r="1" ht="26" customHeight="1">
      <x:c r="A1" s="4" t="str">
        <x:v>HARBOR BUILD | PROJECT ALPHA | INCOMING SUBMITTAL REGISTER</x:v>
      </x:c>
      <x:c r="B1" s="4"/>
      <x:c r="C1" s="4"/>
      <x:c r="D1" s="4"/>
      <x:c r="E1" s="4"/>
      <x:c r="F1" s="4"/>
      <x:c r="G1" s="4"/>
      <x:c r="H1" s="4"/>
    </x:row>
    <x:row r="2" ht="20" customHeight="1">
      <x:c r="A2" s="7" t="str">
        <x:v>Snapshot date: 2026-07-29 | Coordination reference: CO-014 | Project value context: JPY 18,600,000</x:v>
      </x:c>
      <x:c r="B2" s="7"/>
      <x:c r="C2" s="7"/>
      <x:c r="D2" s="7"/>
      <x:c r="E2" s="7"/>
      <x:c r="F2" s="7"/>
      <x:c r="G2" s="7"/>
      <x:c r="H2" s="7"/>
    </x:row>
    <x:row r="4" ht="27" customHeight="1">
      <x:c r="A4" s="11" t="str">
        <x:v>Submittal ID</x:v>
      </x:c>
      <x:c r="B4" s="11" t="str">
        <x:v>Package</x:v>
      </x:c>
      <x:c r="C4" s="11" t="str">
        <x:v>Received</x:v>
      </x:c>
      <x:c r="D4" s="11" t="str">
        <x:v>Review status</x:v>
      </x:c>
      <x:c r="E4" s="11" t="str">
        <x:v>Discipline</x:v>
      </x:c>
      <x:c r="F4" s="11" t="str">
        <x:v>CO reference</x:v>
      </x:c>
      <x:c r="G4" s="11" t="str">
        <x:v>Due / action</x:v>
      </x:c>
      <x:c r="H4" s="11" t="str">
        <x:v>Notes</x:v>
      </x:c>
    </x:row>
    <x:row r="5" ht="27" customHeight="1">
      <x:c r="A5" s="30" t="str">
        <x:v>SUB-241</x:v>
      </x:c>
      <x:c r="B5" s="31" t="str">
        <x:v>Concrete mix test summary</x:v>
      </x:c>
      <x:c r="C5" s="42" t="n">
        <x:v>46232</x:v>
      </x:c>
      <x:c r="D5" s="31" t="str">
        <x:v>Accepted</x:v>
      </x:c>
      <x:c r="E5" s="31" t="str">
        <x:v>Structure</x:v>
      </x:c>
      <x:c r="F5" s="31" t="str">
        <x:v>CO-014</x:v>
      </x:c>
      <x:c r="G5" s="42" t="n">
        <x:v>46233</x:v>
      </x:c>
      <x:c r="H5" s="32" t="str">
        <x:v>28-day results meet design basis</x:v>
      </x:c>
    </x:row>
    <x:row r="6" ht="27" customHeight="1">
      <x:c r="A6" s="33" t="str">
        <x:v>SUB-242</x:v>
      </x:c>
      <x:c r="B6" s="34" t="str">
        <x:v>Steel mill certificate</x:v>
      </x:c>
      <x:c r="C6" s="43" t="n">
        <x:v>46232</x:v>
      </x:c>
      <x:c r="D6" s="34" t="str">
        <x:v>Under review</x:v>
      </x:c>
      <x:c r="E6" s="34" t="str">
        <x:v>Structure</x:v>
      </x:c>
      <x:c r="F6" s="34" t="str">
        <x:v>CO-014</x:v>
      </x:c>
      <x:c r="G6" s="43" t="n">
        <x:v>46234</x:v>
      </x:c>
      <x:c r="H6" s="35" t="str">
        <x:v>Trace heat details against shop package</x:v>
      </x:c>
    </x:row>
    <x:row r="7" ht="27" customHeight="1">
      <x:c r="A7" s="33" t="str">
        <x:v>SUB-243</x:v>
      </x:c>
      <x:c r="B7" s="34" t="str">
        <x:v>Interior board product data</x:v>
      </x:c>
      <x:c r="C7" s="43" t="n">
        <x:v>46232</x:v>
      </x:c>
      <x:c r="D7" s="34" t="str">
        <x:v>Revise and resubmit</x:v>
      </x:c>
      <x:c r="E7" s="34" t="str">
        <x:v>Architecture</x:v>
      </x:c>
      <x:c r="F7" s="34" t="str">
        <x:v>CO-014</x:v>
      </x:c>
      <x:c r="G7" s="43" t="n">
        <x:v>46237</x:v>
      </x:c>
      <x:c r="H7" s="35" t="str">
        <x:v>Confirm rated opening condition</x:v>
      </x:c>
    </x:row>
    <x:row r="8" ht="27" customHeight="1">
      <x:c r="A8" s="33" t="str">
        <x:v>SUB-244</x:v>
      </x:c>
      <x:c r="B8" s="34" t="str">
        <x:v>Drawing markup coordination</x:v>
      </x:c>
      <x:c r="C8" s="43" t="n">
        <x:v>46232</x:v>
      </x:c>
      <x:c r="D8" s="34" t="str">
        <x:v>Pending consultant</x:v>
      </x:c>
      <x:c r="E8" s="34" t="str">
        <x:v>Coordination</x:v>
      </x:c>
      <x:c r="F8" s="34" t="str">
        <x:v>CO-014</x:v>
      </x:c>
      <x:c r="G8" s="43" t="n">
        <x:v>46235</x:v>
      </x:c>
      <x:c r="H8" s="35" t="str">
        <x:v>Opening location requires written response</x:v>
      </x:c>
    </x:row>
    <x:row r="9" ht="27" customHeight="1">
      <x:c r="A9" s="36" t="str">
        <x:v>SUB-245</x:v>
      </x:c>
      <x:c r="B9" s="37" t="str">
        <x:v>Level 02 model export</x:v>
      </x:c>
      <x:c r="C9" s="44" t="n">
        <x:v>46232</x:v>
      </x:c>
      <x:c r="D9" s="37" t="str">
        <x:v>Accepted with notes</x:v>
      </x:c>
      <x:c r="E9" s="37" t="str">
        <x:v>BIM</x:v>
      </x:c>
      <x:c r="F9" s="37" t="str">
        <x:v>CO-014</x:v>
      </x:c>
      <x:c r="G9" s="44" t="n">
        <x:v>46236</x:v>
      </x:c>
      <x:c r="H9" s="38" t="str">
        <x:v>Use as coordination reference only</x:v>
      </x:c>
    </x:row>
    <x:row r="11">
      <x:c r="A11" s="40" t="str">
        <x:v>Summary</x:v>
      </x:c>
      <x:c r="B11" s="40" t="str">
        <x:v>Count</x:v>
      </x:c>
    </x:row>
    <x:row r="12">
      <x:c r="A12" s="41" t="str">
        <x:v>Accepted / accepted with notes</x:v>
      </x:c>
      <x:c r="B12" s="45" t="n">
        <x:f>COUNTIF($D$5:$D$9,"Accepted")+COUNTIF($D$5:$D$9,"Accepted with notes")</x:f>
        <x:v>2</x:v>
      </x:c>
    </x:row>
    <x:row r="13">
      <x:c r="A13" s="41" t="str">
        <x:v>Under review</x:v>
      </x:c>
      <x:c r="B13" s="45" t="n">
        <x:f>COUNTIF($D$5:$D$9,"Under review")</x:f>
        <x:v>1</x:v>
      </x:c>
    </x:row>
    <x:row r="14">
      <x:c r="A14" s="41" t="str">
        <x:v>Action required</x:v>
      </x:c>
      <x:c r="B14" s="45" t="n">
        <x:f>COUNTIF($D$5:$D$9,"Revise and resubmit")+COUNTIF($D$5:$D$9,"Pending consultant")</x:f>
        <x:v>2</x:v>
      </x:c>
    </x:row>
    <x:row r="15">
      <x:c r="A15" s="41" t="str">
        <x:v>Total incoming</x:v>
      </x:c>
      <x:c r="B15" s="45" t="n">
        <x:f>COUNTA($A$5:$A$9)</x:f>
        <x:v>5</x:v>
      </x:c>
    </x:row>
  </x:sheetData>
  <x:mergeCells>
    <x:mergeCell ref="A1:H1"/>
    <x:mergeCell ref="A2:H2"/>
  </x:mergeCells>
  <x:conditionalFormatting sqref="D5:D9">
    <x:cfRule type="containsText" dxfId="0" priority="1" operator="containsText" text="Accepted"/>
    <x:cfRule type="containsText" dxfId="1" priority="2" operator="containsText" text="Revise"/>
  </x:conditionalFormatting>
  <x:dataValidations count="1">
    <x:dataValidation type="list" sqref="D5:D9">
      <x:formula1>"Accepted,Accepted with notes,Under review,Revise and resubmit,Pending consultant"</x:formula1>
    </x:dataValidation>
  </x:dataValidations>
  <x:pageMargins left="0.7" right="0.7" top="0.75" bottom="0.75" header="0.3" footer="0.3"/>
</x:worksheet>
</file>