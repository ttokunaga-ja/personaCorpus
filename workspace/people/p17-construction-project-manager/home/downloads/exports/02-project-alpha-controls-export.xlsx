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bf6fbc83a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863fd3c13664f79"/>
    <x:sheet xmlns:r="http://schemas.openxmlformats.org/officeDocument/2006/relationships" name="CO-014" sheetId="2" r:id="Rbd7218ac938f46eb"/>
    <x:sheet xmlns:r="http://schemas.openxmlformats.org/officeDocument/2006/relationships" name="Open Items" sheetId="3" r:id="Rd8b0fd4bda1d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 &quot;JPY&quot;"/>
    <x:numFmt numFmtId="202" formatCode="0.0%"/>
    <x:numFmt numFmtId="203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A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C9D5E1"/>
      </x:left>
      <x:right style="thin">
        <x:color rgb="FFC9D5E1"/>
      </x:right>
      <x:top style="thin">
        <x:color rgb="FFC9D5E1"/>
      </x:top>
      <x:bottom style="thin">
        <x:color rgb="FFC9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2" fillId="3" borderId="2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2" fillId="3" borderId="2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56282c28c4c60" /><Relationship Type="http://schemas.openxmlformats.org/officeDocument/2006/relationships/theme" Target="/xl/theme/theme1.xml" Id="R4bd30472397348b6" /><Relationship Type="http://schemas.openxmlformats.org/officeDocument/2006/relationships/sharedStrings" Target="/xl/sharedStrings.xml" Id="R0d5673af81f1436a" /><Relationship Type="http://schemas.openxmlformats.org/officeDocument/2006/relationships/worksheet" Target="/xl/worksheets/sheet1.xml" Id="Rd863fd3c13664f79" /><Relationship Type="http://schemas.openxmlformats.org/officeDocument/2006/relationships/worksheet" Target="/xl/worksheets/sheet2.xml" Id="Rbd7218ac938f46eb" /><Relationship Type="http://schemas.openxmlformats.org/officeDocument/2006/relationships/worksheet" Target="/xl/worksheets/sheet3.xml" Id="Rd8b0fd4bda1d46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4" max="4" width="18" hidden="0" customWidth="1"/>
    <x:col min="5" max="5" width="31" hidden="0" customWidth="1"/>
    <x:col min="6" max="6" width="18" hidden="0" customWidth="1"/>
    <x:col min="7" max="7" width="18" hidden="0" customWidth="1"/>
    <x:col min="8" max="8" width="18" hidden="0" customWidth="1"/>
    <x:col min="3" max="3" width="18" hidden="0" customWidth="1"/>
  </x:cols>
  <x:sheetData>
    <x:row r="1" ht="19.200000762939453" hidden="0" customHeight="1">
      <x:c r="A1" s="4" t="str">
        <x:v>Harbor Build | Project Alpha 2026 controls snapshot</x:v>
      </x:c>
      <x:c r="B1" s="4"/>
      <x:c r="C1" s="4"/>
      <x:c r="D1" s="4"/>
      <x:c r="E1" s="4"/>
      <x:c r="F1" s="4"/>
      <x:c r="G1" s="4"/>
      <x:c r="H1" s="4"/>
    </x:row>
    <x:row r="2"/>
    <x:row r="3" ht="15" hidden="0" customHeight="1">
      <x:c r="A3" s="6" t="str">
        <x:v>Reporting date</x:v>
      </x:c>
      <x:c r="B3" s="7" t="n">
        <x:v>46232</x:v>
      </x:c>
      <x:c r="D3" s="12" t="str">
        <x:v>Control area</x:v>
      </x:c>
      <x:c r="E3" s="12" t="str">
        <x:v>Decision or constraint</x:v>
      </x:c>
      <x:c r="F3" s="12" t="str">
        <x:v>Owner role</x:v>
      </x:c>
      <x:c r="G3" s="12" t="str">
        <x:v>Due date</x:v>
      </x:c>
      <x:c r="H3" s="12" t="str">
        <x:v>Status</x:v>
      </x:c>
    </x:row>
    <x:row r="4" ht="15" hidden="0" customHeight="1">
      <x:c r="A4" s="6" t="str">
        <x:v>Contract change</x:v>
      </x:c>
      <x:c r="B4" s="5" t="str">
        <x:v>CO-014</x:v>
      </x:c>
      <x:c r="D4" s="14" t="str">
        <x:v>Commercial</x:v>
      </x:c>
      <x:c r="E4" s="14" t="str">
        <x:v>CO-014 decision record</x:v>
      </x:c>
      <x:c r="F4" s="14" t="str">
        <x:v>Client commercial lead</x:v>
      </x:c>
      <x:c r="G4" s="15" t="n">
        <x:v>46239</x:v>
      </x:c>
      <x:c r="H4" s="14" t="str">
        <x:v>AMBER</x:v>
      </x:c>
    </x:row>
    <x:row r="5" ht="15" hidden="0" customHeight="1">
      <x:c r="A5" s="6" t="str">
        <x:v>Proposed value</x:v>
      </x:c>
      <x:c r="B5" s="8" t="n">
        <x:v>18600000</x:v>
      </x:c>
      <x:c r="D5" s="14" t="str">
        <x:v>Programme</x:v>
      </x:c>
      <x:c r="E5" s="14" t="str">
        <x:v>Structural release coordination</x:v>
      </x:c>
      <x:c r="F5" s="14" t="str">
        <x:v>Design coordination lead</x:v>
      </x:c>
      <x:c r="G5" s="15" t="n">
        <x:v>46236</x:v>
      </x:c>
      <x:c r="H5" s="14" t="str">
        <x:v>AMBER</x:v>
      </x:c>
    </x:row>
    <x:row r="6" ht="15" hidden="0" customHeight="1">
      <x:c r="A6" s="6" t="str">
        <x:v>Commercial status</x:v>
      </x:c>
      <x:c r="B6" s="5" t="str">
        <x:v>AMBER</x:v>
      </x:c>
      <x:c r="D6" s="14" t="str">
        <x:v>Controls</x:v>
      </x:c>
      <x:c r="E6" s="14" t="str">
        <x:v>Open-items review</x:v>
      </x:c>
      <x:c r="F6" s="14" t="str">
        <x:v>Project controls lead</x:v>
      </x:c>
      <x:c r="G6" s="15" t="n">
        <x:v>46237</x:v>
      </x:c>
      <x:c r="H6" s="14" t="str">
        <x:v>GREEN</x:v>
      </x:c>
    </x:row>
    <x:row r="7" ht="15" hidden="0" customHeight="1">
      <x:c r="A7" s="6" t="str">
        <x:v>Programme status</x:v>
      </x:c>
      <x:c r="B7" s="5" t="str">
        <x:v>AMBER</x:v>
      </x:c>
    </x:row>
    <x:row r="8" ht="15" hidden="0" customHeight="1">
      <x:c r="A8" s="6" t="str">
        <x:v>Quality status</x:v>
      </x:c>
      <x:c r="B8" s="5" t="str">
        <x:v>GREEN</x:v>
      </x:c>
    </x:row>
    <x:row r="9"/>
    <x:row r="10" ht="15" hidden="0" customHeight="1">
      <x:c r="A10" s="12" t="str">
        <x:v>Control interpretation</x:v>
      </x:c>
      <x:c r="B10" s="12"/>
      <x:c r="C10" s="12"/>
      <x:c r="D10" s="12"/>
      <x:c r="E10" s="12"/>
      <x:c r="F10" s="12"/>
      <x:c r="G10" s="12"/>
      <x:c r="H10" s="12"/>
    </x:row>
    <x:row r="11">
      <x:c r="A11" s="19" t="str">
        <x:v>Pre-approval control snapshot as of 2026-07-29 12:00 JST. CO-014 is recorded as a proposed JPY 18,600,000 commercial decision; this export is superseded by approval recorded at 16:42 JST and does not authorize field release or work instructions.</x:v>
      </x:c>
      <x:c r="B11" s="19"/>
      <x:c r="C11" s="19"/>
      <x:c r="D11" s="19"/>
      <x:c r="E11" s="19"/>
      <x:c r="F11" s="19"/>
      <x:c r="G11" s="19"/>
      <x:c r="H11" s="19"/>
    </x:row>
    <x:row r="12">
      <x:c r="A12" s="19"/>
      <x:c r="B12" s="19"/>
      <x:c r="C12" s="19"/>
      <x:c r="D12" s="19"/>
      <x:c r="E12" s="19"/>
      <x:c r="F12" s="19"/>
      <x:c r="G12" s="19"/>
      <x:c r="H12" s="19"/>
    </x:row>
    <x:row r="13">
      <x:c r="A13" s="19"/>
      <x:c r="B13" s="19"/>
      <x:c r="C13" s="19"/>
      <x:c r="D13" s="19"/>
      <x:c r="E13" s="19"/>
      <x:c r="F13" s="19"/>
      <x:c r="G13" s="19"/>
      <x:c r="H13" s="19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3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19.200000762939453" hidden="0" customHeight="1">
      <x:c r="A1" s="4" t="str">
        <x:v>CO-014 commercial control build-up</x:v>
      </x:c>
      <x:c r="B1" s="4"/>
      <x:c r="C1" s="4"/>
      <x:c r="D1" s="4"/>
      <x:c r="E1" s="4"/>
    </x:row>
    <x:row r="2"/>
    <x:row r="3" ht="15" hidden="0" customHeight="1">
      <x:c r="A3" s="12" t="str">
        <x:v>Cost component</x:v>
      </x:c>
      <x:c r="B3" s="12" t="str">
        <x:v>Basis</x:v>
      </x:c>
      <x:c r="C3" s="12" t="str">
        <x:v>Amount (JPY)</x:v>
      </x:c>
      <x:c r="D3" s="12" t="str">
        <x:v>Control status</x:v>
      </x:c>
      <x:c r="E3" s="12" t="str">
        <x:v>Share of total</x:v>
      </x:c>
    </x:row>
    <x:row r="4" ht="15" hidden="0" customHeight="1">
      <x:c r="A4" s="14" t="str">
        <x:v>Direct works</x:v>
      </x:c>
      <x:c r="B4" s="14" t="str">
        <x:v>Measured scope adjustment and specialist coordination</x:v>
      </x:c>
      <x:c r="C4" s="23" t="n">
        <x:v>12400000</x:v>
      </x:c>
      <x:c r="D4" s="14" t="str">
        <x:v>Reviewed</x:v>
      </x:c>
      <x:c r="E4" s="25" t="n">
        <x:f>C4/$C$8</x:f>
        <x:v>0.6666666666666666</x:v>
      </x:c>
    </x:row>
    <x:row r="5" ht="15" hidden="0" customHeight="1">
      <x:c r="A5" s="14" t="str">
        <x:v>Preliminaries</x:v>
      </x:c>
      <x:c r="B5" s="14" t="str">
        <x:v>Time-related site management allowance</x:v>
      </x:c>
      <x:c r="C5" s="23" t="n">
        <x:v>2100000</x:v>
      </x:c>
      <x:c r="D5" s="14" t="str">
        <x:v>Reviewed</x:v>
      </x:c>
      <x:c r="E5" s="25" t="n">
        <x:f>C5/$C$8</x:f>
        <x:v>0.11290322580645161</x:v>
      </x:c>
    </x:row>
    <x:row r="6" ht="15" hidden="0" customHeight="1">
      <x:c r="A6" s="14" t="str">
        <x:v>Design coordination</x:v>
      </x:c>
      <x:c r="B6" s="14" t="str">
        <x:v>Drawing, model, and interface management</x:v>
      </x:c>
      <x:c r="C6" s="23" t="n">
        <x:v>1600000</x:v>
      </x:c>
      <x:c r="D6" s="14" t="str">
        <x:v>Reviewed</x:v>
      </x:c>
      <x:c r="E6" s="25" t="n">
        <x:f>C6/$C$8</x:f>
        <x:v>0.08602150537634409</x:v>
      </x:c>
    </x:row>
    <x:row r="7" ht="15" hidden="0" customHeight="1">
      <x:c r="A7" s="14" t="str">
        <x:v>Risk allowance</x:v>
      </x:c>
      <x:c r="B7" s="14" t="str">
        <x:v>Defined residual interface exposure</x:v>
      </x:c>
      <x:c r="C7" s="23" t="n">
        <x:v>2500000</x:v>
      </x:c>
      <x:c r="D7" s="14" t="str">
        <x:v>Pending decision</x:v>
      </x:c>
      <x:c r="E7" s="25" t="n">
        <x:f>C7/$C$8</x:f>
        <x:v>0.13440860215053763</x:v>
      </x:c>
    </x:row>
    <x:row r="8" ht="15" hidden="0" customHeight="1">
      <x:c r="A8" s="22" t="str">
        <x:v>Total proposed CO-014</x:v>
      </x:c>
      <x:c r="B8" s="22" t="str"/>
      <x:c r="C8" s="24" t="n">
        <x:f>SUM(C4:C7)</x:f>
        <x:v>18600000</x:v>
      </x:c>
      <x:c r="D8" s="22" t="str">
        <x:v>For approval</x:v>
      </x:c>
      <x:c r="E8" s="26" t="n">
        <x:f>SUM(E4:E7)</x:f>
        <x:v>1</x:v>
      </x:c>
    </x:row>
    <x:row r="9"/>
    <x:row r="10" ht="15" hidden="0" customHeight="1">
      <x:c r="A10" s="12" t="str">
        <x:v>Programme treatment</x:v>
      </x:c>
      <x:c r="B10" s="12"/>
      <x:c r="C10" s="12"/>
      <x:c r="D10" s="12"/>
      <x:c r="E10" s="12"/>
    </x:row>
    <x:row r="11">
      <x:c r="A11" s="19" t="str">
        <x:v>Pre-approval snapshot as of 2026-07-29 12:00 JST, superseded by approval recorded at 16:42 JST. This control view does not issue a field release. Assessed effect: five working days if decision is deferred beyond the next coordination gate.</x:v>
      </x:c>
      <x:c r="B11" s="19"/>
      <x:c r="C11" s="19"/>
      <x:c r="D11" s="19"/>
      <x:c r="E11" s="19"/>
    </x:row>
    <x:row r="12">
      <x:c r="A12" s="19"/>
      <x:c r="B12" s="19"/>
      <x:c r="C12" s="19"/>
      <x:c r="D12" s="19"/>
      <x:c r="E12" s="19"/>
    </x:row>
  </x:sheetData>
  <x:mergeCells>
    <x:mergeCell ref="A1:E1"/>
    <x:mergeCell ref="A10:E10"/>
    <x:mergeCell ref="A11:E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9.200000762939453" hidden="0" customHeight="1">
      <x:c r="A1" s="4" t="str">
        <x:v>Project Alpha open items register</x:v>
      </x:c>
      <x:c r="B1" s="4"/>
      <x:c r="C1" s="4"/>
      <x:c r="D1" s="4"/>
      <x:c r="E1" s="4"/>
      <x:c r="F1" s="4"/>
      <x:c r="G1" s="4"/>
    </x:row>
    <x:row r="2"/>
    <x:row r="3" ht="15" hidden="0" customHeight="1">
      <x:c r="A3" s="12" t="str">
        <x:v>Item ID</x:v>
      </x:c>
      <x:c r="B3" s="12" t="str">
        <x:v>Topic</x:v>
      </x:c>
      <x:c r="C3" s="12" t="str">
        <x:v>Control owner</x:v>
      </x:c>
      <x:c r="D3" s="12" t="str">
        <x:v>Due date</x:v>
      </x:c>
      <x:c r="E3" s="12" t="str">
        <x:v>Dependency</x:v>
      </x:c>
      <x:c r="F3" s="12" t="str">
        <x:v>Status</x:v>
      </x:c>
      <x:c r="G3" s="12" t="str">
        <x:v>Age (days)</x:v>
      </x:c>
    </x:row>
    <x:row r="4" ht="15" hidden="0" customHeight="1">
      <x:c r="A4" s="14" t="str">
        <x:v>OI-071</x:v>
      </x:c>
      <x:c r="B4" s="14" t="str">
        <x:v>CO-014 scope boundary confirmation</x:v>
      </x:c>
      <x:c r="C4" s="14" t="str">
        <x:v>Commercial lead</x:v>
      </x:c>
      <x:c r="D4" s="15" t="n">
        <x:v>46239</x:v>
      </x:c>
      <x:c r="E4" s="14" t="str">
        <x:v>Client decision record</x:v>
      </x:c>
      <x:c r="F4" s="14" t="str">
        <x:v>AMBER</x:v>
      </x:c>
      <x:c r="G4" s="27" t="n">
        <x:f>D4-DATE(2026,7,29)</x:f>
        <x:v>7</x:v>
      </x:c>
    </x:row>
    <x:row r="5" ht="15" hidden="0" customHeight="1">
      <x:c r="A5" s="14" t="str">
        <x:v>OI-072</x:v>
      </x:c>
      <x:c r="B5" s="14" t="str">
        <x:v>Structural release coordination</x:v>
      </x:c>
      <x:c r="C5" s="14" t="str">
        <x:v>Design coordination lead</x:v>
      </x:c>
      <x:c r="D5" s="15" t="n">
        <x:v>46236</x:v>
      </x:c>
      <x:c r="E5" s="14" t="str">
        <x:v>RFI response log</x:v>
      </x:c>
      <x:c r="F5" s="14" t="str">
        <x:v>AMBER</x:v>
      </x:c>
      <x:c r="G5" s="27" t="n">
        <x:f>D5-DATE(2026,7,29)</x:f>
        <x:v>4</x:v>
      </x:c>
    </x:row>
    <x:row r="6" ht="15" hidden="0" customHeight="1">
      <x:c r="A6" s="14" t="str">
        <x:v>OI-073</x:v>
      </x:c>
      <x:c r="B6" s="14" t="str">
        <x:v>Mock-up observation closeout</x:v>
      </x:c>
      <x:c r="C6" s="14" t="str">
        <x:v>Quality lead</x:v>
      </x:c>
      <x:c r="D6" s="15" t="n">
        <x:v>46237</x:v>
      </x:c>
      <x:c r="E6" s="14" t="str">
        <x:v>Photographic evidence</x:v>
      </x:c>
      <x:c r="F6" s="14" t="str">
        <x:v>GREEN</x:v>
      </x:c>
      <x:c r="G6" s="27" t="n">
        <x:f>D6-DATE(2026,7,29)</x:f>
        <x:v>5</x:v>
      </x:c>
    </x:row>
    <x:row r="7" ht="15" hidden="0" customHeight="1">
      <x:c r="A7" s="14" t="str">
        <x:v>OI-074</x:v>
      </x:c>
      <x:c r="B7" s="14" t="str">
        <x:v>Lifting-plan interface review</x:v>
      </x:c>
      <x:c r="C7" s="14" t="str">
        <x:v>Work package lead</x:v>
      </x:c>
      <x:c r="D7" s="15" t="n">
        <x:v>46238</x:v>
      </x:c>
      <x:c r="E7" s="14" t="str">
        <x:v>Sequencing review</x:v>
      </x:c>
      <x:c r="F7" s="14" t="str">
        <x:v>GREEN</x:v>
      </x:c>
      <x:c r="G7" s="27" t="n">
        <x:f>D7-DATE(2026,7,29)</x:f>
        <x:v>6</x:v>
      </x:c>
    </x:row>
    <x:row r="8" ht="15" hidden="0" customHeight="1">
      <x:c r="A8" s="14" t="str">
        <x:v>OI-075</x:v>
      </x:c>
      <x:c r="B8" s="14" t="str">
        <x:v>Procurement interface hold point</x:v>
      </x:c>
      <x:c r="C8" s="14" t="str">
        <x:v>Procurement lead</x:v>
      </x:c>
      <x:c r="D8" s="15" t="n">
        <x:v>46235</x:v>
      </x:c>
      <x:c r="E8" s="14" t="str">
        <x:v>CO-014 decision</x:v>
      </x:c>
      <x:c r="F8" s="14" t="str">
        <x:v>AMBER</x:v>
      </x:c>
      <x:c r="G8" s="27" t="n">
        <x:f>D8-DATE(2026,7,29)</x:f>
        <x:v>3</x:v>
      </x:c>
    </x:row>
  </x:sheetData>
  <x:mergeCells>
    <x:mergeCell ref="A1:G1"/>
  </x:mergeCells>
  <x:pageMargins left="0.7" right="0.7" top="0.75" bottom="0.75" header="0.3" footer="0.3"/>
</x:worksheet>
</file>