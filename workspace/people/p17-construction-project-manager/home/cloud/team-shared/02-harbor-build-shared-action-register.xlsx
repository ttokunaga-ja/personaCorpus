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4160c7982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Register" sheetId="1" r:id="R506e11199a714e97"/>
    <x:sheet xmlns:r="http://schemas.openxmlformats.org/officeDocument/2006/relationships" name="Lists" sheetId="2" r:id="R020927cbeae7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  <x:font>
      <x:b/>
      <x:sz val="11"/>
      <x:color rgb="FFFFFFFF"/>
      <x:name val="Carlito"/>
    </x:font>
    <x:font>
      <x:b/>
      <x:sz val="12"/>
      <x:color rgb="FF153B52"/>
      <x:name val="Carlito"/>
    </x:font>
    <x:font>
      <x:b/>
      <x:sz val="20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EAF2F5"/>
      </x:patternFill>
    </x:fill>
  </x:fills>
  <x:borders count="2">
    <x:border/>
    <x:border>
      <x:left style="thin">
        <x:color rgb="FFC9D6DC"/>
      </x:left>
      <x:right style="thin">
        <x:color rgb="FFC9D6DC"/>
      </x:right>
      <x:top style="thin">
        <x:color rgb="FFC9D6DC"/>
      </x:top>
      <x:bottom style="thin">
        <x:color rgb="FFC9D6D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52616B"/>
      </x:font>
      <x:fill>
        <x:patternFill patternType="solid">
          <x:bgColor rgb="FFEEF2F4"/>
        </x:patternFill>
      </x:fill>
    </x:dxf>
    <x:dxf>
      <x:font>
        <x:b/>
        <x:color rgb="FFA12C2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93e8ea2194e65" /><Relationship Type="http://schemas.openxmlformats.org/officeDocument/2006/relationships/theme" Target="/xl/theme/theme1.xml" Id="R4f6adcfb482d4216" /><Relationship Type="http://schemas.openxmlformats.org/officeDocument/2006/relationships/sharedStrings" Target="/xl/sharedStrings.xml" Id="Rfa587d70aaf74820" /><Relationship Type="http://schemas.openxmlformats.org/officeDocument/2006/relationships/worksheet" Target="/xl/worksheets/sheet1.xml" Id="R506e11199a714e97" /><Relationship Type="http://schemas.openxmlformats.org/officeDocument/2006/relationships/worksheet" Target="/xl/worksheets/sheet2.xml" Id="R020927cbeae744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3.329999923706055" hidden="0" customWidth="1"/>
    <x:col min="3" max="3" width="32.220001220703125" hidden="0" customWidth="1"/>
    <x:col min="4" max="4" width="13.329999923706055" hidden="0" customWidth="1"/>
    <x:col min="5" max="5" width="10.5600004196167" hidden="0" customWidth="1"/>
    <x:col min="6" max="6" width="11.109999656677246" hidden="0" customWidth="1"/>
    <x:col min="7" max="7" width="9.4399995803833" hidden="0" customWidth="1"/>
    <x:col min="8" max="8" width="16.670000076293945" hidden="0" customWidth="1"/>
    <x:col min="9" max="9" width="27.780000686645508" hidden="0" customWidth="1"/>
    <x:col min="10" max="10" width="9.4399995803833" hidden="0" customWidth="1"/>
  </x:cols>
  <x:sheetData>
    <x:row r="1" ht="30" customHeight="1">
      <x:c r="A1" s="4" t="str">
        <x:v>Harbor Build | Project Alpha 2026 - Shared Action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7" t="str">
        <x:v>Portfolio snapshot as of 2026-07-29 18:00 JST | CO-014 approval recorded at 16:42 JST | JPY 18,600,000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4" t="str">
        <x:v>Action ID</x:v>
      </x:c>
      <x:c r="B4" s="14" t="str">
        <x:v>Workstream</x:v>
      </x:c>
      <x:c r="C4" s="14" t="str">
        <x:v>Action / decision</x:v>
      </x:c>
      <x:c r="D4" s="14" t="str">
        <x:v>Owner role</x:v>
      </x:c>
      <x:c r="E4" s="14" t="str">
        <x:v>Due date</x:v>
      </x:c>
      <x:c r="F4" s="14" t="str">
        <x:v>Status</x:v>
      </x:c>
      <x:c r="G4" s="14" t="str">
        <x:v>Priority</x:v>
      </x:c>
      <x:c r="H4" s="14" t="str">
        <x:v>Dependency</x:v>
      </x:c>
      <x:c r="I4" s="14" t="str">
        <x:v>Evidence / next update</x:v>
      </x:c>
      <x:c r="J4" s="14" t="str">
        <x:v>Days to due</x:v>
      </x:c>
    </x:row>
    <x:row r="5" ht="34" customHeight="1">
      <x:c r="A5" s="15" t="str">
        <x:v>AR-017</x:v>
      </x:c>
      <x:c r="B5" s="15" t="str">
        <x:v>MEP coordination</x:v>
      </x:c>
      <x:c r="C5" s="15" t="str">
        <x:v>Close accountable response log for three ceiling zones</x:v>
      </x:c>
      <x:c r="D5" s="15" t="str">
        <x:v>MEP lead</x:v>
      </x:c>
      <x:c r="E5" s="16" t="n">
        <x:v>46233</x:v>
      </x:c>
      <x:c r="F5" s="15" t="str">
        <x:v>In Progress</x:v>
      </x:c>
      <x:c r="G5" s="15" t="str">
        <x:v>High</x:v>
      </x:c>
      <x:c r="H5" s="15" t="str">
        <x:v>Design response log</x:v>
      </x:c>
      <x:c r="I5" s="15" t="str">
        <x:v>Post accepted responses to shared register</x:v>
      </x:c>
      <x:c r="J5" s="17" t="n">
        <x:f>E5-DATE(2026,7,29)</x:f>
        <x:v>1</x:v>
      </x:c>
    </x:row>
    <x:row r="6" ht="34" customHeight="1">
      <x:c r="A6" s="15" t="str">
        <x:v>AR-018</x:v>
      </x:c>
      <x:c r="B6" s="15" t="str">
        <x:v>Procurement</x:v>
      </x:c>
      <x:c r="C6" s="15" t="str">
        <x:v>Verify CO-014 quantities against vendor-ready package</x:v>
      </x:c>
      <x:c r="D6" s="15" t="str">
        <x:v>Procurement lead</x:v>
      </x:c>
      <x:c r="E6" s="16" t="n">
        <x:v>46234</x:v>
      </x:c>
      <x:c r="F6" s="15" t="str">
        <x:v>In Progress</x:v>
      </x:c>
      <x:c r="G6" s="15" t="str">
        <x:v>High</x:v>
      </x:c>
      <x:c r="H6" s="15" t="str">
        <x:v>CO-014 JPY 18,600,000</x:v>
      </x:c>
      <x:c r="I6" s="15" t="str">
        <x:v>Record quantity confirmation and exceptions</x:v>
      </x:c>
      <x:c r="J6" s="17" t="n">
        <x:f>E6-DATE(2026,7,29)</x:f>
        <x:v>2</x:v>
      </x:c>
    </x:row>
    <x:row r="7" ht="34" customHeight="1">
      <x:c r="A7" s="15" t="str">
        <x:v>AR-019</x:v>
      </x:c>
      <x:c r="B7" s="15" t="str">
        <x:v>Civil / structure</x:v>
      </x:c>
      <x:c r="C7" s="15" t="str">
        <x:v>Issue two-week release map</x:v>
      </x:c>
      <x:c r="D7" s="15" t="str">
        <x:v>Planning lead</x:v>
      </x:c>
      <x:c r="E7" s="16" t="n">
        <x:v>46234</x:v>
      </x:c>
      <x:c r="F7" s="15" t="str">
        <x:v>Not Started</x:v>
      </x:c>
      <x:c r="G7" s="15" t="str">
        <x:v>Medium</x:v>
      </x:c>
      <x:c r="H7" s="15" t="str">
        <x:v>Sequencing confirmation</x:v>
      </x:c>
      <x:c r="I7" s="15" t="str">
        <x:v>Publish dated release map</x:v>
      </x:c>
      <x:c r="J7" s="17" t="n">
        <x:f>E7-DATE(2026,7,29)</x:f>
        <x:v>2</x:v>
      </x:c>
    </x:row>
    <x:row r="8" ht="34" customHeight="1">
      <x:c r="A8" s="15" t="str">
        <x:v>AR-020</x:v>
      </x:c>
      <x:c r="B8" s="15" t="str">
        <x:v>Quality / close-out</x:v>
      </x:c>
      <x:c r="C8" s="15" t="str">
        <x:v>Pilot hold-point checklist on first released area</x:v>
      </x:c>
      <x:c r="D8" s="15" t="str">
        <x:v>Quality lead</x:v>
      </x:c>
      <x:c r="E8" s="16" t="n">
        <x:v>46239</x:v>
      </x:c>
      <x:c r="F8" s="15" t="str">
        <x:v>Not Started</x:v>
      </x:c>
      <x:c r="G8" s="15" t="str">
        <x:v>Medium</x:v>
      </x:c>
      <x:c r="H8" s="15" t="str">
        <x:v>Released area</x:v>
      </x:c>
      <x:c r="I8" s="15" t="str">
        <x:v>Add pilot findings to coordination huddle</x:v>
      </x:c>
      <x:c r="J8" s="17" t="n">
        <x:f>E8-DATE(2026,7,29)</x:f>
        <x:v>7</x:v>
      </x:c>
    </x:row>
    <x:row r="9" ht="34" customHeight="1">
      <x:c r="A9" s="15" t="str">
        <x:v>AR-021</x:v>
      </x:c>
      <x:c r="B9" s="15" t="str">
        <x:v>Project controls</x:v>
      </x:c>
      <x:c r="C9" s="15" t="str">
        <x:v>Prepare evidence pack for look-ahead review</x:v>
      </x:c>
      <x:c r="D9" s="15" t="str">
        <x:v>Project controls</x:v>
      </x:c>
      <x:c r="E9" s="16" t="n">
        <x:v>46237</x:v>
      </x:c>
      <x:c r="F9" s="15" t="str">
        <x:v>Not Started</x:v>
      </x:c>
      <x:c r="G9" s="15" t="str">
        <x:v>High</x:v>
      </x:c>
      <x:c r="H9" s="15" t="str">
        <x:v>Updated action register</x:v>
      </x:c>
      <x:c r="I9" s="15" t="str">
        <x:v>Confirm milestone health and escalation needs</x:v>
      </x:c>
      <x:c r="J9" s="17" t="n">
        <x:f>E9-DATE(2026,7,29)</x:f>
        <x:v>5</x:v>
      </x:c>
    </x:row>
    <x:row r="12">
      <x:c r="A12" s="18" t="str">
        <x:v>Portfolio indicators</x:v>
      </x:c>
      <x:c r="B12" s="18"/>
      <x:c r="C12" s="18"/>
    </x:row>
    <x:row r="13" ht="32" customHeight="1">
      <x:c r="A13" s="25" t="str">
        <x:v>Open actions</x:v>
      </x:c>
      <x:c r="B13" s="25" t="str">
        <x:v>High priority</x:v>
      </x:c>
      <x:c r="C13" s="25" t="str">
        <x:v>Due by 2026-08-03</x:v>
      </x:c>
    </x:row>
    <x:row r="14" ht="32" customHeight="1">
      <x:c r="A14" s="26" t="n">
        <x:f>COUNTA(A5:A9)</x:f>
        <x:v>5</x:v>
      </x:c>
      <x:c r="B14" s="26" t="n">
        <x:f>COUNTIF(G5:G9,"High")</x:f>
        <x:v>3</x:v>
      </x:c>
      <x:c r="C14" s="26" t="n">
        <x:f>COUNTIF(E5:E9,"&lt;="&amp;DATE(2026,8,3))</x:f>
        <x:v>4</x:v>
      </x:c>
    </x:row>
    <x:row r="15">
      <x:c r="A15" s="20"/>
      <x:c r="B15" s="20"/>
      <x:c r="C15" s="20"/>
    </x:row>
  </x:sheetData>
  <x:mergeCells>
    <x:mergeCell ref="A1:J1"/>
    <x:mergeCell ref="A2:J2"/>
    <x:mergeCell ref="A12:C12"/>
  </x:mergeCells>
  <x:conditionalFormatting sqref="F5:F9">
    <x:cfRule type="containsText" dxfId="0" priority="1" operator="containsText" text="In Progress"/>
    <x:cfRule type="containsText" dxfId="1" priority="2" operator="containsText" text="Not Started"/>
  </x:conditionalFormatting>
  <x:conditionalFormatting sqref="G5:G9">
    <x:cfRule type="containsText" dxfId="2" priority="3" operator="containsText" text="High"/>
  </x:conditionalFormatting>
  <x:dataValidations count="2">
    <x:dataValidation type="list" sqref="F5:F9">
      <x:formula1>"Not Started,In Progress,Blocked,Complete"</x:formula1>
    </x:dataValidation>
    <x:dataValidation type="list" sqref="G5:G9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27" t="str">
        <x:v>Status</x:v>
      </x:c>
      <x:c r="B1" s="27" t="str">
        <x:v>Priority</x:v>
      </x:c>
    </x:row>
    <x:row r="2">
      <x:c r="A2" s="28" t="str">
        <x:v>Not Started</x:v>
      </x:c>
      <x:c r="B2" s="28" t="str">
        <x:v>High</x:v>
      </x:c>
    </x:row>
    <x:row r="3">
      <x:c r="A3" s="28" t="str">
        <x:v>In Progress</x:v>
      </x:c>
      <x:c r="B3" s="28" t="str">
        <x:v>Medium</x:v>
      </x:c>
    </x:row>
    <x:row r="4">
      <x:c r="A4" s="28" t="str">
        <x:v>Blocked</x:v>
      </x:c>
      <x:c r="B4" s="28" t="str">
        <x:v>Low</x:v>
      </x:c>
    </x:row>
    <x:row r="5">
      <x:c r="A5" s="28" t="str">
        <x:v>Complete</x:v>
      </x:c>
      <x:c r="B5" s="28" t="str"/>
    </x:row>
  </x:sheetData>
  <x:pageMargins left="0.7" right="0.7" top="0.75" bottom="0.75" header="0.3" footer="0.3"/>
</x:worksheet>
</file>