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d5fbc6954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ahead" sheetId="1" r:id="Rfe9cfc8c77174576"/>
    <x:sheet xmlns:r="http://schemas.openxmlformats.org/officeDocument/2006/relationships" name="Assumptions" sheetId="2" r:id="R93331fc64100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45263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4526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2"/>
      </x:patternFill>
    </x:fill>
    <x:fill>
      <x:patternFill patternType="solid">
        <x:fgColor rgb="FFEAF2F5"/>
      </x:patternFill>
    </x:fill>
    <x:fill>
      <x:patternFill patternType="solid">
        <x:fgColor rgb="FFF28C28"/>
      </x:patternFill>
    </x:fill>
  </x:fills>
  <x:borders count="3">
    <x:border/>
    <x:border>
      <x:left style="thin">
        <x:color rgb="FFCAD5DB"/>
      </x:left>
      <x:right style="thin">
        <x:color rgb="FFCAD5DB"/>
      </x:right>
      <x:top style="thin">
        <x:color rgb="FFCAD5DB"/>
      </x:top>
      <x:bottom style="thin">
        <x:color rgb="FFCAD5DB"/>
      </x:bottom>
    </x:border>
    <x:border>
      <x:left style="thin">
        <x:color rgb="FFD4DEE3"/>
      </x:left>
      <x:right style="thin">
        <x:color rgb="FFD4DEE3"/>
      </x:right>
      <x:top style="thin">
        <x:color rgb="FFD4DEE3"/>
      </x:top>
      <x:bottom style="thin">
        <x:color rgb="FFD4DEE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4" fillId="4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1" fontId="5" fillId="0" borderId="2" xfId="0" applyNumberFormat="1" applyFont="1" applyFill="1" applyBorder="1"/>
    <x:xf numFmtId="0" fontId="4" fillId="2" borderId="1" xfId="0" applyNumberFormat="1" applyFont="1" applyFill="1" applyBorder="1"/>
    <x:xf numFmtId="201" fontId="5" fillId="0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A24D00"/>
      </x:font>
      <x:fill>
        <x:patternFill patternType="solid">
          <x:bgColor rgb="FFFFF1D6"/>
        </x:patternFill>
      </x:fill>
    </x:dxf>
    <x:dxf>
      <x:font>
        <x:color rgb="FF24536B"/>
      </x:font>
      <x:fill>
        <x:patternFill patternType="solid">
          <x:bgColor rgb="FFE8F1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e8bb2ff534226" /><Relationship Type="http://schemas.openxmlformats.org/officeDocument/2006/relationships/theme" Target="/xl/theme/theme1.xml" Id="R54905d52d1244857" /><Relationship Type="http://schemas.openxmlformats.org/officeDocument/2006/relationships/sharedStrings" Target="/xl/sharedStrings.xml" Id="R5cad571dd7c44924" /><Relationship Type="http://schemas.openxmlformats.org/officeDocument/2006/relationships/worksheet" Target="/xl/worksheets/sheet1.xml" Id="Rfe9cfc8c77174576" /><Relationship Type="http://schemas.openxmlformats.org/officeDocument/2006/relationships/worksheet" Target="/xl/worksheets/sheet2.xml" Id="R93331fc64100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6" hidden="0" customWidth="1"/>
    <x:col min="5" max="5" width="31" hidden="0" customWidth="1"/>
    <x:col min="6" max="6" width="20" hidden="0" customWidth="1"/>
    <x:col min="7" max="7" width="15" hidden="0" customWidth="1"/>
    <x:col min="8" max="8" width="19" hidden="0" customWidth="1"/>
    <x:col min="9" max="9" width="28" hidden="0" customWidth="1"/>
  </x:cols>
  <x:sheetData>
    <x:row r="1" ht="30" customHeight="1">
      <x:c r="A1" s="26" t="str">
        <x:v>Project Alpha - 14 Day Working Lookahead</x:v>
      </x:c>
      <x:c r="B1" s="27"/>
      <x:c r="C1" s="27"/>
      <x:c r="D1" s="27"/>
      <x:c r="E1" s="27"/>
      <x:c r="F1" s="27"/>
      <x:c r="G1" s="27"/>
      <x:c r="H1" s="27"/>
      <x:c r="I1" s="27"/>
    </x:row>
    <x:row r="2">
      <x:c r="A2" s="28" t="str">
        <x:v>CO-014 working value: JPY 18,600,000 | Review date: 2026-07-29</x:v>
      </x:c>
      <x:c r="B2" s="27"/>
      <x:c r="C2" s="27"/>
      <x:c r="D2" s="27"/>
      <x:c r="E2" s="27"/>
      <x:c r="F2" s="27"/>
      <x:c r="G2" s="27"/>
      <x:c r="H2" s="27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>
      <x:c r="A4" s="29" t="str">
        <x:v>ID</x:v>
      </x:c>
      <x:c r="B4" s="29" t="str">
        <x:v>Start</x:v>
      </x:c>
      <x:c r="C4" s="29" t="str">
        <x:v>Finish</x:v>
      </x:c>
      <x:c r="D4" s="29" t="str">
        <x:v>Work package</x:v>
      </x:c>
      <x:c r="E4" s="29" t="str">
        <x:v>Constraint / handoff</x:v>
      </x:c>
      <x:c r="F4" s="29" t="str">
        <x:v>Lead role</x:v>
      </x:c>
      <x:c r="G4" s="29" t="str">
        <x:v>Status</x:v>
      </x:c>
      <x:c r="H4" s="29" t="str">
        <x:v>Cost exposure (JPY)</x:v>
      </x:c>
      <x:c r="I4" s="29" t="str">
        <x:v>Notes</x:v>
      </x:c>
    </x:row>
    <x:row r="5" ht="30" customHeight="1">
      <x:c r="A5" s="30" t="str">
        <x:v>LA-01</x:v>
      </x:c>
      <x:c r="B5" s="31" t="n">
        <x:v>46232</x:v>
      </x:c>
      <x:c r="C5" s="31" t="n">
        <x:v>46232</x:v>
      </x:c>
      <x:c r="D5" s="30" t="str">
        <x:v>Issue revised laydown markup</x:v>
      </x:c>
      <x:c r="E5" s="32" t="str">
        <x:v>RFI-014 sketch comments closed</x:v>
      </x:c>
      <x:c r="F5" s="30" t="str">
        <x:v>Project manager</x:v>
      </x:c>
      <x:c r="G5" s="30" t="str">
        <x:v>In progress</x:v>
      </x:c>
      <x:c r="H5" s="33" t="n">
        <x:v>1240000</x:v>
      </x:c>
      <x:c r="I5" s="32" t="str">
        <x:v>Brief package leads</x:v>
      </x:c>
    </x:row>
    <x:row r="6" ht="30" customHeight="1">
      <x:c r="A6" s="30" t="str">
        <x:v>LA-02</x:v>
      </x:c>
      <x:c r="B6" s="31" t="n">
        <x:v>46232</x:v>
      </x:c>
      <x:c r="C6" s="31" t="n">
        <x:v>46233</x:v>
      </x:c>
      <x:c r="D6" s="30" t="str">
        <x:v>Set exclusion controls</x:v>
      </x:c>
      <x:c r="E6" s="32" t="str">
        <x:v>Zone labels confirmed</x:v>
      </x:c>
      <x:c r="F6" s="30" t="str">
        <x:v>Safety coordinator</x:v>
      </x:c>
      <x:c r="G6" s="30" t="str">
        <x:v>Not started</x:v>
      </x:c>
      <x:c r="H6" s="33" t="n">
        <x:v>1980000</x:v>
      </x:c>
      <x:c r="I6" s="32" t="str">
        <x:v>Confirm zone separation</x:v>
      </x:c>
    </x:row>
    <x:row r="7" ht="30" customHeight="1">
      <x:c r="A7" s="30" t="str">
        <x:v>LA-03</x:v>
      </x:c>
      <x:c r="B7" s="31" t="n">
        <x:v>46233</x:v>
      </x:c>
      <x:c r="C7" s="31" t="n">
        <x:v>46234</x:v>
      </x:c>
      <x:c r="D7" s="30" t="str">
        <x:v>Set materials hold area</x:v>
      </x:c>
      <x:c r="E7" s="32" t="str">
        <x:v>Hold-area limits reviewed</x:v>
      </x:c>
      <x:c r="F7" s="30" t="str">
        <x:v>Logistics lead</x:v>
      </x:c>
      <x:c r="G7" s="30" t="str">
        <x:v>Not started</x:v>
      </x:c>
      <x:c r="H7" s="33" t="n">
        <x:v>2470000</x:v>
      </x:c>
      <x:c r="I7" s="32" t="str">
        <x:v>Waste-skip boundary reviewed</x:v>
      </x:c>
    </x:row>
    <x:row r="8" ht="30" customHeight="1">
      <x:c r="A8" s="30" t="str">
        <x:v>LA-04</x:v>
      </x:c>
      <x:c r="B8" s="31" t="n">
        <x:v>46234</x:v>
      </x:c>
      <x:c r="C8" s="31" t="n">
        <x:v>46235</x:v>
      </x:c>
      <x:c r="D8" s="30" t="str">
        <x:v>Reset crane exclusion zone</x:v>
      </x:c>
      <x:c r="E8" s="32" t="str">
        <x:v>Lift plan briefing complete</x:v>
      </x:c>
      <x:c r="F8" s="30" t="str">
        <x:v>Lift supervisor</x:v>
      </x:c>
      <x:c r="G8" s="30" t="str">
        <x:v>Not started</x:v>
      </x:c>
      <x:c r="H8" s="33" t="n">
        <x:v>4880000</x:v>
      </x:c>
      <x:c r="I8" s="32" t="str">
        <x:v>Central marked zone</x:v>
      </x:c>
    </x:row>
    <x:row r="9" ht="30" customHeight="1">
      <x:c r="A9" s="30" t="str">
        <x:v>LA-05</x:v>
      </x:c>
      <x:c r="B9" s="31" t="n">
        <x:v>46237</x:v>
      </x:c>
      <x:c r="C9" s="31" t="n">
        <x:v>46238</x:v>
      </x:c>
      <x:c r="D9" s="30" t="str">
        <x:v>Set concrete pump hold zone</x:v>
      </x:c>
      <x:c r="E9" s="32" t="str">
        <x:v>Work-zone control in place</x:v>
      </x:c>
      <x:c r="F9" s="30" t="str">
        <x:v>Field lead</x:v>
      </x:c>
      <x:c r="G9" s="30" t="str">
        <x:v>Not started</x:v>
      </x:c>
      <x:c r="H9" s="33" t="n">
        <x:v>3110000</x:v>
      </x:c>
      <x:c r="I9" s="32" t="str">
        <x:v>Confirm hold-area limits</x:v>
      </x:c>
    </x:row>
    <x:row r="10" ht="30" customHeight="1">
      <x:c r="A10" s="30" t="str">
        <x:v>LA-06</x:v>
      </x:c>
      <x:c r="B10" s="31" t="n">
        <x:v>46239</x:v>
      </x:c>
      <x:c r="C10" s="31" t="n">
        <x:v>46240</x:v>
      </x:c>
      <x:c r="D10" s="30" t="str">
        <x:v>Field verification review</x:v>
      </x:c>
      <x:c r="E10" s="32" t="str">
        <x:v>All zone checks complete</x:v>
      </x:c>
      <x:c r="F10" s="30" t="str">
        <x:v>Project controls</x:v>
      </x:c>
      <x:c r="G10" s="30" t="str">
        <x:v>Not started</x:v>
      </x:c>
      <x:c r="H10" s="33" t="n">
        <x:v>3360000</x:v>
      </x:c>
      <x:c r="I10" s="32" t="str">
        <x:v>Record exceptions</x:v>
      </x:c>
    </x:row>
    <x:row r="11" ht="30" customHeight="1">
      <x:c r="A11" s="30" t="str">
        <x:v>LA-07</x:v>
      </x:c>
      <x:c r="B11" s="31" t="n">
        <x:v>46241</x:v>
      </x:c>
      <x:c r="C11" s="31" t="n">
        <x:v>46245</x:v>
      </x:c>
      <x:c r="D11" s="30" t="str">
        <x:v>Sequence contingency review</x:v>
      </x:c>
      <x:c r="E11" s="32" t="str">
        <x:v>Weather and sequencing impacts reviewed</x:v>
      </x:c>
      <x:c r="F11" s="30" t="str">
        <x:v>Project manager</x:v>
      </x:c>
      <x:c r="G11" s="30" t="str">
        <x:v>Planned</x:v>
      </x:c>
      <x:c r="H11" s="33" t="n">
        <x:v>1560000</x:v>
      </x:c>
      <x:c r="I11" s="32" t="str">
        <x:v>No procurement commitment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</x:row>
    <x:row r="13">
      <x:c r="A13" s="34" t="str">
        <x:v>Working total</x:v>
      </x:c>
      <x:c r="B13" s="34" t="str">
        <x:v>Formula check</x:v>
      </x:c>
      <x:c r="C13" s="34" t="str">
        <x:v>CO-014 approved reference</x:v>
      </x:c>
      <x:c r="D13" s="34" t="str">
        <x:v>Variance</x:v>
      </x:c>
      <x:c r="E13" s="34" t="str">
        <x:v>Release condition</x:v>
      </x:c>
      <x:c r="F13" s="34" t="str">
        <x:v>Next review</x:v>
      </x:c>
      <x:c r="G13" s="34" t="str">
        <x:v>Owner</x:v>
      </x:c>
      <x:c r="H13" s="27"/>
      <x:c r="I13" s="27"/>
    </x:row>
    <x:row r="14">
      <x:c r="A14" s="35" t="n">
        <x:f>SUM(H5:H11)</x:f>
        <x:v>18600000</x:v>
      </x:c>
      <x:c r="B14" s="35" t="str">
        <x:f>IF(A14='Assumptions'!B3,"Matches CO-014","Review variance")</x:f>
        <x:v>Matches CO-014</x:v>
      </x:c>
      <x:c r="C14" s="35" t="n">
        <x:f>'Assumptions'!B3</x:f>
        <x:v>18600000</x:v>
      </x:c>
      <x:c r="D14" s="35" t="n">
        <x:f>A14-C14</x:f>
        <x:v>0</x:v>
      </x:c>
      <x:c r="E14" s="36" t="str">
        <x:f>IF(D14=0,"Ready for coordination","Hold")</x:f>
        <x:v>Ready for coordination</x:v>
      </x:c>
      <x:c r="F14" s="37" t="n">
        <x:f>'Assumptions'!B2+1</x:f>
        <x:v>46233</x:v>
      </x:c>
      <x:c r="G14" s="36" t="str">
        <x:f>"Project controls"</x:f>
        <x:v>Project controls</x:v>
      </x:c>
      <x:c r="H14" s="27"/>
      <x:c r="I14" s="27"/>
    </x:row>
  </x:sheetData>
  <x:mergeCells>
    <x:mergeCell ref="A1:I1"/>
    <x:mergeCell ref="A2:I2"/>
  </x:mergeCells>
  <x:conditionalFormatting sqref="G5:G11">
    <x:cfRule type="containsText" dxfId="0" priority="1" operator="containsText" text="In progress"/>
    <x:cfRule type="containsText" dxfId="1" priority="2" operator="containsText" text="Planned"/>
  </x:conditionalFormatting>
  <x:dataValidations count="1">
    <x:dataValidation type="list" sqref="G5:G11">
      <x:formula1>"Not started,In progress,Planned,Complete"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Working assumptions</x:v>
      </x:c>
      <x:c r="B1" s="6" t="str">
        <x:v>Value</x:v>
      </x:c>
    </x:row>
    <x:row r="2">
      <x:c r="A2" s="7" t="str">
        <x:v>Review date</x:v>
      </x:c>
      <x:c r="B2" s="8" t="n">
        <x:v>46232</x:v>
      </x:c>
    </x:row>
    <x:row r="3">
      <x:c r="A3" s="7" t="str">
        <x:v>CO-014 working value</x:v>
      </x:c>
      <x:c r="B3" s="9" t="n">
        <x:v>18600000</x:v>
      </x:c>
    </x:row>
    <x:row r="4">
      <x:c r="A4" s="7" t="str">
        <x:v>Planning horizon (days)</x:v>
      </x:c>
      <x:c r="B4" s="7" t="n">
        <x:v>14</x:v>
      </x:c>
    </x:row>
    <x:row r="5">
      <x:c r="A5" s="7" t="str">
        <x:v>Project</x:v>
      </x:c>
      <x:c r="B5" s="7" t="str">
        <x:v>Project Alpha 2026</x:v>
      </x:c>
    </x:row>
    <x:row r="6">
      <x:c r="A6" s="7" t="str">
        <x:v>Change order</x:v>
      </x:c>
      <x:c r="B6" s="7" t="str">
        <x:v>CO-014</x:v>
      </x:c>
    </x:row>
    <x:row r="7">
      <x:c r="A7" s="7" t="str">
        <x:v>Status</x:v>
      </x:c>
      <x:c r="B7" s="7" t="str">
        <x:v>Working coordination</x:v>
      </x:c>
    </x:row>
  </x:sheetData>
  <x:pageMargins left="0.7" right="0.7" top="0.75" bottom="0.75" header="0.3" footer="0.3"/>
</x:worksheet>
</file>