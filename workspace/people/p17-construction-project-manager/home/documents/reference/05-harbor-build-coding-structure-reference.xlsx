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5e78f411b4c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ing Reference" sheetId="1" r:id="Re0d075f236fc4c43"/>
    <x:sheet xmlns:r="http://schemas.openxmlformats.org/officeDocument/2006/relationships" name="CO-014 Check" sheetId="2" r:id="R36d5dcf5d16a45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23B5D"/>
      <x:name val="Carlito"/>
    </x:font>
    <x:font>
      <x:b/>
      <x:sz val="11"/>
      <x:color rgb="FFFFFFFF"/>
      <x:name val="Carlito"/>
    </x:font>
    <x:font>
      <x:b/>
      <x:sz val="11"/>
      <x:color rgb="FF123B5D"/>
      <x:name val="Carlito"/>
    </x:font>
    <x:font>
      <x:i/>
      <x:sz val="11"/>
      <x:color rgb="FF123B5D"/>
      <x:name val="Carlito"/>
    </x:font>
    <x:font>
      <x:b/>
      <x:sz val="11"/>
      <x:color rgb="FF234A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8EEF5"/>
      </x:patternFill>
    </x:fill>
    <x:fill>
      <x:patternFill patternType="solid">
        <x:fgColor rgb="FF1F5F89"/>
      </x:patternFill>
    </x:fill>
    <x:fill>
      <x:patternFill patternType="solid">
        <x:fgColor rgb="FFDDEBD9"/>
      </x:patternFill>
    </x:fill>
  </x:fills>
  <x:borders count="5">
    <x:border/>
    <x:border>
      <x:left style="thin">
        <x:color rgb="FFB7C8D4"/>
      </x:left>
      <x:right style="thin">
        <x:color rgb="FFB7C8D4"/>
      </x:right>
      <x:top style="thin">
        <x:color rgb="FFB7C8D4"/>
      </x:top>
      <x:bottom style="thin">
        <x:color rgb="FFB7C8D4"/>
      </x:bottom>
    </x:border>
    <x:border>
      <x:left style="medium">
        <x:color rgb="FF123B5D"/>
      </x:left>
      <x:top style="medium">
        <x:color rgb="FF123B5D"/>
      </x:top>
      <x:bottom style="medium">
        <x:color rgb="FF123B5D"/>
      </x:bottom>
    </x:border>
    <x:border>
      <x:top style="medium">
        <x:color rgb="FF123B5D"/>
      </x:top>
      <x:bottom style="medium">
        <x:color rgb="FF123B5D"/>
      </x:bottom>
    </x:border>
    <x:border>
      <x:right style="medium">
        <x:color rgb="FF123B5D"/>
      </x:right>
      <x:top style="medium">
        <x:color rgb="FF123B5D"/>
      </x:top>
      <x:bottom style="medium">
        <x:color rgb="FF123B5D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200" fontId="4" fillId="3" borderId="3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80f4c247149f7" /><Relationship Type="http://schemas.openxmlformats.org/officeDocument/2006/relationships/theme" Target="/xl/theme/theme1.xml" Id="Rafc0b6abd5e04dc6" /><Relationship Type="http://schemas.openxmlformats.org/officeDocument/2006/relationships/sharedStrings" Target="/xl/sharedStrings.xml" Id="R4d674424aa794101" /><Relationship Type="http://schemas.openxmlformats.org/officeDocument/2006/relationships/worksheet" Target="/xl/worksheets/sheet1.xml" Id="Re0d075f236fc4c43" /><Relationship Type="http://schemas.openxmlformats.org/officeDocument/2006/relationships/worksheet" Target="/xl/worksheets/sheet2.xml" Id="R36d5dcf5d16a45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21" hidden="0" customWidth="1"/>
    <x:col min="4" max="4" width="33" hidden="0" customWidth="1"/>
    <x:col min="5" max="5" width="27" hidden="0" customWidth="1"/>
    <x:col min="6" max="6" width="23" hidden="0" customWidth="1"/>
    <x:col min="7" max="7" width="24" hidden="0" customWidth="1"/>
  </x:cols>
  <x:sheetData>
    <x:row r="1" ht="28" customHeight="1">
      <x:c r="A1" s="4" t="str">
        <x:v>Harbor Build Coding Structure Reference</x:v>
      </x:c>
      <x:c r="B1" s="4"/>
      <x:c r="C1" s="4"/>
      <x:c r="D1" s="4"/>
      <x:c r="E1" s="4"/>
      <x:c r="F1" s="4"/>
      <x:c r="G1" s="4"/>
    </x:row>
    <x:row r="2">
      <x:c r="A2" s="7" t="str">
        <x:v>Project Alpha 2026 | Control date 2026-07-29 | CO-014 JPY 18,600,000 | Synthetic internal reference</x:v>
      </x:c>
      <x:c r="B2" s="7"/>
      <x:c r="C2" s="7"/>
      <x:c r="D2" s="7"/>
      <x:c r="E2" s="7"/>
      <x:c r="F2" s="7"/>
      <x:c r="G2" s="7"/>
    </x:row>
    <x:row r="4">
      <x:c r="A4" s="12" t="str">
        <x:v>Code</x:v>
      </x:c>
      <x:c r="B4" s="12" t="str">
        <x:v>Record family</x:v>
      </x:c>
      <x:c r="C4" s="12" t="str">
        <x:v>Example identifier</x:v>
      </x:c>
      <x:c r="D4" s="12" t="str">
        <x:v>Required fields</x:v>
      </x:c>
      <x:c r="E4" s="12" t="str">
        <x:v>Lifecycle</x:v>
      </x:c>
      <x:c r="F4" s="12" t="str">
        <x:v>CO-014 relation</x:v>
      </x:c>
      <x:c r="G4" s="12" t="str">
        <x:v>Quality check</x:v>
      </x:c>
    </x:row>
    <x:row r="5" ht="39" customHeight="1">
      <x:c r="A5" s="17" t="str">
        <x:v>RFI</x:v>
      </x:c>
      <x:c r="B5" s="15" t="str">
        <x:v>Clarification request</x:v>
      </x:c>
      <x:c r="C5" s="15" t="str">
        <x:v>RFI-ALPHA-021</x:v>
      </x:c>
      <x:c r="D5" s="15" t="str">
        <x:v>Question; source; impact; response due</x:v>
      </x:c>
      <x:c r="E5" s="15" t="str">
        <x:v>Draft &gt; Issued &gt; Answered &gt; Closed</x:v>
      </x:c>
      <x:c r="F5" s="15" t="str">
        <x:v>Reference only if affected</x:v>
      </x:c>
      <x:c r="G5" s="15" t="str">
        <x:v>One decision per request</x:v>
      </x:c>
    </x:row>
    <x:row r="6" ht="39" customHeight="1">
      <x:c r="A6" s="17" t="str">
        <x:v>CO</x:v>
      </x:c>
      <x:c r="B6" s="15" t="str">
        <x:v>Change evaluation</x:v>
      </x:c>
      <x:c r="C6" s="15" t="str">
        <x:v>CO-014</x:v>
      </x:c>
      <x:c r="D6" s="15" t="str">
        <x:v>Baseline; estimate; time; assumptions; disposition</x:v>
      </x:c>
      <x:c r="E6" s="15" t="str">
        <x:v>Draft &gt; Reviewed &gt; Approved/Returned</x:v>
      </x:c>
      <x:c r="F6" s="15" t="str">
        <x:v>Primary anchor</x:v>
      </x:c>
      <x:c r="G6" s="15" t="str">
        <x:v>Visible arithmetic</x:v>
      </x:c>
    </x:row>
    <x:row r="7" ht="39" customHeight="1">
      <x:c r="A7" s="17" t="str">
        <x:v>SUB</x:v>
      </x:c>
      <x:c r="B7" s="15" t="str">
        <x:v>Submittal</x:v>
      </x:c>
      <x:c r="C7" s="15" t="str">
        <x:v>SUB-2605-07</x:v>
      </x:c>
      <x:c r="D7" s="15" t="str">
        <x:v>Product; section; review state; exception</x:v>
      </x:c>
      <x:c r="E7" s="15" t="str">
        <x:v>Draft &gt; Submitted &gt; Reviewed &gt; Closed</x:v>
      </x:c>
      <x:c r="F7" s="15" t="str">
        <x:v>Link if scope affected</x:v>
      </x:c>
      <x:c r="G7" s="15" t="str">
        <x:v>Source revision present</x:v>
      </x:c>
    </x:row>
    <x:row r="8" ht="39" customHeight="1">
      <x:c r="A8" s="17" t="str">
        <x:v>INSP</x:v>
      </x:c>
      <x:c r="B8" s="15" t="str">
        <x:v>Inspection record</x:v>
      </x:c>
      <x:c r="C8" s="15" t="str">
        <x:v>INSP-ALPHA-029</x:v>
      </x:c>
      <x:c r="D8" s="15" t="str">
        <x:v>Area; criteria; result; evidence; follow-up</x:v>
      </x:c>
      <x:c r="E8" s="15" t="str">
        <x:v>Planned &gt; Observed &gt; Closed</x:v>
      </x:c>
      <x:c r="F8" s="15" t="str">
        <x:v>Do not imply release</x:v>
      </x:c>
      <x:c r="G8" s="15" t="str">
        <x:v>Disposition recorded</x:v>
      </x:c>
    </x:row>
    <x:row r="9" ht="39" customHeight="1">
      <x:c r="A9" s="17" t="str">
        <x:v>MTG</x:v>
      </x:c>
      <x:c r="B9" s="15" t="str">
        <x:v>Meeting action</x:v>
      </x:c>
      <x:c r="C9" s="15" t="str">
        <x:v>MTG-ALPHA-014</x:v>
      </x:c>
      <x:c r="D9" s="15" t="str">
        <x:v>Topic; role owner; target; evidence</x:v>
      </x:c>
      <x:c r="E9" s="15" t="str">
        <x:v>Open &gt; Verified &gt; Closed</x:v>
      </x:c>
      <x:c r="F9" s="15" t="str">
        <x:v>Link interface action</x:v>
      </x:c>
      <x:c r="G9" s="15" t="str">
        <x:v>Owner role only</x:v>
      </x:c>
    </x:row>
    <x:row r="10" ht="39" customHeight="1">
      <x:c r="A10" s="17" t="str">
        <x:v>DEV</x:v>
      </x:c>
      <x:c r="B10" s="15" t="str">
        <x:v>Deviation log</x:v>
      </x:c>
      <x:c r="C10" s="15" t="str">
        <x:v>DEV-018</x:v>
      </x:c>
      <x:c r="D10" s="15" t="str">
        <x:v>Section; exception; disposition; evidence</x:v>
      </x:c>
      <x:c r="E10" s="15" t="str">
        <x:v>Open &gt; Review &gt; Resolved</x:v>
      </x:c>
      <x:c r="F10" s="15" t="str">
        <x:v>Link change if material</x:v>
      </x:c>
      <x:c r="G10" s="15" t="str">
        <x:v>No hidden exception</x:v>
      </x:c>
    </x:row>
    <x:row r="11" ht="39" customHeight="1">
      <x:c r="A11" s="17" t="str">
        <x:v>MOD</x:v>
      </x:c>
      <x:c r="B11" s="15" t="str">
        <x:v>Model issue</x:v>
      </x:c>
      <x:c r="C11" s="15" t="str">
        <x:v>MOD-COORD-011</x:v>
      </x:c>
      <x:c r="D11" s="15" t="str">
        <x:v>Location; discipline; clash; action</x:v>
      </x:c>
      <x:c r="E11" s="15" t="str">
        <x:v>Open &gt; Coordinated &gt; Verified</x:v>
      </x:c>
      <x:c r="F11" s="15" t="str">
        <x:v>Model context only</x:v>
      </x:c>
      <x:c r="G11" s="15" t="str">
        <x:v>No site access data</x:v>
      </x:c>
    </x:row>
    <x:row r="12" ht="39" customHeight="1">
      <x:c r="A12" s="17" t="str">
        <x:v>CLS</x:v>
      </x:c>
      <x:c r="B12" s="15" t="str">
        <x:v>Closeout evidence</x:v>
      </x:c>
      <x:c r="C12" s="15" t="str">
        <x:v>CLS-ALPHA-006</x:v>
      </x:c>
      <x:c r="D12" s="15" t="str">
        <x:v>Record set; exception status; acceptance evidence</x:v>
      </x:c>
      <x:c r="E12" s="15" t="str">
        <x:v>Assembled &gt; Reviewed &gt; Archived</x:v>
      </x:c>
      <x:c r="F12" s="15" t="str">
        <x:v>Reconcile approved value</x:v>
      </x:c>
      <x:c r="G12" s="15" t="str">
        <x:v>Evidence retained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17" hidden="0" customWidth="1"/>
    <x:col min="4" max="4" width="31" hidden="0" customWidth="1"/>
  </x:cols>
  <x:sheetData>
    <x:row r="1">
      <x:c r="A1" s="3" t="str">
        <x:v>CO-014 Arithmetic Check</x:v>
      </x:c>
      <x:c r="B1" s="3"/>
      <x:c r="C1" s="3"/>
      <x:c r="D1" s="3"/>
    </x:row>
    <x:row r="2">
      <x:c r="A2" s="18" t="str">
        <x:v>Illustrative controlled estimate; not an authorization to proceed.</x:v>
      </x:c>
      <x:c r="B2" s="18"/>
      <x:c r="C2" s="18"/>
      <x:c r="D2" s="18"/>
    </x:row>
    <x:row r="4">
      <x:c r="A4" s="19" t="str">
        <x:v>Line</x:v>
      </x:c>
      <x:c r="B4" s="19" t="str">
        <x:v>Scope component</x:v>
      </x:c>
      <x:c r="C4" s="19" t="str">
        <x:v>Amount (JPY)</x:v>
      </x:c>
      <x:c r="D4" s="19" t="str">
        <x:v>Control note</x:v>
      </x:c>
    </x:row>
    <x:row r="5" ht="28" customHeight="1">
      <x:c r="A5" s="14" t="n">
        <x:v>1</x:v>
      </x:c>
      <x:c r="B5" s="14" t="str">
        <x:v>Design coordination</x:v>
      </x:c>
      <x:c r="C5" s="22" t="n">
        <x:v>2400000</x:v>
      </x:c>
      <x:c r="D5" s="14" t="str">
        <x:v>Scoped interface planning</x:v>
      </x:c>
    </x:row>
    <x:row r="6" ht="28" customHeight="1">
      <x:c r="A6" s="14" t="n">
        <x:v>2</x:v>
      </x:c>
      <x:c r="B6" s="14" t="str">
        <x:v>Structural revisions</x:v>
      </x:c>
      <x:c r="C6" s="22" t="n">
        <x:v>3650000</x:v>
      </x:c>
      <x:c r="D6" s="14" t="str">
        <x:v>Connection coordination</x:v>
      </x:c>
    </x:row>
    <x:row r="7" ht="28" customHeight="1">
      <x:c r="A7" s="14" t="n">
        <x:v>3</x:v>
      </x:c>
      <x:c r="B7" s="14" t="str">
        <x:v>MEP reroute</x:v>
      </x:c>
      <x:c r="C7" s="22" t="n">
        <x:v>4180000</x:v>
      </x:c>
      <x:c r="D7" s="14" t="str">
        <x:v>Equipment support coordination</x:v>
      </x:c>
    </x:row>
    <x:row r="8" ht="28" customHeight="1">
      <x:c r="A8" s="14" t="n">
        <x:v>4</x:v>
      </x:c>
      <x:c r="B8" s="14" t="str">
        <x:v>Fire protection</x:v>
      </x:c>
      <x:c r="C8" s="22" t="n">
        <x:v>1760000</x:v>
      </x:c>
      <x:c r="D8" s="14" t="str">
        <x:v>Trade interface</x:v>
      </x:c>
    </x:row>
    <x:row r="9" ht="28" customHeight="1">
      <x:c r="A9" s="14" t="n">
        <x:v>5</x:v>
      </x:c>
      <x:c r="B9" s="14" t="str">
        <x:v>Envelope revisions</x:v>
      </x:c>
      <x:c r="C9" s="22" t="n">
        <x:v>2480000</x:v>
      </x:c>
      <x:c r="D9" s="14" t="str">
        <x:v>Flashing and waterproofing</x:v>
      </x:c>
    </x:row>
    <x:row r="10" ht="28" customHeight="1">
      <x:c r="A10" s="14" t="n">
        <x:v>6</x:v>
      </x:c>
      <x:c r="B10" s="14" t="str">
        <x:v>Commissioning</x:v>
      </x:c>
      <x:c r="C10" s="22" t="n">
        <x:v>1330000</x:v>
      </x:c>
      <x:c r="D10" s="14" t="str">
        <x:v>Testing and controls</x:v>
      </x:c>
    </x:row>
    <x:row r="11" ht="28" customHeight="1">
      <x:c r="A11" s="14" t="n">
        <x:v>7</x:v>
      </x:c>
      <x:c r="B11" s="14" t="str">
        <x:v>General conditions</x:v>
      </x:c>
      <x:c r="C11" s="22" t="n">
        <x:v>2800000</x:v>
      </x:c>
      <x:c r="D11" s="14" t="str">
        <x:v>Controlled recovery support</x:v>
      </x:c>
    </x:row>
    <x:row r="13">
      <x:c r="A13" s="24" t="str">
        <x:v>Reconciled total</x:v>
      </x:c>
      <x:c r="B13" s="25"/>
      <x:c r="C13" s="27" t="n">
        <x:f>SUM(C5:C11)</x:f>
        <x:v>18600000</x:v>
      </x:c>
      <x:c r="D13" s="26" t="str">
        <x:v>Expected: JPY 18,600,000</x:v>
      </x:c>
    </x:row>
    <x:row r="15">
      <x:c r="A15" s="30" t="str">
        <x:f>IF(C13=18600000,"PASS - matches CO-014 anchor","CHECK - total differs")</x:f>
        <x:v>PASS - matches CO-014 anchor</x:v>
      </x:c>
      <x:c r="B15" s="30"/>
      <x:c r="C15" s="30"/>
      <x:c r="D15" s="30"/>
    </x:row>
  </x:sheetData>
  <x:mergeCells>
    <x:mergeCell ref="A1:D1"/>
    <x:mergeCell ref="A2:D2"/>
    <x:mergeCell ref="A13:B13"/>
    <x:mergeCell ref="A15:D15"/>
  </x:mergeCells>
  <x:pageMargins left="0.7" right="0.7" top="0.75" bottom="0.75" header="0.3" footer="0.3"/>
</x:worksheet>
</file>