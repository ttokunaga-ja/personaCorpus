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2e0feca8a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y Register" sheetId="1" r:id="R8cbdf001f7eb4563"/>
    <x:sheet xmlns:r="http://schemas.openxmlformats.org/officeDocument/2006/relationships" name="Control Checks" sheetId="2" r:id="R417ccc94bdc04167"/>
    <x:sheet xmlns:r="http://schemas.openxmlformats.org/officeDocument/2006/relationships" name="Read Me" sheetId="3" r:id="Rf726f7c7e915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47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4737"/>
      </x:patternFill>
    </x:fill>
    <x:fill>
      <x:patternFill patternType="solid">
        <x:fgColor rgb="FFDDECDD"/>
      </x:patternFill>
    </x:fill>
  </x:fills>
  <x:borders count="2">
    <x:border/>
    <x:border>
      <x:left style="thin">
        <x:color rgb="FFD6DAD6"/>
      </x:left>
      <x:right style="thin">
        <x:color rgb="FFD6DAD6"/>
      </x:right>
      <x:top style="thin">
        <x:color rgb="FFD6DAD6"/>
      </x:top>
      <x:bottom style="thin">
        <x:color rgb="FFD6DAD6"/>
      </x:bottom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d72750b474dae" /><Relationship Type="http://schemas.openxmlformats.org/officeDocument/2006/relationships/theme" Target="/xl/theme/theme1.xml" Id="R490c77d476f24d1d" /><Relationship Type="http://schemas.openxmlformats.org/officeDocument/2006/relationships/sharedStrings" Target="/xl/sharedStrings.xml" Id="Rcd3c0963e3d64020" /><Relationship Type="http://schemas.openxmlformats.org/officeDocument/2006/relationships/worksheet" Target="/xl/worksheets/sheet1.xml" Id="R8cbdf001f7eb4563" /><Relationship Type="http://schemas.openxmlformats.org/officeDocument/2006/relationships/worksheet" Target="/xl/worksheets/sheet2.xml" Id="R417ccc94bdc04167" /><Relationship Type="http://schemas.openxmlformats.org/officeDocument/2006/relationships/worksheet" Target="/xl/worksheets/sheet3.xml" Id="Rf726f7c7e915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6" t="str">
        <x:v>Citation key</x:v>
      </x:c>
      <x:c r="B1" s="6" t="str">
        <x:v>Source ID</x:v>
      </x:c>
      <x:c r="C1" s="6" t="str">
        <x:v>Box</x:v>
      </x:c>
      <x:c r="D1" s="6" t="str">
        <x:v>Folio</x:v>
      </x:c>
      <x:c r="E1" s="6" t="str">
        <x:v>Source date</x:v>
      </x:c>
      <x:c r="F1" s="6" t="str">
        <x:v>Language</x:v>
      </x:c>
      <x:c r="G1" s="6" t="str">
        <x:v>Authority status</x:v>
      </x:c>
    </x:row>
    <x:row r="2">
      <x:c r="A2" s="7" t="str">
        <x:v>LA-017</x:v>
      </x:c>
      <x:c r="B2" s="7" t="str">
        <x:v>LA-SRC-B06-F112</x:v>
      </x:c>
      <x:c r="C2" s="7" t="str">
        <x:v>Box 6</x:v>
      </x:c>
      <x:c r="D2" s="7" t="str">
        <x:v>folio 112</x:v>
      </x:c>
      <x:c r="E2" s="8" t="str">
        <x:v>1891-10-04</x:v>
      </x:c>
      <x:c r="F2" s="7" t="str">
        <x:v>en</x:v>
      </x:c>
      <x:c r="G2" s="7" t="str">
        <x:v>approved</x:v>
      </x:c>
    </x:row>
    <x:row r="3">
      <x:c r="A3" s="7" t="str">
        <x:v>LA-028</x:v>
      </x:c>
      <x:c r="B3" s="7" t="str">
        <x:v>LA-SRC-B09-F072</x:v>
      </x:c>
      <x:c r="C3" s="7" t="str">
        <x:v>Box 9</x:v>
      </x:c>
      <x:c r="D3" s="7" t="str">
        <x:v>folio 072</x:v>
      </x:c>
      <x:c r="E3" s="8" t="str">
        <x:v>1898-06-12</x:v>
      </x:c>
      <x:c r="F3" s="7" t="str">
        <x:v>fr</x:v>
      </x:c>
      <x:c r="G3" s="7" t="str">
        <x:v>approved</x:v>
      </x:c>
    </x:row>
    <x:row r="4">
      <x:c r="A4" s="7" t="str">
        <x:v>LA-042</x:v>
      </x:c>
      <x:c r="B4" s="7" t="str">
        <x:v>LA-SRC-B14-F184</x:v>
      </x:c>
      <x:c r="C4" s="7" t="str">
        <x:v>Box 14</x:v>
      </x:c>
      <x:c r="D4" s="7" t="str">
        <x:v>folio 184</x:v>
      </x:c>
      <x:c r="E4" s="8" t="str">
        <x:v>1907-03-16</x:v>
      </x:c>
      <x:c r="F4" s="7" t="str">
        <x:v>en</x:v>
      </x:c>
      <x:c r="G4" s="7" t="str">
        <x:v>approved</x:v>
      </x:c>
    </x:row>
    <x:row r="5">
      <x:c r="A5" s="7" t="str">
        <x:v>LA-057</x:v>
      </x:c>
      <x:c r="B5" s="7" t="str">
        <x:v>LA-SRC-B18-F203</x:v>
      </x:c>
      <x:c r="C5" s="7" t="str">
        <x:v>Box 18</x:v>
      </x:c>
      <x:c r="D5" s="7" t="str">
        <x:v>folio 203</x:v>
      </x:c>
      <x:c r="E5" s="8" t="str">
        <x:v>1910-09-03</x:v>
      </x:c>
      <x:c r="F5" s="7" t="str">
        <x:v>de</x:v>
      </x:c>
      <x:c r="G5" s="7" t="str">
        <x:v>approved</x:v>
      </x:c>
    </x:row>
    <x:row r="6">
      <x:c r="A6" s="7" t="str">
        <x:v>LA-063</x:v>
      </x:c>
      <x:c r="B6" s="7" t="str">
        <x:v>LA-SRC-B21-F044</x:v>
      </x:c>
      <x:c r="C6" s="7" t="str">
        <x:v>Box 21</x:v>
      </x:c>
      <x:c r="D6" s="7" t="str">
        <x:v>folio 044</x:v>
      </x:c>
      <x:c r="E6" s="8" t="str">
        <x:v>1912-11-18</x:v>
      </x:c>
      <x:c r="F6" s="7" t="str">
        <x:v>ja</x:v>
      </x:c>
      <x:c r="G6" s="7" t="str">
        <x:v>approved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</x:cols>
  <x:sheetData>
    <x:row r="1">
      <x:c r="A1" s="6" t="str">
        <x:v>Control</x:v>
      </x:c>
      <x:c r="B1" s="6" t="str">
        <x:v>Result</x:v>
      </x:c>
    </x:row>
    <x:row r="2">
      <x:c r="A2" s="7" t="str">
        <x:v>Expected canonical records</x:v>
      </x:c>
      <x:c r="B2" s="7" t="n">
        <x:v>5</x:v>
      </x:c>
    </x:row>
    <x:row r="3">
      <x:c r="A3" s="7" t="str">
        <x:v>Registered records</x:v>
      </x:c>
      <x:c r="B3" s="7" t="n">
        <x:f>COUNTA('Authority Register'!A2:A6)</x:f>
        <x:v>5</x:v>
      </x:c>
    </x:row>
    <x:row r="4">
      <x:c r="A4" s="7" t="str">
        <x:v>Unique citation keys</x:v>
      </x:c>
      <x:c r="B4" s="7" t="n">
        <x:f>COUNTA('Authority Register'!A2:A6)</x:f>
        <x:v>5</x:v>
      </x:c>
    </x:row>
    <x:row r="5">
      <x:c r="A5" s="7" t="str">
        <x:v>LA-042 source mapping</x:v>
      </x:c>
      <x:c r="B5" s="7" t="str">
        <x:f>IF('Authority Register'!B4="LA-SRC-B14-F184","PASS","FAIL")</x:f>
        <x:v>PASS</x:v>
      </x:c>
    </x:row>
    <x:row r="6">
      <x:c r="A6" s="7" t="str">
        <x:v>LA-042 location mapping</x:v>
      </x:c>
      <x:c r="B6" s="7" t="str">
        <x:f>IF(AND('Authority Register'!C4="Box 14",'Authority Register'!D4="folio 184"),"PASS","FAIL")</x:f>
        <x:v>PASS</x:v>
      </x:c>
    </x:row>
    <x:row r="7">
      <x:c r="A7" s="7" t="str">
        <x:v>Overall status</x:v>
      </x:c>
      <x:c r="B7" s="10" t="str">
        <x:f>IF(AND(B2=B3,B3=B4,B5="PASS",B6="PASS"),"PASS","FAIL")</x:f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6" t="str">
        <x:v>Linden Bibliography Control Register</x:v>
      </x:c>
      <x:c r="B1" s="6" t="str"/>
    </x:row>
    <x:row r="2">
      <x:c r="A2" s="7" t="str">
        <x:v>Project</x:v>
      </x:c>
      <x:c r="B2" s="7" t="str">
        <x:v>Linden Archive Project</x:v>
      </x:c>
    </x:row>
    <x:row r="3">
      <x:c r="A3" s="7" t="str">
        <x:v>Snapshot</x:v>
      </x:c>
      <x:c r="B3" s="7" t="str">
        <x:v>2026-07-13</x:v>
      </x:c>
    </x:row>
    <x:row r="4">
      <x:c r="A4" s="7" t="str">
        <x:v>Purpose</x:v>
      </x:c>
      <x:c r="B4" s="7" t="str">
        <x:v>Auditable authority register for wholly synthetic bibliography records.</x:v>
      </x:c>
    </x:row>
    <x:row r="5">
      <x:c r="A5" s="7" t="str">
        <x:v>Method</x:v>
      </x:c>
      <x:c r="B5" s="7" t="str">
        <x:v>Control Checks formulas compare record totals and verify citation LA-042 mappings.</x:v>
      </x:c>
    </x:row>
    <x:row r="6">
      <x:c r="A6" s="7" t="str">
        <x:v>Repository</x:v>
      </x:c>
      <x:c r="B6" s="7" t="str">
        <x:v>Haldenmere Civic Repository (fictional)</x:v>
      </x:c>
    </x:row>
  </x:sheetData>
  <x:pageMargins left="0.7" right="0.7" top="0.75" bottom="0.75" header="0.3" footer="0.3"/>
</x:worksheet>
</file>