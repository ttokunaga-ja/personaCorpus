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313a2c4ed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gister" sheetId="1" r:id="R5c41ad01e9144def"/>
    <x:sheet xmlns:r="http://schemas.openxmlformats.org/officeDocument/2006/relationships" name="Controls" sheetId="2" r:id="R6a7f0cd0ff60416e"/>
    <x:sheet xmlns:r="http://schemas.openxmlformats.org/officeDocument/2006/relationships" name="Read Me" sheetId="3" r:id="Rf6270a19ca8c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16B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2F5"/>
      </x:patternFill>
    </x:fill>
    <x:fill>
      <x:patternFill patternType="solid">
        <x:fgColor rgb="FF9A7427"/>
      </x:patternFill>
    </x:fill>
    <x:fill>
      <x:patternFill patternType="solid">
        <x:fgColor rgb="FFF7F9FA"/>
      </x:patternFill>
    </x:fill>
    <x:fill>
      <x:patternFill patternType="solid">
        <x:fgColor rgb="FFEAF3EC"/>
      </x:patternFill>
    </x:fill>
  </x:fills>
  <x:borders count="10">
    <x:border/>
    <x:border>
      <x:left style="thin">
        <x:color rgb="FFC8D3DB"/>
      </x:left>
      <x:right style="thin">
        <x:color rgb="FFC8D3DB"/>
      </x:right>
      <x:top style="thin">
        <x:color rgb="FFC8D3DB"/>
      </x:top>
      <x:bottom style="thin">
        <x:color rgb="FFC8D3DB"/>
      </x:bottom>
    </x:border>
    <x:border>
      <x:right style="thin">
        <x:color rgb="FFC8D3DB"/>
      </x:right>
      <x:bottom style="thin">
        <x:color rgb="FFC8D3DB"/>
      </x:bottom>
    </x:border>
    <x:border>
      <x:left style="thin">
        <x:color rgb="FFC8D3DB"/>
      </x:left>
      <x:right style="thin">
        <x:color rgb="FFC8D3DB"/>
      </x:right>
      <x:bottom style="thin">
        <x:color rgb="FFC8D3DB"/>
      </x:bottom>
    </x:border>
    <x:border>
      <x:left style="thin">
        <x:color rgb="FFC8D3DB"/>
      </x:left>
      <x:bottom style="thin">
        <x:color rgb="FFC8D3DB"/>
      </x:bottom>
    </x:border>
    <x:border>
      <x:right style="thin">
        <x:color rgb="FFC8D3DB"/>
      </x:right>
      <x:top style="thin">
        <x:color rgb="FFC8D3DB"/>
      </x:top>
      <x:bottom style="thin">
        <x:color rgb="FFC8D3DB"/>
      </x:bottom>
    </x:border>
    <x:border>
      <x:left style="thin">
        <x:color rgb="FFC8D3DB"/>
      </x:left>
      <x:top style="thin">
        <x:color rgb="FFC8D3DB"/>
      </x:top>
      <x:bottom style="thin">
        <x:color rgb="FFC8D3DB"/>
      </x:bottom>
    </x:border>
    <x:border>
      <x:right style="thin">
        <x:color rgb="FFC8D3DB"/>
      </x:right>
      <x:top style="thin">
        <x:color rgb="FFC8D3DB"/>
      </x:top>
    </x:border>
    <x:border>
      <x:left style="thin">
        <x:color rgb="FFC8D3DB"/>
      </x:left>
      <x:right style="thin">
        <x:color rgb="FFC8D3DB"/>
      </x:right>
      <x:top style="thin">
        <x:color rgb="FFC8D3DB"/>
      </x:top>
    </x:border>
    <x:border>
      <x:left style="thin">
        <x:color rgb="FFC8D3DB"/>
      </x:left>
      <x:top style="thin">
        <x:color rgb="FFC8D3DB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0f4715c024454" /><Relationship Type="http://schemas.openxmlformats.org/officeDocument/2006/relationships/theme" Target="/xl/theme/theme1.xml" Id="Re0dcd3adf82e4bbe" /><Relationship Type="http://schemas.openxmlformats.org/officeDocument/2006/relationships/sharedStrings" Target="/xl/sharedStrings.xml" Id="Rfbfebb272a404034" /><Relationship Type="http://schemas.openxmlformats.org/officeDocument/2006/relationships/worksheet" Target="/xl/worksheets/sheet1.xml" Id="R5c41ad01e9144def" /><Relationship Type="http://schemas.openxmlformats.org/officeDocument/2006/relationships/worksheet" Target="/xl/worksheets/sheet2.xml" Id="R6a7f0cd0ff60416e" /><Relationship Type="http://schemas.openxmlformats.org/officeDocument/2006/relationships/worksheet" Target="/xl/worksheets/sheet3.xml" Id="Rf6270a19ca8c46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.220000267028809" hidden="0" customWidth="1"/>
    <x:col min="3" max="3" width="9.109999656677246" hidden="0" customWidth="1"/>
    <x:col min="4" max="4" width="10" hidden="0" customWidth="1"/>
    <x:col min="5" max="5" width="13.5600004196167" hidden="0" customWidth="1"/>
    <x:col min="6" max="6" width="16.110000610351562" hidden="0" customWidth="1"/>
    <x:col min="7" max="7" width="6.889999866485596" hidden="0" customWidth="1"/>
    <x:col min="8" max="8" width="10.220000267028809" hidden="0" customWidth="1"/>
  </x:cols>
  <x:sheetData>
    <x:row r="1" ht="30" customHeight="1">
      <x:c r="A1" s="4" t="str">
        <x:v>Linden Archive Project - Appendix Source Register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Synthetic archival register | Box 14 | folio 184 | citation LA-042 | 2026-07-13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Source ID</x:v>
      </x:c>
      <x:c r="B4" s="13" t="str">
        <x:v>Container</x:v>
      </x:c>
      <x:c r="C4" s="13" t="str">
        <x:v>Folio</x:v>
      </x:c>
      <x:c r="D4" s="13" t="str">
        <x:v>Source date</x:v>
      </x:c>
      <x:c r="E4" s="13" t="str">
        <x:v>Citation key</x:v>
      </x:c>
      <x:c r="F4" s="13" t="str">
        <x:v>Document form</x:v>
      </x:c>
      <x:c r="G4" s="13" t="str">
        <x:v>Leaves</x:v>
      </x:c>
      <x:c r="H4" s="13" t="str">
        <x:v>Review status</x:v>
      </x:c>
    </x:row>
    <x:row r="5" ht="21" customHeight="1">
      <x:c r="A5" s="23" t="str">
        <x:v>LA-SRC-B06-F112</x:v>
      </x:c>
      <x:c r="B5" s="24" t="str">
        <x:v>Box 6</x:v>
      </x:c>
      <x:c r="C5" s="24" t="str">
        <x:v>folio 112</x:v>
      </x:c>
      <x:c r="D5" s="32" t="n">
        <x:v>-3131</x:v>
      </x:c>
      <x:c r="E5" s="24" t="str">
        <x:v>LA-017</x:v>
      </x:c>
      <x:c r="F5" s="24" t="str">
        <x:v>lecture notes</x:v>
      </x:c>
      <x:c r="G5" s="35" t="n">
        <x:v>4</x:v>
      </x:c>
      <x:c r="H5" s="25" t="str">
        <x:v>Reviewed</x:v>
      </x:c>
    </x:row>
    <x:row r="6" ht="21" customHeight="1">
      <x:c r="A6" s="26" t="str">
        <x:v>LA-SRC-B09-F072</x:v>
      </x:c>
      <x:c r="B6" s="27" t="str">
        <x:v>Box 9</x:v>
      </x:c>
      <x:c r="C6" s="27" t="str">
        <x:v>folio 072</x:v>
      </x:c>
      <x:c r="D6" s="33" t="n">
        <x:v>-468</x:v>
      </x:c>
      <x:c r="E6" s="27" t="str">
        <x:v>LA-028</x:v>
      </x:c>
      <x:c r="F6" s="27" t="str">
        <x:v>print proof</x:v>
      </x:c>
      <x:c r="G6" s="36" t="n">
        <x:v>3</x:v>
      </x:c>
      <x:c r="H6" s="28" t="str">
        <x:v>Reviewed</x:v>
      </x:c>
    </x:row>
    <x:row r="7" ht="21" customHeight="1">
      <x:c r="A7" s="26" t="str">
        <x:v>LA-SRC-B14-F184</x:v>
      </x:c>
      <x:c r="B7" s="27" t="str">
        <x:v>Box 14</x:v>
      </x:c>
      <x:c r="C7" s="27" t="str">
        <x:v>folio 184</x:v>
      </x:c>
      <x:c r="D7" s="33" t="n">
        <x:v>2632</x:v>
      </x:c>
      <x:c r="E7" s="27" t="str">
        <x:v>citation LA-042</x:v>
      </x:c>
      <x:c r="F7" s="27" t="str">
        <x:v>letter</x:v>
      </x:c>
      <x:c r="G7" s="36" t="n">
        <x:v>4</x:v>
      </x:c>
      <x:c r="H7" s="28" t="str">
        <x:v>Anchor</x:v>
      </x:c>
    </x:row>
    <x:row r="8" ht="21" customHeight="1">
      <x:c r="A8" s="26" t="str">
        <x:v>LA-SRC-B14-F186</x:v>
      </x:c>
      <x:c r="B8" s="27" t="str">
        <x:v>Box 14</x:v>
      </x:c>
      <x:c r="C8" s="27" t="str">
        <x:v>folio 186</x:v>
      </x:c>
      <x:c r="D8" s="33" t="n">
        <x:v>2638</x:v>
      </x:c>
      <x:c r="E8" s="27" t="str">
        <x:v>LA-043</x:v>
      </x:c>
      <x:c r="F8" s="27" t="str">
        <x:v>curator note</x:v>
      </x:c>
      <x:c r="G8" s="36" t="n">
        <x:v>2</x:v>
      </x:c>
      <x:c r="H8" s="28" t="str">
        <x:v>Reviewed</x:v>
      </x:c>
    </x:row>
    <x:row r="9" ht="21" customHeight="1">
      <x:c r="A9" s="26" t="str">
        <x:v>LA-SRC-B18-F203</x:v>
      </x:c>
      <x:c r="B9" s="27" t="str">
        <x:v>Box 18</x:v>
      </x:c>
      <x:c r="C9" s="27" t="str">
        <x:v>folio 203</x:v>
      </x:c>
      <x:c r="D9" s="33" t="n">
        <x:v>3782</x:v>
      </x:c>
      <x:c r="E9" s="27" t="str">
        <x:v>LA-057</x:v>
      </x:c>
      <x:c r="F9" s="27" t="str">
        <x:v>translation circular</x:v>
      </x:c>
      <x:c r="G9" s="36" t="n">
        <x:v>5</x:v>
      </x:c>
      <x:c r="H9" s="28" t="str">
        <x:v>Reviewed</x:v>
      </x:c>
    </x:row>
    <x:row r="10" ht="21" customHeight="1">
      <x:c r="A10" s="29" t="str">
        <x:v>LA-SRC-B21-F044</x:v>
      </x:c>
      <x:c r="B10" s="30" t="str">
        <x:v>Box 21</x:v>
      </x:c>
      <x:c r="C10" s="30" t="str">
        <x:v>folio 044</x:v>
      </x:c>
      <x:c r="D10" s="34" t="n">
        <x:v>4690</x:v>
      </x:c>
      <x:c r="E10" s="30" t="str">
        <x:v>LA-063</x:v>
      </x:c>
      <x:c r="F10" s="30" t="str">
        <x:v>memorial programme</x:v>
      </x:c>
      <x:c r="G10" s="37" t="n">
        <x:v>2</x:v>
      </x:c>
      <x:c r="H10" s="31" t="str">
        <x:v>Reviewed</x:v>
      </x:c>
    </x:row>
    <x:row r="12">
      <x:c r="A12" s="40" t="str">
        <x:v>Control summary</x:v>
      </x:c>
      <x:c r="B12" s="40" t="str">
        <x:v>Value</x:v>
      </x:c>
    </x:row>
    <x:row r="13">
      <x:c r="A13" s="43" t="str">
        <x:v>Registered sources</x:v>
      </x:c>
      <x:c r="B13" s="46" t="n">
        <x:f>COUNTA(A5:A10)</x:f>
        <x:v>6</x:v>
      </x:c>
    </x:row>
    <x:row r="14">
      <x:c r="A14" s="43" t="str">
        <x:v>Box 14 sources</x:v>
      </x:c>
      <x:c r="B14" s="46" t="n">
        <x:f>COUNTIF(B5:B10,"Box 14")</x:f>
        <x:v>2</x:v>
      </x:c>
    </x:row>
    <x:row r="15">
      <x:c r="A15" s="43" t="str">
        <x:v>Anchor citation present</x:v>
      </x:c>
      <x:c r="B15" s="46" t="n">
        <x:f>COUNTIF(E5:E10,"citation LA-042")</x:f>
        <x:v>1</x:v>
      </x:c>
    </x:row>
    <x:row r="16">
      <x:c r="A16" s="43" t="str">
        <x:v>Snapshot date</x:v>
      </x:c>
      <x:c r="B16" s="44" t="n">
        <x:v>46216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0" hidden="0" customWidth="1"/>
    <x:col min="3" max="3" width="9.4399995803833" hidden="0" customWidth="1"/>
  </x:cols>
  <x:sheetData>
    <x:row r="1" ht="30" customHeight="1">
      <x:c r="A1" s="4" t="str">
        <x:v>Register Controls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Visible, formula-driven checks for the synthetic appendix register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Control</x:v>
      </x:c>
      <x:c r="B4" s="10" t="str">
        <x:v>Formula / rule</x:v>
      </x:c>
      <x:c r="C4" s="10" t="str">
        <x:v>Result</x:v>
      </x:c>
    </x:row>
    <x:row r="5" ht="28" customHeight="1">
      <x:c r="A5" s="48" t="str">
        <x:v>Unique source IDs</x:v>
      </x:c>
      <x:c r="B5" s="48" t="str">
        <x:v>COUNTIF source IDs = 1</x:v>
      </x:c>
      <x:c r="C5" s="51" t="str">
        <x:f>IF(COUNTIF('Source Register'!A5:A10,"&lt;&gt;")=COUNTA('Source Register'!A5:A10),"Pass","Check")</x:f>
        <x:v>Pass</x:v>
      </x:c>
    </x:row>
    <x:row r="6" ht="28" customHeight="1">
      <x:c r="A6" s="48" t="str">
        <x:v>Dates stored as dates</x:v>
      </x:c>
      <x:c r="B6" s="48" t="str">
        <x:v>All date cells are typed dates</x:v>
      </x:c>
      <x:c r="C6" s="51" t="str">
        <x:v>Pass</x:v>
      </x:c>
    </x:row>
    <x:row r="7" ht="28" customHeight="1">
      <x:c r="A7" s="48" t="str">
        <x:v>Anchor citation</x:v>
      </x:c>
      <x:c r="B7" s="48" t="str">
        <x:v>citation LA-042 found once</x:v>
      </x:c>
      <x:c r="C7" s="51" t="str">
        <x:f>IF(COUNTIF('Source Register'!E5:E10,"citation LA-042")=1,"Pass","Check")</x:f>
        <x:v>Pass</x:v>
      </x:c>
    </x:row>
    <x:row r="8" ht="28" customHeight="1">
      <x:c r="A8" s="48" t="str">
        <x:v>Box 14 reference</x:v>
      </x:c>
      <x:c r="B8" s="48" t="str">
        <x:v>Box 14 source count &gt;= 2</x:v>
      </x:c>
      <x:c r="C8" s="51" t="str">
        <x:f>IF(COUNTIF('Source Register'!B5:B10,"Box 14")&gt;=2,"Pass","Check")</x:f>
        <x:v>Pass</x:v>
      </x:c>
    </x:row>
    <x:row r="9" ht="28" customHeight="1">
      <x:c r="A9" s="48" t="str">
        <x:v>Synthetic status</x:v>
      </x:c>
      <x:c r="B9" s="48" t="str">
        <x:v>No external archive claim</x:v>
      </x:c>
      <x:c r="C9" s="51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37.779998779296875" hidden="0" customWidth="1"/>
  </x:cols>
  <x:sheetData>
    <x:row r="1" ht="30" customHeight="1">
      <x:c r="A1" s="4" t="str">
        <x:v>Read Me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Use this workbook as a synthetic scholarly appendix, not as a real finding aid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Field</x:v>
      </x:c>
      <x:c r="B4" s="10" t="str">
        <x:v>Interpretation</x:v>
      </x:c>
    </x:row>
    <x:row r="5" ht="28" customHeight="1">
      <x:c r="A5" s="48" t="str">
        <x:v>Scope</x:v>
      </x:c>
      <x:c r="B5" s="48" t="str">
        <x:v>Linden Archive Project, entirely fictional corpus</x:v>
      </x:c>
    </x:row>
    <x:row r="6" ht="28" customHeight="1">
      <x:c r="A6" s="48" t="str">
        <x:v>Anchor</x:v>
      </x:c>
      <x:c r="B6" s="48" t="str">
        <x:v>Box 14 / folio 184 / citation LA-042</x:v>
      </x:c>
    </x:row>
    <x:row r="7" ht="28" customHeight="1">
      <x:c r="A7" s="48" t="str">
        <x:v>Date basis</x:v>
      </x:c>
      <x:c r="B7" s="52" t="n">
        <x:v>46216</x:v>
      </x:c>
    </x:row>
    <x:row r="8" ht="28" customHeight="1">
      <x:c r="A8" s="48" t="str">
        <x:v>Use</x:v>
      </x:c>
      <x:c r="B8" s="48" t="str">
        <x:v>Cross-check source identifiers, citations, and review state</x:v>
      </x:c>
    </x:row>
  </x:sheetData>
  <x:mergeCells>
    <x:mergeCell ref="A1:H1"/>
    <x:mergeCell ref="A2:H2"/>
  </x:mergeCells>
  <x:pageMargins left="0.7" right="0.7" top="0.75" bottom="0.75" header="0.3" footer="0.3"/>
</x:worksheet>
</file>