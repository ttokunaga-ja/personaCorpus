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54d0bbe72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Study" sheetId="1" r:id="Rd80c02f546134b10"/>
    <x:sheet xmlns:r="http://schemas.openxmlformats.org/officeDocument/2006/relationships" name="Study Summary" sheetId="2" r:id="R72b558639e3e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A5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DCEAF3"/>
      </x:patternFill>
    </x:fill>
    <x:fill>
      <x:patternFill patternType="solid">
        <x:fgColor rgb="FF2D6A8E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bd825a07242f2" /><Relationship Type="http://schemas.openxmlformats.org/officeDocument/2006/relationships/theme" Target="/xl/theme/theme1.xml" Id="R29bd8e7ec36f4973" /><Relationship Type="http://schemas.openxmlformats.org/officeDocument/2006/relationships/sharedStrings" Target="/xl/sharedStrings.xml" Id="R318ac71c817945fb" /><Relationship Type="http://schemas.openxmlformats.org/officeDocument/2006/relationships/worksheet" Target="/xl/worksheets/sheet1.xml" Id="Rd80c02f546134b10" /><Relationship Type="http://schemas.openxmlformats.org/officeDocument/2006/relationships/worksheet" Target="/xl/worksheets/sheet2.xml" Id="R72b558639e3e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</x:cols>
  <x:sheetData>
    <x:row r="1" ht="28" customHeight="1">
      <x:c r="A1" s="4" t="str">
        <x:v>Product Alpha Capability Study</x:v>
      </x:c>
      <x:c r="B1" s="4"/>
      <x:c r="C1" s="4"/>
      <x:c r="D1" s="4"/>
      <x:c r="E1" s="4"/>
      <x:c r="F1" s="4"/>
      <x:c r="G1" s="4"/>
    </x:row>
    <x:row r="2">
      <x:c r="A2" s="7" t="str">
        <x:v>ForgeLine | Product Alpha | 2026-08-11 | NCR-026 | Dimensional tolerance +/- 0.18 mm</x:v>
      </x:c>
      <x:c r="B2" s="7"/>
      <x:c r="C2" s="7"/>
      <x:c r="D2" s="7"/>
      <x:c r="E2" s="7"/>
      <x:c r="F2" s="7"/>
      <x:c r="G2" s="7"/>
    </x:row>
    <x:row r="4" ht="34" customHeight="1">
      <x:c r="A4" s="12" t="str">
        <x:v>Sample</x:v>
      </x:c>
      <x:c r="B4" s="12" t="str">
        <x:v>Measured width (mm)</x:v>
      </x:c>
      <x:c r="C4" s="12" t="str">
        <x:v>Nominal (mm)</x:v>
      </x:c>
      <x:c r="D4" s="12" t="str">
        <x:v>Lower limit (mm)</x:v>
      </x:c>
      <x:c r="E4" s="12" t="str">
        <x:v>Upper limit (mm)</x:v>
      </x:c>
      <x:c r="F4" s="12" t="str">
        <x:v>Deviation (mm)</x:v>
      </x:c>
      <x:c r="G4" s="12" t="str">
        <x:v>Disposition</x:v>
      </x:c>
    </x:row>
    <x:row r="5">
      <x:c r="A5" s="13" t="n">
        <x:v>1</x:v>
      </x:c>
      <x:c r="B5" s="14" t="n">
        <x:v>10.02</x:v>
      </x:c>
      <x:c r="C5" s="14" t="n">
        <x:v>10</x:v>
      </x:c>
      <x:c r="D5" s="14" t="n">
        <x:v>9.82</x:v>
      </x:c>
      <x:c r="E5" s="14" t="n">
        <x:v>10.18</x:v>
      </x:c>
      <x:c r="F5" s="14" t="n">
        <x:f>B5-C5</x:f>
        <x:v>0.019999999999999574</x:v>
      </x:c>
      <x:c r="G5" s="13" t="str">
        <x:f>IF(AND(B5&gt;=D5,B5&lt;=E5),"Accept","Hold")</x:f>
        <x:v>Accept</x:v>
      </x:c>
    </x:row>
    <x:row r="6">
      <x:c r="A6" s="13" t="n">
        <x:v>2</x:v>
      </x:c>
      <x:c r="B6" s="14" t="n">
        <x:v>9.96</x:v>
      </x:c>
      <x:c r="C6" s="14" t="n">
        <x:v>10</x:v>
      </x:c>
      <x:c r="D6" s="14" t="n">
        <x:v>9.82</x:v>
      </x:c>
      <x:c r="E6" s="14" t="n">
        <x:v>10.18</x:v>
      </x:c>
      <x:c r="F6" s="14" t="n">
        <x:f>B6-C6</x:f>
        <x:v>-0.03999999999999915</x:v>
      </x:c>
      <x:c r="G6" s="13" t="str">
        <x:f>IF(AND(B6&gt;=D6,B6&lt;=E6),"Accept","Hold")</x:f>
        <x:v>Accept</x:v>
      </x:c>
    </x:row>
    <x:row r="7">
      <x:c r="A7" s="13" t="n">
        <x:v>3</x:v>
      </x:c>
      <x:c r="B7" s="14" t="n">
        <x:v>10.08</x:v>
      </x:c>
      <x:c r="C7" s="14" t="n">
        <x:v>10</x:v>
      </x:c>
      <x:c r="D7" s="14" t="n">
        <x:v>9.82</x:v>
      </x:c>
      <x:c r="E7" s="14" t="n">
        <x:v>10.18</x:v>
      </x:c>
      <x:c r="F7" s="14" t="n">
        <x:f>B7-C7</x:f>
        <x:v>0.08000000000000007</x:v>
      </x:c>
      <x:c r="G7" s="13" t="str">
        <x:f>IF(AND(B7&gt;=D7,B7&lt;=E7),"Accept","Hold")</x:f>
        <x:v>Accept</x:v>
      </x:c>
    </x:row>
    <x:row r="8">
      <x:c r="A8" s="13" t="n">
        <x:v>4</x:v>
      </x:c>
      <x:c r="B8" s="14" t="n">
        <x:v>10.11</x:v>
      </x:c>
      <x:c r="C8" s="14" t="n">
        <x:v>10</x:v>
      </x:c>
      <x:c r="D8" s="14" t="n">
        <x:v>9.82</x:v>
      </x:c>
      <x:c r="E8" s="14" t="n">
        <x:v>10.18</x:v>
      </x:c>
      <x:c r="F8" s="14" t="n">
        <x:f>B8-C8</x:f>
        <x:v>0.10999999999999943</x:v>
      </x:c>
      <x:c r="G8" s="13" t="str">
        <x:f>IF(AND(B8&gt;=D8,B8&lt;=E8),"Accept","Hold")</x:f>
        <x:v>Accept</x:v>
      </x:c>
    </x:row>
    <x:row r="9">
      <x:c r="A9" s="13" t="n">
        <x:v>5</x:v>
      </x:c>
      <x:c r="B9" s="14" t="n">
        <x:v>9.93</x:v>
      </x:c>
      <x:c r="C9" s="14" t="n">
        <x:v>10</x:v>
      </x:c>
      <x:c r="D9" s="14" t="n">
        <x:v>9.82</x:v>
      </x:c>
      <x:c r="E9" s="14" t="n">
        <x:v>10.18</x:v>
      </x:c>
      <x:c r="F9" s="14" t="n">
        <x:f>B9-C9</x:f>
        <x:v>-0.07000000000000028</x:v>
      </x:c>
      <x:c r="G9" s="13" t="str">
        <x:f>IF(AND(B9&gt;=D9,B9&lt;=E9),"Accept","Hold")</x:f>
        <x:v>Accept</x:v>
      </x:c>
    </x:row>
    <x:row r="10">
      <x:c r="A10" s="13" t="n">
        <x:v>6</x:v>
      </x:c>
      <x:c r="B10" s="14" t="n">
        <x:v>10.05</x:v>
      </x:c>
      <x:c r="C10" s="14" t="n">
        <x:v>10</x:v>
      </x:c>
      <x:c r="D10" s="14" t="n">
        <x:v>9.82</x:v>
      </x:c>
      <x:c r="E10" s="14" t="n">
        <x:v>10.18</x:v>
      </x:c>
      <x:c r="F10" s="14" t="n">
        <x:f>B10-C10</x:f>
        <x:v>0.05000000000000071</x:v>
      </x:c>
      <x:c r="G10" s="13" t="str">
        <x:f>IF(AND(B10&gt;=D10,B10&lt;=E10),"Accept","Hold")</x:f>
        <x:v>Accept</x:v>
      </x:c>
    </x:row>
    <x:row r="11">
      <x:c r="A11" s="13" t="n">
        <x:v>7</x:v>
      </x:c>
      <x:c r="B11" s="14" t="n">
        <x:v>10</x:v>
      </x:c>
      <x:c r="C11" s="14" t="n">
        <x:v>10</x:v>
      </x:c>
      <x:c r="D11" s="14" t="n">
        <x:v>9.82</x:v>
      </x:c>
      <x:c r="E11" s="14" t="n">
        <x:v>10.18</x:v>
      </x:c>
      <x:c r="F11" s="14" t="n">
        <x:f>B11-C11</x:f>
        <x:v>0</x:v>
      </x:c>
      <x:c r="G11" s="13" t="str">
        <x:f>IF(AND(B11&gt;=D11,B11&lt;=E11),"Accept","Hold")</x:f>
        <x:v>Accept</x:v>
      </x:c>
    </x:row>
    <x:row r="12">
      <x:c r="A12" s="13" t="n">
        <x:v>8</x:v>
      </x:c>
      <x:c r="B12" s="14" t="n">
        <x:v>9.98</x:v>
      </x:c>
      <x:c r="C12" s="14" t="n">
        <x:v>10</x:v>
      </x:c>
      <x:c r="D12" s="14" t="n">
        <x:v>9.82</x:v>
      </x:c>
      <x:c r="E12" s="14" t="n">
        <x:v>10.18</x:v>
      </x:c>
      <x:c r="F12" s="14" t="n">
        <x:f>B12-C12</x:f>
        <x:v>-0.019999999999999574</x:v>
      </x:c>
      <x:c r="G12" s="13" t="str">
        <x:f>IF(AND(B12&gt;=D12,B12&lt;=E12),"Accept","Hold")</x:f>
        <x:v>Accept</x:v>
      </x:c>
    </x:row>
    <x:row r="13">
      <x:c r="A13" s="13" t="n">
        <x:v>9</x:v>
      </x:c>
      <x:c r="B13" s="14" t="n">
        <x:v>10.14</x:v>
      </x:c>
      <x:c r="C13" s="14" t="n">
        <x:v>10</x:v>
      </x:c>
      <x:c r="D13" s="14" t="n">
        <x:v>9.82</x:v>
      </x:c>
      <x:c r="E13" s="14" t="n">
        <x:v>10.18</x:v>
      </x:c>
      <x:c r="F13" s="14" t="n">
        <x:f>B13-C13</x:f>
        <x:v>0.14000000000000057</x:v>
      </x:c>
      <x:c r="G13" s="13" t="str">
        <x:f>IF(AND(B13&gt;=D13,B13&lt;=E13),"Accept","Hold")</x:f>
        <x:v>Accept</x:v>
      </x:c>
    </x:row>
    <x:row r="14">
      <x:c r="A14" s="13" t="n">
        <x:v>10</x:v>
      </x:c>
      <x:c r="B14" s="14" t="n">
        <x:v>9.9</x:v>
      </x:c>
      <x:c r="C14" s="14" t="n">
        <x:v>10</x:v>
      </x:c>
      <x:c r="D14" s="14" t="n">
        <x:v>9.82</x:v>
      </x:c>
      <x:c r="E14" s="14" t="n">
        <x:v>10.18</x:v>
      </x:c>
      <x:c r="F14" s="14" t="n">
        <x:f>B14-C14</x:f>
        <x:v>-0.09999999999999964</x:v>
      </x:c>
      <x:c r="G14" s="13" t="str">
        <x:f>IF(AND(B14&gt;=D14,B14&lt;=E14),"Accept","Hold")</x:f>
        <x:v>Accept</x:v>
      </x:c>
    </x:row>
  </x:sheetData>
  <x:mergeCells>
    <x:mergeCell ref="A1:G1"/>
    <x:mergeCell ref="A2:G2"/>
  </x:mergeCells>
  <x:conditionalFormatting sqref="G5:G14">
    <x:cfRule type="containsText" dxfId="0" priority="1" operator="containsText" text="Accep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Capability Summary — ForgeLine Product Alpha</x:v>
      </x:c>
      <x:c r="B1" s="2"/>
      <x:c r="C1" s="2"/>
      <x:c r="D1" s="2"/>
      <x:c r="E1" s="2"/>
    </x:row>
    <x:row r="3">
      <x:c r="A3" s="16" t="str">
        <x:v>Metric</x:v>
      </x:c>
      <x:c r="B3" s="16" t="str">
        <x:v>Value</x:v>
      </x:c>
    </x:row>
    <x:row r="4">
      <x:c r="A4" s="13" t="str">
        <x:v>Mean (mm)</x:v>
      </x:c>
      <x:c r="B4" s="17" t="n">
        <x:f>AVERAGE('Capability Study'!B5:B14)</x:f>
        <x:v>10.017000000000001</x:v>
      </x:c>
    </x:row>
    <x:row r="5">
      <x:c r="A5" s="13" t="str">
        <x:v>Minimum (mm)</x:v>
      </x:c>
      <x:c r="B5" s="17" t="n">
        <x:f>MIN('Capability Study'!B5:B14)</x:f>
        <x:v>9.9</x:v>
      </x:c>
    </x:row>
    <x:row r="6">
      <x:c r="A6" s="13" t="str">
        <x:v>Maximum (mm)</x:v>
      </x:c>
      <x:c r="B6" s="17" t="n">
        <x:f>MAX('Capability Study'!B5:B14)</x:f>
        <x:v>10.14</x:v>
      </x:c>
    </x:row>
    <x:row r="7">
      <x:c r="A7" s="13" t="str">
        <x:v>Range (mm)</x:v>
      </x:c>
      <x:c r="B7" s="17" t="n">
        <x:f>B6-B5</x:f>
        <x:v>0.2400000000000002</x:v>
      </x:c>
    </x:row>
  </x:sheetData>
  <x:mergeCells>
    <x:mergeCell ref="A1:E1"/>
  </x:mergeCells>
  <x:pageMargins left="0.7" right="0.7" top="0.75" bottom="0.75" header="0.3" footer="0.3"/>
</x:worksheet>
</file>