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308fe43864e1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apability Study" sheetId="1" ns1:id="Rf741536fcde3426b"/>
  </sheets>
  <definedNames>
    <definedName name="_xlnm.Print_Area" localSheetId="0">'Capability Study'!$A$1:$F$14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0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3" borderId="9" xfId="0" applyNumberFormat="1" applyFont="1" applyFill="1" applyBorder="1"/>
    <x:xf numFmtId="0" fontId="4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b5bc1b03d4463" /><Relationship Type="http://schemas.openxmlformats.org/officeDocument/2006/relationships/theme" Target="/xl/theme/theme1.xml" Id="R78e349c7121b4537" /><Relationship Type="http://schemas.openxmlformats.org/officeDocument/2006/relationships/sharedStrings" Target="/xl/sharedStrings.xml" Id="R7643d911e64a4701" /><Relationship Type="http://schemas.openxmlformats.org/officeDocument/2006/relationships/worksheet" Target="/xl/worksheets/sheet1.xml" Id="Rf741536fcde3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2" hidden="0" customWidth="1"/>
    <col min="2" max="2" width="16" hidden="0" customWidth="1"/>
    <col min="3" max="3" width="13" hidden="0" customWidth="1"/>
    <col min="4" max="4" width="13" hidden="0" customWidth="1"/>
    <col min="5" max="5" width="13" hidden="0" customWidth="1"/>
    <col min="6" max="6" width="10" hidden="0" customWidth="1"/>
  </cols>
  <sheetData>
    <row r="1" ht="24" customHeight="1">
      <c r="A1" s="3" t="str">
        <v>ForgeLine Product Beta Capability Study</v>
      </c>
      <c r="B1" s="3"/>
      <c r="C1" s="3"/>
      <c r="D1" s="3"/>
      <c r="E1" s="3"/>
      <c r="F1" s="3"/>
    </row>
    <row r="2" ht="24" customHeight="1">
      <c r="A2" s="5" t="str">
        <v>Synthetic quality record | 2026-08-11 | NCR-026 | tolerance ±0.18 mm</v>
      </c>
      <c r="B2" s="5"/>
      <c r="C2" s="5"/>
      <c r="D2" s="5"/>
      <c r="E2" s="5"/>
      <c r="F2" s="5"/>
    </row>
    <row r="4">
      <c r="A4" s="10" t="str">
        <v>Sample</v>
      </c>
      <c r="B4" s="11" t="str">
        <v>Feature</v>
      </c>
      <c r="C4" s="11" t="str">
        <v>Target mm</v>
      </c>
      <c r="D4" s="11" t="str">
        <v>Measured mm</v>
      </c>
      <c r="E4" s="11" t="str">
        <v>Deviation mm</v>
      </c>
      <c r="F4" s="12" t="str">
        <v>Status</v>
      </c>
    </row>
    <row r="5">
      <c r="A5" s="13" t="n">
        <v>1</v>
      </c>
      <c r="B5" s="14" t="str">
        <v>Datum A</v>
      </c>
      <c r="C5" s="9" t="n">
        <v>24</v>
      </c>
      <c r="D5" s="9" t="n">
        <v>24.06</v>
      </c>
      <c r="E5" s="9" t="n">
        <f>D5-C5</f>
        <v>0.05999999999999872</v>
      </c>
      <c r="F5" s="15" t="str">
        <f>IF(ABS(E5)&lt;=0.18,"PASS","REVIEW")</f>
        <v>PASS</v>
      </c>
    </row>
    <row r="6">
      <c r="A6" s="13" t="n">
        <v>2</v>
      </c>
      <c r="B6" s="14" t="str">
        <v>Datum A</v>
      </c>
      <c r="C6" s="9" t="n">
        <v>24</v>
      </c>
      <c r="D6" s="9" t="n">
        <v>23.93</v>
      </c>
      <c r="E6" s="9" t="n">
        <f>D6-C6</f>
        <v>-0.07000000000000028</v>
      </c>
      <c r="F6" s="15" t="str">
        <f>IF(ABS(E6)&lt;=0.18,"PASS","REVIEW")</f>
        <v>PASS</v>
      </c>
    </row>
    <row r="7">
      <c r="A7" s="13" t="n">
        <v>3</v>
      </c>
      <c r="B7" s="14" t="str">
        <v>Datum A</v>
      </c>
      <c r="C7" s="9" t="n">
        <v>24</v>
      </c>
      <c r="D7" s="9" t="n">
        <v>24.1</v>
      </c>
      <c r="E7" s="9" t="n">
        <f>D7-C7</f>
        <v>0.10000000000000142</v>
      </c>
      <c r="F7" s="15" t="str">
        <f>IF(ABS(E7)&lt;=0.18,"PASS","REVIEW")</f>
        <v>PASS</v>
      </c>
    </row>
    <row r="8">
      <c r="A8" s="13" t="n">
        <v>4</v>
      </c>
      <c r="B8" s="14" t="str">
        <v>Seal land</v>
      </c>
      <c r="C8" s="9" t="n">
        <v>12.5</v>
      </c>
      <c r="D8" s="9" t="n">
        <v>12.37</v>
      </c>
      <c r="E8" s="9" t="n">
        <f>D8-C8</f>
        <v>-0.13000000000000078</v>
      </c>
      <c r="F8" s="15" t="str">
        <f>IF(ABS(E8)&lt;=0.18,"PASS","REVIEW")</f>
        <v>PASS</v>
      </c>
    </row>
    <row r="9">
      <c r="A9" s="13" t="n">
        <v>5</v>
      </c>
      <c r="B9" s="14" t="str">
        <v>Seal land</v>
      </c>
      <c r="C9" s="9" t="n">
        <v>12.5</v>
      </c>
      <c r="D9" s="9" t="n">
        <v>12.59</v>
      </c>
      <c r="E9" s="9" t="n">
        <f>D9-C9</f>
        <v>0.08999999999999986</v>
      </c>
      <c r="F9" s="15" t="str">
        <f>IF(ABS(E9)&lt;=0.18,"PASS","REVIEW")</f>
        <v>PASS</v>
      </c>
    </row>
    <row r="10">
      <c r="A10" s="16" t="n">
        <v>6</v>
      </c>
      <c r="B10" s="17" t="str">
        <v>Locator pitch</v>
      </c>
      <c r="C10" s="18" t="n">
        <v>38</v>
      </c>
      <c r="D10" s="18" t="n">
        <v>38.14</v>
      </c>
      <c r="E10" s="18" t="n">
        <f>D10-C10</f>
        <v>0.14000000000000057</v>
      </c>
      <c r="F10" s="19" t="str">
        <f>IF(ABS(E10)&lt;=0.18,"PASS","REVIEW")</f>
        <v>PASS</v>
      </c>
    </row>
    <row r="12">
      <c r="A12" s="25" t="str">
        <v>Metric</v>
      </c>
      <c r="B12" s="25" t="str">
        <v>Value</v>
      </c>
    </row>
    <row r="13">
      <c r="A13" s="21" t="str">
        <v>Pass rate</v>
      </c>
      <c r="B13" s="22" t="n">
        <f>COUNTIF(F5:F10,"PASS")/COUNTA(F5:F10)</f>
        <v>1</v>
      </c>
    </row>
    <row r="14">
      <c r="A14" s="21" t="str">
        <v>Maximum deviation mm</v>
      </c>
      <c r="B14" s="23" t="n">
        <f>MAX(MAX(E5:E10),-MIN(E5:E10))</f>
        <v>0.14000000000000057</v>
      </c>
    </row>
  </sheetData>
  <mergeCells>
    <mergeCell ref="A1:F1"/>
    <mergeCell ref="A2:F2"/>
  </mergeCells>
  <pageMargins left="0.25" right="0.25" top="0.4" bottom="0.4" header="0.1" footer="0.1"/>
  <pageSetup orientation="landscape" paperSize="9" fitToWidth="1" fitToHeight="1" scale="70"/>
</worksheet>
</file>