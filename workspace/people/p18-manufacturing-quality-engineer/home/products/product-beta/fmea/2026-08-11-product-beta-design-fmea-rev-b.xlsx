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4ac6e229d49d2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Summary" sheetId="1" ns1:id="Rf2e7bdd0a7144cb0"/>
    <x:sheet name="Risk Register" sheetId="2" ns1:id="Rdd43ce68945942b8"/>
  </x:sheets>
  <x:definedNames>
    <x:definedName name="_xlnm.Print_Area" localSheetId="0">'Summary'!$A$1:$H$8</x:definedName>
    <x:definedName name="_xlnm.Print_Area" localSheetId="1">'Risk Register'!$A$1:$I$8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B5A"/>
      <x:name val="Carlito"/>
    </x:font>
    <x:font>
      <x:b/>
      <x:sz val="11"/>
      <x:color rgb="FF163A4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4A"/>
      </x:patternFill>
    </x:fill>
    <x:fill>
      <x:patternFill patternType="solid">
        <x:fgColor rgb="FFE8F1F3"/>
      </x:patternFill>
    </x:fill>
    <x:fill>
      <x:patternFill patternType="solid">
        <x:fgColor rgb="FFF3F7F8"/>
      </x:patternFill>
    </x:fill>
    <x:fill>
      <x:patternFill patternType="solid">
        <x:fgColor rgb="FF2C7188"/>
      </x:patternFill>
    </x:fill>
  </x:fills>
  <x:borders count="3">
    <x:border/>
    <x:border>
      <x:left style="thin">
        <x:color rgb="FFB8CBD1"/>
      </x:left>
      <x:right style="thin">
        <x:color rgb="FFB8CBD1"/>
      </x:right>
      <x:top style="thin">
        <x:color rgb="FFB8CBD1"/>
      </x:top>
      <x:bottom style="thin">
        <x:color rgb="FFB8CBD1"/>
      </x:bottom>
    </x:border>
    <x:border>
      <x:left style="thin">
        <x:color rgb="FFC7D7DC"/>
      </x:left>
      <x:right style="thin">
        <x:color rgb="FFC7D7DC"/>
      </x:right>
      <x:top style="thin">
        <x:color rgb="FFC7D7DC"/>
      </x:top>
      <x:bottom style="thin">
        <x:color rgb="FFC7D7D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26c2bbca64dc7" /><Relationship Type="http://schemas.openxmlformats.org/officeDocument/2006/relationships/theme" Target="/xl/theme/theme1.xml" Id="R3c5cada7d5a54067" /><Relationship Type="http://schemas.openxmlformats.org/officeDocument/2006/relationships/sharedStrings" Target="/xl/sharedStrings.xml" Id="R3cb7dcd4a3144971" /><Relationship Type="http://schemas.openxmlformats.org/officeDocument/2006/relationships/worksheet" Target="/xl/worksheets/sheet1.xml" Id="Rf2e7bdd0a7144cb0" /><Relationship Type="http://schemas.openxmlformats.org/officeDocument/2006/relationships/worksheet" Target="/xl/worksheets/sheet2.xml" Id="Rdd43ce689459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Product Beta Design FMEA Rev B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ForgeLine | Product Beta | 2026-08-11 | NCR-026 | tolerance ±0.18 mm</x:v>
      </x:c>
      <x:c r="B2" s="7"/>
      <x:c r="C2" s="7"/>
      <x:c r="D2" s="7"/>
      <x:c r="E2" s="7"/>
      <x:c r="F2" s="7"/>
      <x:c r="G2" s="7"/>
      <x:c r="H2" s="7"/>
    </x:row>
    <x:row r="4">
      <x:c r="A4" s="9" t="str">
        <x:v>Review date</x:v>
      </x:c>
      <x:c r="B4" s="10" t="n">
        <x:v>46245</x:v>
      </x:c>
      <x:c r="D4" s="13" t="str">
        <x:v>Risk snapshot</x:v>
      </x:c>
      <x:c r="E4" s="13"/>
    </x:row>
    <x:row r="5">
      <x:c r="A5" s="9" t="str">
        <x:v>Product</x:v>
      </x:c>
      <x:c r="B5" t="str">
        <x:v>Product Beta</x:v>
      </x:c>
      <x:c r="D5" s="14" t="str">
        <x:v>Open actions</x:v>
      </x:c>
      <x:c r="E5" s="15" t="n">
        <x:f>COUNTIF('Risk Register'!H5:H8,"&lt;&gt;Closed")</x:f>
        <x:v>3</x:v>
      </x:c>
    </x:row>
    <x:row r="6">
      <x:c r="A6" s="9" t="str">
        <x:v>Reference</x:v>
      </x:c>
      <x:c r="B6" t="str">
        <x:v>NCR-026</x:v>
      </x:c>
      <x:c r="D6" s="14" t="str">
        <x:v>Highest baseline RPN</x:v>
      </x:c>
      <x:c r="E6" s="15" t="n">
        <x:f>MAX('Risk Register'!G5:G8)</x:f>
        <x:v>168</x:v>
      </x:c>
    </x:row>
    <x:row r="7">
      <x:c r="A7" s="9" t="str">
        <x:v>Tolerance</x:v>
      </x:c>
      <x:c r="B7" t="str">
        <x:v>±0.18 mm</x:v>
      </x:c>
      <x:c r="D7" s="14" t="str">
        <x:v>Target residual RPN</x:v>
      </x:c>
      <x:c r="E7" s="15" t="n">
        <x:f>MAX('Risk Register'!I5:I8)</x:f>
        <x:v>84</x:v>
      </x:c>
    </x:row>
    <x:row r="8">
      <x:c r="A8" s="9" t="str">
        <x:v>Record type</x:v>
      </x:c>
      <x:c r="B8" t="str">
        <x:v>Design FMEA</x:v>
      </x:c>
      <x:c r="D8" s="14" t="str">
        <x:v>Closure requirement</x:v>
      </x:c>
      <x:c r="E8" s="15" t="str">
        <x:v>Objective evidence</x:v>
      </x:c>
    </x:row>
  </x:sheetData>
  <x:mergeCells>
    <x:mergeCell ref="A1:H1"/>
    <x:mergeCell ref="A2:H2"/>
    <x:mergeCell ref="D4:E4"/>
  </x:mergeCells>
  <x:printOptions horizontalCentered="1"/>
  <x:pageMargins left="0.7" right="0.7" top="0.75" bottom="0.75" header="0.3" footer="0.3"/>
  <x:pageSetup orientation="landscape" paperSize="9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6" t="str">
        <x:v>Product Beta Design FMEA Rev B - working register</x:v>
      </x:c>
      <x:c r="B1" s="16"/>
      <x:c r="C1" s="16"/>
      <x:c r="D1" s="16"/>
      <x:c r="E1" s="16"/>
      <x:c r="F1" s="16"/>
      <x:c r="G1" s="16"/>
      <x:c r="H1" s="16"/>
      <x:c r="I1" s="16"/>
    </x:row>
    <x:row r="3">
      <x:c r="A3" s="18" t="str">
        <x:v>Risk ID</x:v>
      </x:c>
      <x:c r="B3" s="18" t="str">
        <x:v>Failure mode</x:v>
      </x:c>
      <x:c r="C3" s="18" t="str">
        <x:v>S</x:v>
      </x:c>
      <x:c r="D3" s="18" t="str">
        <x:v>O</x:v>
      </x:c>
      <x:c r="E3" s="18" t="str">
        <x:v>D</x:v>
      </x:c>
      <x:c r="F3" s="18" t="str">
        <x:v>Action</x:v>
      </x:c>
      <x:c r="G3" s="18" t="str">
        <x:v>Baseline RPN</x:v>
      </x:c>
      <x:c r="H3" s="18" t="str">
        <x:v>Status</x:v>
      </x:c>
      <x:c r="I3" s="18" t="str">
        <x:v>Residual RPN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</x:row>
    <x:row r="5">
      <x:c r="A5" s="19" t="str">
        <x:v>FM-B-01</x:v>
      </x:c>
      <x:c r="B5" s="19" t="str">
        <x:v>Interface fit exceeds ±0.18 mm</x:v>
      </x:c>
      <x:c r="C5" s="19" t="n">
        <x:v>7</x:v>
      </x:c>
      <x:c r="D5" s="19" t="n">
        <x:v>6</x:v>
      </x:c>
      <x:c r="E5" s="19" t="n">
        <x:v>4</x:v>
      </x:c>
      <x:c r="F5" s="19" t="str">
        <x:v>ECO-B-041</x:v>
      </x:c>
      <x:c r="G5" s="19" t="n">
        <x:f>C5*D5*E5</x:f>
        <x:v>168</x:v>
      </x:c>
      <x:c r="H5" s="19" t="str">
        <x:v>Open</x:v>
      </x:c>
      <x:c r="I5" s="19" t="n">
        <x:f>G5/2</x:f>
        <x:v>84</x:v>
      </x:c>
    </x:row>
    <x:row r="6">
      <x:c r="A6" s="19" t="str">
        <x:v>FM-B-02</x:v>
      </x:c>
      <x:c r="B6" s="19" t="str">
        <x:v>Datum relationship shifts</x:v>
      </x:c>
      <x:c r="C6" s="19" t="n">
        <x:v>7</x:v>
      </x:c>
      <x:c r="D6" s="19" t="n">
        <x:v>5</x:v>
      </x:c>
      <x:c r="E6" s="19" t="n">
        <x:v>4</x:v>
      </x:c>
      <x:c r="F6" s="19" t="str">
        <x:v>ECO-B-042</x:v>
      </x:c>
      <x:c r="G6" s="19" t="n">
        <x:f>C6*D6*E6</x:f>
        <x:v>140</x:v>
      </x:c>
      <x:c r="H6" s="19" t="str">
        <x:v>In review</x:v>
      </x:c>
      <x:c r="I6" s="19" t="n">
        <x:f>G6/2</x:f>
        <x:v>70</x:v>
      </x:c>
    </x:row>
    <x:row r="7">
      <x:c r="A7" s="19" t="str">
        <x:v>FM-B-03</x:v>
      </x:c>
      <x:c r="B7" s="19" t="str">
        <x:v>NCR-026 traceability gap</x:v>
      </x:c>
      <x:c r="C7" s="19" t="n">
        <x:v>6</x:v>
      </x:c>
      <x:c r="D7" s="19" t="n">
        <x:v>4</x:v>
      </x:c>
      <x:c r="E7" s="19" t="n">
        <x:v>4</x:v>
      </x:c>
      <x:c r="F7" s="19" t="str">
        <x:v>ECO-B-043</x:v>
      </x:c>
      <x:c r="G7" s="19" t="n">
        <x:f>C7*D7*E7</x:f>
        <x:v>96</x:v>
      </x:c>
      <x:c r="H7" s="19" t="str">
        <x:v>Planned</x:v>
      </x:c>
      <x:c r="I7" s="19" t="n">
        <x:f>G7/2</x:f>
        <x:v>48</x:v>
      </x:c>
    </x:row>
    <x:row r="8">
      <x:c r="A8" s="19" t="str">
        <x:v>FM-B-04</x:v>
      </x:c>
      <x:c r="B8" s="19" t="str">
        <x:v>Release evidence incomplete</x:v>
      </x:c>
      <x:c r="C8" s="19" t="n">
        <x:v>5</x:v>
      </x:c>
      <x:c r="D8" s="19" t="n">
        <x:v>4</x:v>
      </x:c>
      <x:c r="E8" s="19" t="n">
        <x:v>3</x:v>
      </x:c>
      <x:c r="F8" s="19" t="str">
        <x:v>ECO-B-044</x:v>
      </x:c>
      <x:c r="G8" s="19" t="n">
        <x:f>C8*D8*E8</x:f>
        <x:v>60</x:v>
      </x:c>
      <x:c r="H8" s="19" t="str">
        <x:v>Closed</x:v>
      </x:c>
      <x:c r="I8" s="19" t="n">
        <x:f>G8/2</x:f>
        <x:v>30</x:v>
      </x:c>
    </x:row>
  </x:sheetData>
  <x:mergeCells>
    <x:mergeCell ref="A1:I1"/>
  </x:mergeCells>
  <x:printOptions horizontalCentered="1"/>
  <x:pageMargins left="0.7" right="0.7" top="0.75" bottom="0.75" header="0.3" footer="0.3"/>
  <x:pageSetup orientation="landscape" paperSize="9" fitToWidth="1" fitToHeight="1"/>
</x:worksheet>
</file>