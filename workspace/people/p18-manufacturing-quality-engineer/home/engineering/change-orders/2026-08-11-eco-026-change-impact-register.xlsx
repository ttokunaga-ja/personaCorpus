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febfab33e42b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mpact Register" sheetId="1" ns1:id="Ra595c8060fa84edb"/>
  </sheets>
  <definedNames>
    <definedName name="_xlnm.Print_Area" localSheetId="0">'Impact Register'!$A$1:$H$12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4E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72bbf21a443e6" /><Relationship Type="http://schemas.openxmlformats.org/officeDocument/2006/relationships/theme" Target="/xl/theme/theme1.xml" Id="Rdbb7e90a6eba4bf3" /><Relationship Type="http://schemas.openxmlformats.org/officeDocument/2006/relationships/sharedStrings" Target="/xl/sharedStrings.xml" Id="Rcb35cf65560a4668" /><Relationship Type="http://schemas.openxmlformats.org/officeDocument/2006/relationships/worksheet" Target="/xl/worksheets/sheet1.xml" Id="Ra595c8060fa84e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6" hidden="0" customWidth="1"/>
    <col min="2" max="2" width="23" hidden="0" customWidth="1"/>
    <col min="3" max="3" width="20" hidden="0" customWidth="1"/>
    <col min="4" max="4" width="19" hidden="0" customWidth="1"/>
    <col min="5" max="5" width="22" hidden="0" customWidth="1"/>
    <col min="6" max="6" width="16" hidden="0" customWidth="1"/>
    <col min="7" max="7" width="24" hidden="0" customWidth="1"/>
    <col min="8" max="8" width="26" hidden="0" customWidth="1"/>
  </cols>
  <sheetData>
    <row r="1" ht="28" customHeight="1">
      <c r="A1" s="4" t="str">
        <v>ForgeLine ECO-026 Change Impact Register</v>
      </c>
      <c r="B1" s="4"/>
      <c r="C1" s="4"/>
      <c r="D1" s="4"/>
      <c r="E1" s="4"/>
      <c r="F1" s="4"/>
      <c r="G1" s="4"/>
      <c r="H1" s="4"/>
    </row>
    <row r="2">
      <c r="A2" s="6" t="str">
        <v>Product Alpha | effective review: 2026-08-11 | dimensional tolerance: ±0.18 mm</v>
      </c>
      <c r="B2" s="6"/>
      <c r="C2" s="6"/>
      <c r="D2" s="6"/>
      <c r="E2" s="6"/>
      <c r="F2" s="6"/>
      <c r="G2" s="6"/>
      <c r="H2" s="6"/>
    </row>
    <row r="4">
      <c r="A4" s="11" t="str">
        <v>Review Date</v>
      </c>
      <c r="B4" s="11" t="str">
        <v>Change Area</v>
      </c>
      <c r="C4" s="11" t="str">
        <v>Affected Item</v>
      </c>
      <c r="D4" s="11" t="str">
        <v>Risk Rating</v>
      </c>
      <c r="E4" s="11" t="str">
        <v>Control Owner</v>
      </c>
      <c r="F4" s="11" t="str">
        <v>Evidence Complete</v>
      </c>
      <c r="G4" s="11" t="str">
        <v>Verification Status</v>
      </c>
      <c r="H4" s="11" t="str">
        <v>Decision Note</v>
      </c>
    </row>
    <row r="5">
      <c r="A5" s="14" t="n">
        <v>46245</v>
      </c>
      <c r="B5" s="13" t="str">
        <v>Assembly fixture</v>
      </c>
      <c r="C5" s="13" t="str">
        <v>PA-FX-18 locator</v>
      </c>
      <c r="D5" s="13" t="str">
        <v>Medium</v>
      </c>
      <c r="E5" s="13" t="str">
        <v>M. Sato (synthetic)</v>
      </c>
      <c r="F5" s="15" t="n">
        <v>0.75</v>
      </c>
      <c r="G5" s="13" t="str">
        <v>Open</v>
      </c>
      <c r="H5" s="13" t="str">
        <v>Gauge study required before release</v>
      </c>
    </row>
    <row r="6">
      <c r="A6" s="14" t="n">
        <v>46245</v>
      </c>
      <c r="B6" s="13" t="str">
        <v>Inspection plan</v>
      </c>
      <c r="C6" s="13" t="str">
        <v>IP-ALPHA-07</v>
      </c>
      <c r="D6" s="13" t="str">
        <v>High</v>
      </c>
      <c r="E6" s="13" t="str">
        <v>Quality Engineering</v>
      </c>
      <c r="F6" s="15" t="n">
        <v>0.9</v>
      </c>
      <c r="G6" s="13" t="str">
        <v>In review</v>
      </c>
      <c r="H6" s="13" t="str">
        <v>Add NCR-026 containment checkpoint</v>
      </c>
    </row>
    <row r="7">
      <c r="A7" s="14" t="n">
        <v>46245</v>
      </c>
      <c r="B7" s="13" t="str">
        <v>Work instruction</v>
      </c>
      <c r="C7" s="13" t="str">
        <v>WI-ALPHA-21</v>
      </c>
      <c r="D7" s="13" t="str">
        <v>Medium</v>
      </c>
      <c r="E7" s="13" t="str">
        <v>Manufacturing</v>
      </c>
      <c r="F7" s="15" t="n">
        <v>0.8</v>
      </c>
      <c r="G7" s="13" t="str">
        <v>Open</v>
      </c>
      <c r="H7" s="13" t="str">
        <v>Revise torque and location confirmation</v>
      </c>
    </row>
    <row r="8">
      <c r="A8" s="14" t="n">
        <v>46245</v>
      </c>
      <c r="B8" s="13" t="str">
        <v>Supplier package</v>
      </c>
      <c r="C8" s="13" t="str">
        <v>SUP-TRACE-04</v>
      </c>
      <c r="D8" s="13" t="str">
        <v>Low</v>
      </c>
      <c r="E8" s="13" t="str">
        <v>Supplier Quality</v>
      </c>
      <c r="F8" s="15" t="n">
        <v>1</v>
      </c>
      <c r="G8" s="13" t="str">
        <v>Ready</v>
      </c>
      <c r="H8" s="13" t="str">
        <v>Certificate cross-check completed</v>
      </c>
    </row>
    <row r="9">
      <c r="A9" s="14" t="n">
        <v>46245</v>
      </c>
      <c r="B9" s="13" t="str">
        <v>Final test</v>
      </c>
      <c r="C9" s="13" t="str">
        <v>TR-ALPHA-026</v>
      </c>
      <c r="D9" s="13" t="str">
        <v>High</v>
      </c>
      <c r="E9" s="13" t="str">
        <v>Test Engineering</v>
      </c>
      <c r="F9" s="15" t="n">
        <v>0.65</v>
      </c>
      <c r="G9" s="13" t="str">
        <v>Open</v>
      </c>
      <c r="H9" s="13" t="str">
        <v>Run three-lot capability confirmation</v>
      </c>
    </row>
    <row r="12">
      <c r="A12" s="17" t="str">
        <v>Release readiness</v>
      </c>
      <c r="B12" s="17"/>
      <c r="C12" s="17"/>
      <c r="D12" s="18" t="n">
        <f>AVERAGE(F5:F9)</f>
        <v>0.8200000000000001</v>
      </c>
      <c r="E12" s="20" t="str">
        <v>Release only when all High-risk controls are verified and NCR-026 closure evidence is attached.</v>
      </c>
      <c r="F12" s="20"/>
      <c r="G12" s="20"/>
      <c r="H12" s="20"/>
    </row>
  </sheetData>
  <mergeCells>
    <mergeCell ref="A1:H1"/>
    <mergeCell ref="A2:H2"/>
    <mergeCell ref="A12:C12"/>
    <mergeCell ref="E12:H12"/>
  </mergeCells>
  <pageMargins left="0.20" right="0.20" top="0.35" bottom="0.35" header="0.15" footer="0.15"/>
  <pageSetup orientation="landscape" paperSize="9" fitToWidth="1" fitToHeight="1" horizontalDpi="300" verticalDpi="300"/>
</worksheet>
</file>