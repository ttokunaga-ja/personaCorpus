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5ad48be6e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 Summary" sheetId="1" r:id="R67ca099b3e7948d8"/>
    <x:sheet xmlns:r="http://schemas.openxmlformats.org/officeDocument/2006/relationships" name="Readings" sheetId="2" r:id="Rce2f845a5a4f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EF2"/>
      </x:patternFill>
    </x:fill>
  </x:fills>
  <x:borders count="2">
    <x:border/>
    <x:border>
      <x:left style="thin">
        <x:color rgb="FFD5E2E8"/>
      </x:left>
      <x:right style="thin">
        <x:color rgb="FFD5E2E8"/>
      </x:right>
      <x:top style="thin">
        <x:color rgb="FFD5E2E8"/>
      </x:top>
      <x:bottom style="thin">
        <x:color rgb="FFD5E2E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893dc5e324707" /><Relationship Type="http://schemas.openxmlformats.org/officeDocument/2006/relationships/theme" Target="/xl/theme/theme1.xml" Id="Rfbaf947e24564ba9" /><Relationship Type="http://schemas.openxmlformats.org/officeDocument/2006/relationships/sharedStrings" Target="/xl/sharedStrings.xml" Id="R7e90b7cf0ec34518" /><Relationship Type="http://schemas.openxmlformats.org/officeDocument/2006/relationships/worksheet" Target="/xl/worksheets/sheet1.xml" Id="R67ca099b3e7948d8" /><Relationship Type="http://schemas.openxmlformats.org/officeDocument/2006/relationships/worksheet" Target="/xl/worksheets/sheet2.xml" Id="Rce2f845a5a4f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8.889999389648438" hidden="0" customWidth="1"/>
    <x:col min="3" max="3" width="2.440000057220459" hidden="0" customWidth="1"/>
    <x:col min="4" max="4" width="16.440000534057617" hidden="0" customWidth="1"/>
    <x:col min="5" max="5" width="7.78000020980835" hidden="0" customWidth="1"/>
    <x:col min="6" max="6" width="0.8899999856948853" hidden="0" customWidth="1"/>
  </x:cols>
  <x:sheetData>
    <x:row r="1" ht="20" customHeight="1">
      <x:c r="A1" s="9" t="str">
        <x:v>ForgeLine inspection workbook — working draft</x:v>
      </x:c>
      <x:c r="B1" s="9"/>
      <x:c r="C1" s="9"/>
      <x:c r="D1" s="9"/>
      <x:c r="E1" s="9"/>
      <x:c r="F1" s="9"/>
    </x:row>
    <x:row r="2" ht="20" customHeight="1"/>
    <x:row r="3" ht="20" customHeight="1">
      <x:c r="A3" s="13" t="str">
        <x:v>Review date</x:v>
      </x:c>
      <x:c r="B3" s="6" t="str">
        <x:v>2026-08-11</x:v>
      </x:c>
      <x:c r="D3" s="14" t="str">
        <x:v>Metric</x:v>
      </x:c>
      <x:c r="E3" s="14" t="str">
        <x:v>Value</x:v>
      </x:c>
    </x:row>
    <x:row r="4" ht="20" customHeight="1">
      <x:c r="A4" s="13" t="str">
        <x:v>Primary product</x:v>
      </x:c>
      <x:c r="B4" s="6" t="str">
        <x:v>Product Alpha</x:v>
      </x:c>
      <x:c r="D4" s="6" t="str">
        <x:v>Samples reviewed</x:v>
      </x:c>
      <x:c r="E4" s="6" t="n">
        <x:f>COUNTA('Readings'!A2:A6)</x:f>
        <x:v>5</x:v>
      </x:c>
    </x:row>
    <x:row r="5" ht="20" customHeight="1">
      <x:c r="A5" s="13" t="str">
        <x:v>Related product</x:v>
      </x:c>
      <x:c r="B5" s="6" t="str">
        <x:v>Product Beta</x:v>
      </x:c>
      <x:c r="D5" s="6" t="str">
        <x:v>Accepted</x:v>
      </x:c>
      <x:c r="E5" s="6" t="n">
        <x:f>COUNTIF('Readings'!F2:F6,"Accept")</x:f>
        <x:v>4</x:v>
      </x:c>
    </x:row>
    <x:row r="6" ht="20" customHeight="1">
      <x:c r="A6" s="13" t="str">
        <x:v>Reference</x:v>
      </x:c>
      <x:c r="B6" s="6" t="str">
        <x:v>NCR-026</x:v>
      </x:c>
      <x:c r="D6" s="6" t="str">
        <x:v>Needs review</x:v>
      </x:c>
      <x:c r="E6" s="6" t="n">
        <x:f>COUNTIF('Readings'!F2:F6,"Review")</x:f>
        <x:v>1</x:v>
      </x:c>
    </x:row>
    <x:row r="7" ht="20" customHeight="1">
      <x:c r="A7" s="13" t="str">
        <x:v>Acceptance band</x:v>
      </x:c>
      <x:c r="B7" s="6" t="str">
        <x:v>±0.18 mm</x:v>
      </x:c>
    </x:row>
    <x:row r="8" ht="20" customHeight="1">
      <x:c r="A8" s="13" t="str">
        <x:v>Record type</x:v>
      </x:c>
      <x:c r="B8" s="6" t="str">
        <x:v>Synthetic working draft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6.440000534057617" hidden="0" customWidth="1"/>
    <x:col min="3" max="3" width="11.779999732971191" hidden="0" customWidth="1"/>
    <x:col min="4" max="4" width="11.779999732971191" hidden="0" customWidth="1"/>
    <x:col min="5" max="5" width="11.779999732971191" hidden="0" customWidth="1"/>
    <x:col min="6" max="6" width="10.670000076293945" hidden="0" customWidth="1"/>
  </x:cols>
  <x:sheetData>
    <x:row r="1" ht="20" customHeight="1">
      <x:c r="A1" s="5" t="str">
        <x:v>Sample</x:v>
      </x:c>
      <x:c r="B1" s="5" t="str">
        <x:v>Product</x:v>
      </x:c>
      <x:c r="C1" s="5" t="str">
        <x:v>Nominal mm</x:v>
      </x:c>
      <x:c r="D1" s="5" t="str">
        <x:v>Measured mm</x:v>
      </x:c>
      <x:c r="E1" s="5" t="str">
        <x:v>Deviation mm</x:v>
      </x:c>
      <x:c r="F1" s="5" t="str">
        <x:v>Disposition</x:v>
      </x:c>
    </x:row>
    <x:row r="2" ht="20" customHeight="1">
      <x:c r="A2" s="6" t="str">
        <x:v>PA-001</x:v>
      </x:c>
      <x:c r="B2" s="6" t="str">
        <x:v>Product Alpha</x:v>
      </x:c>
      <x:c r="C2" s="7" t="n">
        <x:v>12</x:v>
      </x:c>
      <x:c r="D2" s="7" t="n">
        <x:v>12.08</x:v>
      </x:c>
      <x:c r="E2" s="7" t="n">
        <x:f>D2-C2</x:f>
        <x:v>0.08000000000000007</x:v>
      </x:c>
      <x:c r="F2" s="6" t="str">
        <x:f>IF(ABS(E2)&lt;=0.18,"Accept","Review")</x:f>
        <x:v>Accept</x:v>
      </x:c>
    </x:row>
    <x:row r="3" ht="20" customHeight="1">
      <x:c r="A3" s="6" t="str">
        <x:v>PA-002</x:v>
      </x:c>
      <x:c r="B3" s="6" t="str">
        <x:v>Product Alpha</x:v>
      </x:c>
      <x:c r="C3" s="7" t="n">
        <x:v>12</x:v>
      </x:c>
      <x:c r="D3" s="7" t="n">
        <x:v>11.86</x:v>
      </x:c>
      <x:c r="E3" s="7" t="n">
        <x:f>D3-C3</x:f>
        <x:v>-0.14000000000000057</x:v>
      </x:c>
      <x:c r="F3" s="6" t="str">
        <x:f>IF(ABS(E3)&lt;=0.18,"Accept","Review")</x:f>
        <x:v>Accept</x:v>
      </x:c>
    </x:row>
    <x:row r="4" ht="20" customHeight="1">
      <x:c r="A4" s="6" t="str">
        <x:v>PA-003</x:v>
      </x:c>
      <x:c r="B4" s="6" t="str">
        <x:v>Product Alpha</x:v>
      </x:c>
      <x:c r="C4" s="7" t="n">
        <x:v>12</x:v>
      </x:c>
      <x:c r="D4" s="7" t="n">
        <x:v>12.19</x:v>
      </x:c>
      <x:c r="E4" s="7" t="n">
        <x:f>D4-C4</x:f>
        <x:v>0.1899999999999995</x:v>
      </x:c>
      <x:c r="F4" s="6" t="str">
        <x:f>IF(ABS(E4)&lt;=0.18,"Accept","Review")</x:f>
        <x:v>Review</x:v>
      </x:c>
    </x:row>
    <x:row r="5" ht="20" customHeight="1">
      <x:c r="A5" s="6" t="str">
        <x:v>PB-001</x:v>
      </x:c>
      <x:c r="B5" s="6" t="str">
        <x:v>Product Beta</x:v>
      </x:c>
      <x:c r="C5" s="7" t="n">
        <x:v>8.5</x:v>
      </x:c>
      <x:c r="D5" s="7" t="n">
        <x:v>8.39</x:v>
      </x:c>
      <x:c r="E5" s="7" t="n">
        <x:f>D5-C5</x:f>
        <x:v>-0.10999999999999943</x:v>
      </x:c>
      <x:c r="F5" s="6" t="str">
        <x:f>IF(ABS(E5)&lt;=0.18,"Accept","Review")</x:f>
        <x:v>Accept</x:v>
      </x:c>
    </x:row>
    <x:row r="6" ht="20" customHeight="1">
      <x:c r="A6" s="6" t="str">
        <x:v>PB-002</x:v>
      </x:c>
      <x:c r="B6" s="6" t="str">
        <x:v>Product Beta</x:v>
      </x:c>
      <x:c r="C6" s="7" t="n">
        <x:v>8.5</x:v>
      </x:c>
      <x:c r="D6" s="7" t="n">
        <x:v>8.67</x:v>
      </x:c>
      <x:c r="E6" s="7" t="n">
        <x:f>D6-C6</x:f>
        <x:v>0.16999999999999993</x:v>
      </x:c>
      <x:c r="F6" s="6" t="str">
        <x:f>IF(ABS(E6)&lt;=0.18,"Accept","Review")</x:f>
        <x:v>Accept</x:v>
      </x:c>
    </x:row>
  </x:sheetData>
  <x:pageMargins left="0.7" right="0.7" top="0.75" bottom="0.75" header="0.3" footer="0.3"/>
</x:worksheet>
</file>