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e335f6b4614f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3b8da16f4354122"/>
    <x:sheet xmlns:r="http://schemas.openxmlformats.org/officeDocument/2006/relationships" name="NCR-026 Actions" sheetId="2" r:id="R61147a1241b94423"/>
    <x:sheet xmlns:r="http://schemas.openxmlformats.org/officeDocument/2006/relationships" name="Measurements" sheetId="3" r:id="Rd09b561908134363"/>
  </x:sheets>
  <x:definedNames>
    <x:definedName name="_xlnm.Print_Area" localSheetId="0">'Dashboard'!$A$1:$E$7</x:definedName>
    <x:definedName name="_xlnm.Print_Area" localSheetId="1">'NCR-026 Actions'!$A$1:$H$5</x:definedName>
    <x:definedName name="_xlnm.Print_Area" localSheetId="2">'Measurements'!$A$1:$G$6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"/>
    <x:numFmt numFmtId="202" formatCode="0"/>
  </x:numFmts>
  <x:fonts count="6">
    <x:font>
      <x:sz val="11"/>
      <x:name val="Carlito"/>
    </x:font>
    <x:font>
      <x:b/>
      <x:sz val="10"/>
      <x:color rgb="FFFFFFFF"/>
      <x:name val="Carlito"/>
    </x:font>
    <x:font>
      <x:sz val="9"/>
      <x:name val="Carlito"/>
    </x:font>
    <x:font>
      <x:b/>
      <x:sz val="14"/>
      <x:color rgb="FFFFFFFF"/>
      <x:name val="Carlito"/>
    </x:font>
    <x:font>
      <x:i/>
      <x:sz val="10"/>
      <x:color rgb="FF17365D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</x:fills>
  <x:borders count="15">
    <x:border/>
    <x:border>
      <x:left style="thin">
        <x:color rgb="FFB8C4D4"/>
      </x:left>
      <x:top style="thin">
        <x:color rgb="FFB8C4D4"/>
      </x:top>
    </x:border>
    <x:border>
      <x:top style="thin">
        <x:color rgb="FFB8C4D4"/>
      </x:top>
    </x:border>
    <x:border>
      <x:right style="thin">
        <x:color rgb="FFB8C4D4"/>
      </x:right>
      <x:top style="thin">
        <x:color rgb="FFB8C4D4"/>
      </x:top>
    </x:border>
    <x:border>
      <x:left style="thin">
        <x:color rgb="FFB8C4D4"/>
      </x:left>
    </x:border>
    <x:border>
      <x:right style="thin">
        <x:color rgb="FFB8C4D4"/>
      </x:right>
    </x:border>
    <x:border>
      <x:left style="thin">
        <x:color rgb="FFB8C4D4"/>
      </x:left>
      <x:bottom style="thin">
        <x:color rgb="FFB8C4D4"/>
      </x:bottom>
    </x:border>
    <x:border>
      <x:bottom style="thin">
        <x:color rgb="FFB8C4D4"/>
      </x:bottom>
    </x:border>
    <x:border>
      <x:right style="thin">
        <x:color rgb="FFB8C4D4"/>
      </x:right>
      <x:bottom style="thin">
        <x:color rgb="FFB8C4D4"/>
      </x:bottom>
    </x:border>
    <x:border>
      <x:left style="thin">
        <x:color rgb="FF7F9DB9"/>
      </x:left>
      <x:top style="thin">
        <x:color rgb="FF7F9DB9"/>
      </x:top>
    </x:border>
    <x:border>
      <x:right style="thin">
        <x:color rgb="FF7F9DB9"/>
      </x:right>
      <x:top style="thin">
        <x:color rgb="FF7F9DB9"/>
      </x:top>
    </x:border>
    <x:border>
      <x:left style="thin">
        <x:color rgb="FF7F9DB9"/>
      </x:left>
    </x:border>
    <x:border>
      <x:right style="thin">
        <x:color rgb="FF7F9DB9"/>
      </x:right>
    </x:border>
    <x:border>
      <x:left style="thin">
        <x:color rgb="FF7F9DB9"/>
      </x:left>
      <x:bottom style="thin">
        <x:color rgb="FF7F9DB9"/>
      </x:bottom>
    </x:border>
    <x:border>
      <x:right style="thin">
        <x:color rgb="FF7F9DB9"/>
      </x:right>
      <x:bottom style="thin">
        <x:color rgb="FF7F9DB9"/>
      </x:bottom>
    </x:border>
  </x:borders>
  <x:cellStyleXfs count="1">
    <x:xf numFmtId="0" fontId="0" fillId="0" borderId="0"/>
  </x:cellStyleXfs>
  <x:cellXfs count="82">
    <x:xf numFmtId="0" fontId="0" fillId="0" borderId="0" xfId="0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2" fillId="0" borderId="4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20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20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200" fontId="2" fillId="0" borderId="7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1" fontId="0" fillId="0" borderId="7" xfId="0" applyNumberFormat="1" applyFont="1" applyFill="1" applyBorder="1"/>
    <x:xf numFmtId="201" fontId="2" fillId="0" borderId="0" xfId="0" applyNumberFormat="1" applyFont="1" applyFill="1" applyBorder="1"/>
    <x:xf numFmtId="201" fontId="2" fillId="0" borderId="7" xfId="0" applyNumberFormat="1" applyFont="1" applyFill="1" applyBorder="1"/>
    <x:xf numFmtId="0" fontId="2" fillId="0" borderId="4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201" fontId="2" fillId="0" borderId="7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4" borderId="9" xfId="0" applyNumberFormat="1" applyFont="1" applyFill="1" applyBorder="1"/>
    <x:xf numFmtId="0" fontId="0" fillId="4" borderId="10" xfId="0" applyNumberFormat="1" applyFont="1" applyFill="1" applyBorder="1"/>
    <x:xf numFmtId="0" fontId="1" fillId="4" borderId="9" xfId="0" applyNumberFormat="1" applyFont="1" applyFill="1" applyBorder="1"/>
    <x:xf numFmtId="0" fontId="1" fillId="4" borderId="10" xfId="0" applyNumberFormat="1" applyFont="1" applyFill="1" applyBorder="1"/>
    <x:xf numFmtId="0" fontId="0" fillId="5" borderId="12" xfId="0" applyNumberFormat="1" applyFont="1" applyFill="1" applyBorder="1"/>
    <x:xf numFmtId="0" fontId="0" fillId="5" borderId="14" xfId="0" applyNumberFormat="1" applyFont="1" applyFill="1" applyBorder="1"/>
    <x:xf numFmtId="0" fontId="5" fillId="5" borderId="12" xfId="0" applyNumberFormat="1" applyFont="1" applyFill="1" applyBorder="1"/>
    <x:xf numFmtId="0" fontId="5" fillId="5" borderId="14" xfId="0" applyNumberFormat="1" applyFont="1" applyFill="1" applyBorder="1"/>
    <x:xf numFmtId="202" fontId="5" fillId="5" borderId="12" xfId="0" applyNumberFormat="1" applyFont="1" applyFill="1" applyBorder="1"/>
    <x:xf numFmtId="202" fontId="5" fillId="5" borderId="14" xfId="0" applyNumberFormat="1" applyFont="1" applyFill="1" applyBorder="1"/>
    <x:xf numFmtId="202" fontId="5" fillId="5" borderId="12" xfId="0" applyNumberFormat="1" applyFont="1" applyFill="1" applyBorder="1" applyAlignment="1">
      <x:alignment horizontal="center"/>
    </x:xf>
    <x:xf numFmtId="202" fontId="5" fillId="5" borderId="14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4b0c2926bd45f1" /><Relationship Type="http://schemas.openxmlformats.org/officeDocument/2006/relationships/theme" Target="/xl/theme/theme1.xml" Id="R59a163838d1845b8" /><Relationship Type="http://schemas.openxmlformats.org/officeDocument/2006/relationships/sharedStrings" Target="/xl/sharedStrings.xml" Id="Rcb811c1182b3454d" /><Relationship Type="http://schemas.openxmlformats.org/officeDocument/2006/relationships/worksheet" Target="/xl/worksheets/sheet1.xml" Id="R03b8da16f4354122" /><Relationship Type="http://schemas.openxmlformats.org/officeDocument/2006/relationships/worksheet" Target="/xl/worksheets/sheet2.xml" Id="R61147a1241b94423" /><Relationship Type="http://schemas.openxmlformats.org/officeDocument/2006/relationships/worksheet" Target="/xl/worksheets/sheet3.xml" Id="Rd09b5619081343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4" hidden="0" customWidth="1"/>
    <x:col min="3" max="3" width="3" hidden="0" customWidth="1"/>
    <x:col min="4" max="4" width="21" hidden="0" customWidth="1"/>
    <x:col min="5" max="5" width="12" hidden="0" customWidth="1"/>
  </x:cols>
  <x:sheetData>
    <x:row r="1" ht="28" customHeight="1">
      <x:c r="A1" s="58" t="str">
        <x:v>ForgeLine Inspection Dashboard Export</x:v>
      </x:c>
      <x:c r="B1" s="58"/>
      <x:c r="C1" s="58"/>
      <x:c r="D1" s="58"/>
      <x:c r="E1" s="58"/>
    </x:row>
    <x:row r="2" ht="26" customHeight="1">
      <x:c r="A2" s="63" t="str">
        <x:v>Product Alpha and Product Beta | 2026-08-11 | NCR-026 | tolerance ±0.18 mm</x:v>
      </x:c>
      <x:c r="B2" s="63"/>
      <x:c r="C2" s="63"/>
      <x:c r="D2" s="63"/>
      <x:c r="E2" s="63"/>
    </x:row>
    <x:row r="3" ht="22" customHeight="1"/>
    <x:row r="4" ht="22" customHeight="1">
      <x:c r="A4" s="72" t="str">
        <x:v>Metric</x:v>
      </x:c>
      <x:c r="B4" s="73" t="str">
        <x:v>Current value</x:v>
      </x:c>
      <x:c r="D4" s="72" t="str">
        <x:v>Release review</x:v>
      </x:c>
      <x:c r="E4" s="73" t="str">
        <x:v>Status</x:v>
      </x:c>
    </x:row>
    <x:row r="5" ht="22" customHeight="1">
      <x:c r="A5" s="66" t="str">
        <x:v>Total checks</x:v>
      </x:c>
      <x:c r="B5" s="80" t="n">
        <x:f>COUNTA('Measurements'!A2:A6)</x:f>
        <x:v>5</x:v>
      </x:c>
      <x:c r="D5" s="66" t="str">
        <x:v>Product Alpha trend</x:v>
      </x:c>
      <x:c r="E5" s="67" t="str">
        <x:v>In review</x:v>
      </x:c>
    </x:row>
    <x:row r="6" ht="22" customHeight="1">
      <x:c r="A6" s="66" t="str">
        <x:v>Within tolerance</x:v>
      </x:c>
      <x:c r="B6" s="80" t="n">
        <x:f>COUNTIF('Measurements'!G2:G6,"Accept")</x:f>
        <x:v>3</x:v>
      </x:c>
      <x:c r="D6" s="66" t="str">
        <x:v>Product Beta summary</x:v>
      </x:c>
      <x:c r="E6" s="67" t="str">
        <x:v>Ready</x:v>
      </x:c>
    </x:row>
    <x:row r="7" ht="22" customHeight="1">
      <x:c r="A7" s="68" t="str">
        <x:v>Open NCR-026 actions</x:v>
      </x:c>
      <x:c r="B7" s="81" t="n">
        <x:f>COUNTIF('NCR-026 Actions'!H2:H5,"No")</x:f>
        <x:v>2</x:v>
      </x:c>
      <x:c r="D7" s="68" t="str">
        <x:v>NCR-026 containment</x:v>
      </x:c>
      <x:c r="E7" s="69" t="str">
        <x:v>Active</x:v>
      </x:c>
    </x:row>
  </x:sheetData>
  <x:mergeCells>
    <x:mergeCell ref="A1:E1"/>
    <x:mergeCell ref="A2:E2"/>
  </x:mergeCells>
  <x:printOptions horizontalCentered="1"/>
  <x:pageMargins left="0.25" right="0.25" top="0.35" bottom="0.35" header="0.1" footer="0.1"/>
  <x:pageSetup orientation="landscape" paperSize="9" scale="80" fitToWidth="1" fitToHeight="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4" hidden="0" customWidth="1"/>
    <x:col min="3" max="3" width="17" hidden="0" customWidth="1"/>
    <x:col min="4" max="4" width="12" hidden="0" customWidth="1"/>
    <x:col min="5" max="5" width="11" hidden="0" customWidth="1"/>
    <x:col min="6" max="6" width="13" hidden="0" customWidth="1"/>
    <x:col min="7" max="7" width="12" hidden="0" customWidth="1"/>
    <x:col min="8" max="8" width="10" hidden="0" customWidth="1"/>
  </x:cols>
  <x:sheetData>
    <x:row r="1" ht="28" customHeight="1">
      <x:c r="A1" s="6" t="str">
        <x:v>Action ID</x:v>
      </x:c>
      <x:c r="B1" s="7" t="str">
        <x:v>Containment action</x:v>
      </x:c>
      <x:c r="C1" s="7" t="str">
        <x:v>Owner role</x:v>
      </x:c>
      <x:c r="D1" s="7" t="str">
        <x:v>Due date</x:v>
      </x:c>
      <x:c r="E1" s="7" t="str">
        <x:v>Status</x:v>
      </x:c>
      <x:c r="F1" s="7" t="str">
        <x:v>Evidence</x:v>
      </x:c>
      <x:c r="G1" s="7" t="str">
        <x:v>Target</x:v>
      </x:c>
      <x:c r="H1" s="8" t="str">
        <x:v>Complete</x:v>
      </x:c>
    </x:row>
    <x:row r="2" ht="30" customHeight="1">
      <x:c r="A2" s="32" t="str">
        <x:v>NCR-026-A1</x:v>
      </x:c>
      <x:c r="B2" s="33" t="str">
        <x:v>Segregate dimensional hold lot</x:v>
      </x:c>
      <x:c r="C2" s="33" t="str">
        <x:v>Quality lead</x:v>
      </x:c>
      <x:c r="D2" s="34" t="n">
        <x:v>46245</x:v>
      </x:c>
      <x:c r="E2" s="33" t="str">
        <x:v>Complete</x:v>
      </x:c>
      <x:c r="F2" s="33" t="str">
        <x:v>Hold log</x:v>
      </x:c>
      <x:c r="G2" s="33" t="str">
        <x:v>2026-08-11</x:v>
      </x:c>
      <x:c r="H2" s="35" t="str">
        <x:v>Yes</x:v>
      </x:c>
    </x:row>
    <x:row r="3" ht="30" customHeight="1">
      <x:c r="A3" s="32" t="str">
        <x:v>NCR-026-A2</x:v>
      </x:c>
      <x:c r="B3" s="33" t="str">
        <x:v>Confirm fixture zero before run</x:v>
      </x:c>
      <x:c r="C3" s="33" t="str">
        <x:v>Manufacturing tech</x:v>
      </x:c>
      <x:c r="D3" s="34" t="n">
        <x:v>46246</x:v>
      </x:c>
      <x:c r="E3" s="33" t="str">
        <x:v>Complete</x:v>
      </x:c>
      <x:c r="F3" s="33" t="str">
        <x:v>Fixture check</x:v>
      </x:c>
      <x:c r="G3" s="33" t="str">
        <x:v>2026-08-12</x:v>
      </x:c>
      <x:c r="H3" s="35" t="str">
        <x:v>Yes</x:v>
      </x:c>
    </x:row>
    <x:row r="4" ht="30" customHeight="1">
      <x:c r="A4" s="32" t="str">
        <x:v>NCR-026-A3</x:v>
      </x:c>
      <x:c r="B4" s="33" t="str">
        <x:v>Review Product Alpha tolerance trend</x:v>
      </x:c>
      <x:c r="C4" s="33" t="str">
        <x:v>Quality engineer</x:v>
      </x:c>
      <x:c r="D4" s="34" t="n">
        <x:v>46248</x:v>
      </x:c>
      <x:c r="E4" s="33" t="str">
        <x:v>In review</x:v>
      </x:c>
      <x:c r="F4" s="33" t="str">
        <x:v>Trend review</x:v>
      </x:c>
      <x:c r="G4" s="33" t="str">
        <x:v>2026-08-14</x:v>
      </x:c>
      <x:c r="H4" s="35" t="str">
        <x:v>No</x:v>
      </x:c>
    </x:row>
    <x:row r="5" ht="30" customHeight="1">
      <x:c r="A5" s="36" t="str">
        <x:v>NCR-026-A4</x:v>
      </x:c>
      <x:c r="B5" s="37" t="str">
        <x:v>Release corrective action summary</x:v>
      </x:c>
      <x:c r="C5" s="37" t="str">
        <x:v>Quality manager</x:v>
      </x:c>
      <x:c r="D5" s="38" t="n">
        <x:v>46252</x:v>
      </x:c>
      <x:c r="E5" s="37" t="str">
        <x:v>Planned</x:v>
      </x:c>
      <x:c r="F5" s="37" t="str">
        <x:v>Approval record</x:v>
      </x:c>
      <x:c r="G5" s="37" t="str">
        <x:v>2026-08-18</x:v>
      </x:c>
      <x:c r="H5" s="39" t="str">
        <x:v>No</x:v>
      </x:c>
    </x:row>
  </x:sheetData>
  <x:printOptions horizontalCentered="1"/>
  <x:pageMargins left="0.25" right="0.25" top="0.35" bottom="0.35" header="0.1" footer="0.1"/>
  <x:pageSetup orientation="landscape" paperSize="9" scale="80" fitToWidth="1" fitToHeight="1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12" hidden="0" customWidth="1"/>
    <x:col min="4" max="4" width="13" hidden="0" customWidth="1"/>
    <x:col min="5" max="5" width="13" hidden="0" customWidth="1"/>
    <x:col min="6" max="6" width="14" hidden="0" customWidth="1"/>
    <x:col min="7" max="7" width="11" hidden="0" customWidth="1"/>
  </x:cols>
  <x:sheetData>
    <x:row r="1" ht="30" customHeight="1">
      <x:c r="A1" s="42" t="str">
        <x:v>Run</x:v>
      </x:c>
      <x:c r="B1" s="43" t="str">
        <x:v>Product</x:v>
      </x:c>
      <x:c r="C1" s="43" t="str">
        <x:v>Nominal mm</x:v>
      </x:c>
      <x:c r="D1" s="43" t="str">
        <x:v>Measured mm</x:v>
      </x:c>
      <x:c r="E1" s="43" t="str">
        <x:v>Deviation mm</x:v>
      </x:c>
      <x:c r="F1" s="43" t="str">
        <x:v>Tolerance mm</x:v>
      </x:c>
      <x:c r="G1" s="44" t="str">
        <x:v>Disposition</x:v>
      </x:c>
    </x:row>
    <x:row r="2" ht="22" customHeight="1">
      <x:c r="A2" s="48" t="str">
        <x:v>FL-0811-01</x:v>
      </x:c>
      <x:c r="B2" s="49" t="str">
        <x:v>Product Alpha</x:v>
      </x:c>
      <x:c r="C2" s="50" t="n">
        <x:v>12</x:v>
      </x:c>
      <x:c r="D2" s="50" t="n">
        <x:v>12.1</x:v>
      </x:c>
      <x:c r="E2" s="50" t="n">
        <x:f>D2-C2</x:f>
        <x:v>0.09999999999999964</x:v>
      </x:c>
      <x:c r="F2" s="50" t="n">
        <x:v>0.18</x:v>
      </x:c>
      <x:c r="G2" s="51" t="str">
        <x:f>IF(ABS(E2)&lt;=F2,"Accept","Review")</x:f>
        <x:v>Accept</x:v>
      </x:c>
    </x:row>
    <x:row r="3" ht="22" customHeight="1">
      <x:c r="A3" s="48" t="str">
        <x:v>FL-0811-02</x:v>
      </x:c>
      <x:c r="B3" s="49" t="str">
        <x:v>Product Alpha</x:v>
      </x:c>
      <x:c r="C3" s="50" t="n">
        <x:v>12</x:v>
      </x:c>
      <x:c r="D3" s="50" t="n">
        <x:v>11.86</x:v>
      </x:c>
      <x:c r="E3" s="50" t="n">
        <x:f>D3-C3</x:f>
        <x:v>-0.14000000000000057</x:v>
      </x:c>
      <x:c r="F3" s="50" t="n">
        <x:v>0.18</x:v>
      </x:c>
      <x:c r="G3" s="51" t="str">
        <x:f>IF(ABS(E3)&lt;=F3,"Accept","Review")</x:f>
        <x:v>Accept</x:v>
      </x:c>
    </x:row>
    <x:row r="4" ht="22" customHeight="1">
      <x:c r="A4" s="48" t="str">
        <x:v>FL-0811-03</x:v>
      </x:c>
      <x:c r="B4" s="49" t="str">
        <x:v>Product Beta</x:v>
      </x:c>
      <x:c r="C4" s="50" t="n">
        <x:v>8.5</x:v>
      </x:c>
      <x:c r="D4" s="50" t="n">
        <x:v>8.66</x:v>
      </x:c>
      <x:c r="E4" s="50" t="n">
        <x:f>D4-C4</x:f>
        <x:v>0.16000000000000014</x:v>
      </x:c>
      <x:c r="F4" s="50" t="n">
        <x:v>0.18</x:v>
      </x:c>
      <x:c r="G4" s="51" t="str">
        <x:f>IF(ABS(E4)&lt;=F4,"Accept","Review")</x:f>
        <x:v>Accept</x:v>
      </x:c>
    </x:row>
    <x:row r="5" ht="22" customHeight="1">
      <x:c r="A5" s="48" t="str">
        <x:v>FL-0811-04</x:v>
      </x:c>
      <x:c r="B5" s="49" t="str">
        <x:v>Product Beta</x:v>
      </x:c>
      <x:c r="C5" s="50" t="n">
        <x:v>8.5</x:v>
      </x:c>
      <x:c r="D5" s="50" t="n">
        <x:v>8.29</x:v>
      </x:c>
      <x:c r="E5" s="50" t="n">
        <x:f>D5-C5</x:f>
        <x:v>-0.21000000000000085</x:v>
      </x:c>
      <x:c r="F5" s="50" t="n">
        <x:v>0.18</x:v>
      </x:c>
      <x:c r="G5" s="51" t="str">
        <x:f>IF(ABS(E5)&lt;=F5,"Accept","Review")</x:f>
        <x:v>Review</x:v>
      </x:c>
    </x:row>
    <x:row r="6" ht="22" customHeight="1">
      <x:c r="A6" s="52" t="str">
        <x:v>FL-0811-05</x:v>
      </x:c>
      <x:c r="B6" s="53" t="str">
        <x:v>Product Alpha</x:v>
      </x:c>
      <x:c r="C6" s="54" t="n">
        <x:v>12</x:v>
      </x:c>
      <x:c r="D6" s="54" t="n">
        <x:v>12.19</x:v>
      </x:c>
      <x:c r="E6" s="54" t="n">
        <x:f>D6-C6</x:f>
        <x:v>0.1899999999999995</x:v>
      </x:c>
      <x:c r="F6" s="54" t="n">
        <x:v>0.18</x:v>
      </x:c>
      <x:c r="G6" s="55" t="str">
        <x:f>IF(ABS(E6)&lt;=F6,"Accept","Review")</x:f>
        <x:v>Review</x:v>
      </x:c>
    </x:row>
  </x:sheetData>
  <x:printOptions horizontalCentered="1"/>
  <x:pageMargins left="0.25" right="0.25" top="0.35" bottom="0.35" header="0.1" footer="0.1"/>
  <x:pageSetup orientation="landscape" paperSize="9" scale="80" fitToWidth="1" fitToHeight="1"/>
</x:worksheet>
</file>