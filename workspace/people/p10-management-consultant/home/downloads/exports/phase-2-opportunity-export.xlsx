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5cf7f0516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9a1c9877b14eac"/>
    <x:sheet xmlns:r="http://schemas.openxmlformats.org/officeDocument/2006/relationships" name="Data" sheetId="2" r:id="R16624dfa74254c08"/>
    <x:sheet xmlns:r="http://schemas.openxmlformats.org/officeDocument/2006/relationships" name="Checks" sheetId="3" r:id="Rd428a978e1d8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;(¥#,##0);-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F4D5A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9D3DF"/>
      </x:left>
      <x:top style="thin">
        <x:color rgb="FFC9D3DF"/>
      </x:top>
    </x:border>
    <x:border>
      <x:right style="thin">
        <x:color rgb="FFC9D3DF"/>
      </x:right>
      <x:top style="thin">
        <x:color rgb="FFC9D3DF"/>
      </x:top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53bfd673a4f08" /><Relationship Type="http://schemas.openxmlformats.org/officeDocument/2006/relationships/theme" Target="/xl/theme/theme1.xml" Id="Rf0b3100093224032" /><Relationship Type="http://schemas.openxmlformats.org/officeDocument/2006/relationships/sharedStrings" Target="/xl/sharedStrings.xml" Id="R89f9a067da85469c" /><Relationship Type="http://schemas.openxmlformats.org/officeDocument/2006/relationships/worksheet" Target="/xl/worksheets/sheet1.xml" Id="R809a1c9877b14eac" /><Relationship Type="http://schemas.openxmlformats.org/officeDocument/2006/relationships/worksheet" Target="/xl/worksheets/sheet2.xml" Id="R16624dfa74254c08" /><Relationship Type="http://schemas.openxmlformats.org/officeDocument/2006/relationships/worksheet" Target="/xl/worksheets/sheet3.xml" Id="Rd428a978e1d84a94" /></Relationships>
</file>

<file path=xl/tables/table1.xml><?xml version="1.0" encoding="utf-8"?>
<x:table xmlns:x="http://schemas.openxmlformats.org/spreadsheetml/2006/main" id="1" name="BetaPortfolio" displayName="BetaPortfolio" ref="A3:H9" headerRowCount="1" totalsRowCount="0" totalsRowShown="0">
  <x:tableColumns count="8">
    <x:tableColumn id="1" name="Opportunity ID"/>
    <x:tableColumn id="2" name="Opportunity"/>
    <x:tableColumn id="3" name="Portfolio Owner"/>
    <x:tableColumn id="4" name="Confidence"/>
    <x:tableColumn id="5" name="Baseline (JPY)"/>
    <x:tableColumn id="6" name="Scenario (JPY)"/>
    <x:tableColumn id="7" name="Variance (JPY)"/>
    <x:tableColumn id="8" name="S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taChecks" displayName="BetaChecks" ref="A3:D6" headerRowCount="1" totalsRowCount="0" totalsRowShown="0">
  <x:tableColumns count="4">
    <x:tableColumn id="1" name="Check"/>
    <x:tableColumn id="2" name="Result"/>
    <x:tableColumn id="3" name="Delta"/>
    <x:tableColumn id="4" name="Where to fi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925c22b4b249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362990c9614f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7" customHeight="1">
      <x:c r="A1" s="3" t="str">
        <x:v>Phase 2 | Opportunity Export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Client Beta portfolio reference • Summit Vale Advisory • candidate opportunities</x:v>
      </x:c>
    </x:row>
    <x:row r="4">
      <x:c r="A4" s="9" t="str">
        <x:v>As of</x:v>
      </x:c>
      <x:c r="B4" s="15" t="n">
        <x:v>46216</x:v>
      </x:c>
      <x:c r="D4" s="27" t="str">
        <x:v>Portfolio baseline (JPY)</x:v>
      </x:c>
      <x:c r="E4" s="28" t="str">
        <x:v>Scenario forecast (JPY)</x:v>
      </x:c>
      <x:c r="F4" s="28" t="str">
        <x:v>Variance (JPY)</x:v>
      </x:c>
      <x:c r="G4" s="28" t="str">
        <x:v>Variance %</x:v>
      </x:c>
      <x:c r="H4" s="29" t="str">
        <x:v>Workstreams</x:v>
      </x:c>
    </x:row>
    <x:row r="5">
      <x:c r="A5" s="11" t="str">
        <x:v>Owner</x:v>
      </x:c>
      <x:c r="B5" s="12" t="str">
        <x:v>Owen Fujita, Portfolio Lead</x:v>
      </x:c>
      <x:c r="D5" s="30" t="n">
        <x:f>SUM(Data!E4:E9)</x:f>
        <x:v>56400000</x:v>
      </x:c>
      <x:c r="E5" s="30" t="n">
        <x:f>SUM(Data!F4:F9)</x:f>
        <x:v>57200000</x:v>
      </x:c>
      <x:c r="F5" s="30" t="n">
        <x:f>E5-D5</x:f>
        <x:v>800000</x:v>
      </x:c>
      <x:c r="G5" s="31" t="n">
        <x:f>F5/D5</x:f>
        <x:v>0.014184397163120567</x:v>
      </x:c>
      <x:c r="H5" s="32" t="n">
        <x:f>COUNTA(Data!A4:A9)</x:f>
        <x:v>6</x:v>
      </x:c>
    </x:row>
    <x:row r="6">
      <x:c r="A6" s="11" t="str">
        <x:v>Source</x:v>
      </x:c>
      <x:c r="B6" s="12" t="str">
        <x:v>Synthetic portfolio baseline v2.0</x:v>
      </x:c>
    </x:row>
    <x:row r="7">
      <x:c r="A7" s="13" t="str">
        <x:v>Portfolio</x:v>
      </x:c>
      <x:c r="B7" s="14" t="str">
        <x:v>Summit Vale Advisory | Synthetic consulting export</x:v>
      </x:c>
    </x:row>
    <x:row r="10">
      <x:c r="A10" s="8" t="str">
        <x:v>Portfolio reference</x:v>
      </x:c>
      <x:c r="B10" s="8"/>
      <x:c r="C10" s="8"/>
      <x:c r="D10" s="8"/>
      <x:c r="E10" s="8"/>
      <x:c r="F10" s="8"/>
      <x:c r="G10" s="8"/>
      <x:c r="H10" s="8"/>
    </x:row>
    <x:row r="11">
      <x:c r="A11" s="33" t="str">
        <x:v>Client Beta Phase 2 is tracked as a portfolio reference. This export separates value cases from execution confidence for review by the internal portfolio committee.</x:v>
      </x:c>
    </x:row>
  </x:sheetData>
  <x:mergeCells>
    <x:mergeCell ref="A1:H1"/>
    <x:mergeCell ref="A2:H2"/>
    <x:mergeCell ref="A10:H10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18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34" t="str">
        <x:v>Phase 2 | opportunity data extract</x:v>
      </x:c>
      <x:c r="B1" s="34"/>
      <x:c r="C1" s="34"/>
      <x:c r="D1" s="34"/>
      <x:c r="E1" s="34"/>
      <x:c r="F1" s="34"/>
      <x:c r="G1" s="34"/>
      <x:c r="H1" s="34"/>
    </x:row>
    <x:row r="3">
      <x:c r="A3" s="27" t="str">
        <x:v>Opportunity ID</x:v>
      </x:c>
      <x:c r="B3" s="28" t="str">
        <x:v>Opportunity</x:v>
      </x:c>
      <x:c r="C3" s="28" t="str">
        <x:v>Portfolio Owner</x:v>
      </x:c>
      <x:c r="D3" s="28" t="str">
        <x:v>Confidence</x:v>
      </x:c>
      <x:c r="E3" s="28" t="str">
        <x:v>Baseline (JPY)</x:v>
      </x:c>
      <x:c r="F3" s="28" t="str">
        <x:v>Scenario (JPY)</x:v>
      </x:c>
      <x:c r="G3" s="28" t="str">
        <x:v>Variance (JPY)</x:v>
      </x:c>
      <x:c r="H3" s="29" t="str">
        <x:v>Stage</x:v>
      </x:c>
    </x:row>
    <x:row r="4">
      <x:c r="A4" t="str">
        <x:v>CB-P2-101</x:v>
      </x:c>
      <x:c r="B4" t="str">
        <x:v>Service delivery simplification</x:v>
      </x:c>
      <x:c r="C4" t="str">
        <x:v>Ema Kuroda</x:v>
      </x:c>
      <x:c r="D4" s="31" t="n">
        <x:v>0.78</x:v>
      </x:c>
      <x:c r="E4" s="30" t="n">
        <x:v>11800000</x:v>
      </x:c>
      <x:c r="F4" s="30" t="n">
        <x:v>12600000</x:v>
      </x:c>
      <x:c r="G4" s="30" t="n">
        <x:f>F4-E4</x:f>
        <x:v>800000</x:v>
      </x:c>
      <x:c r="H4" t="str">
        <x:v>Validate</x:v>
      </x:c>
    </x:row>
    <x:row r="5">
      <x:c r="A5" t="str">
        <x:v>CB-P2-102</x:v>
      </x:c>
      <x:c r="B5" t="str">
        <x:v>Commercial pipeline reset</x:v>
      </x:c>
      <x:c r="C5" t="str">
        <x:v>Hiro Yamada</x:v>
      </x:c>
      <x:c r="D5" s="31" t="n">
        <x:v>0.64</x:v>
      </x:c>
      <x:c r="E5" s="30" t="n">
        <x:v>9600000</x:v>
      </x:c>
      <x:c r="F5" s="30" t="n">
        <x:v>9100000</x:v>
      </x:c>
      <x:c r="G5" s="30" t="n">
        <x:f>F5-E5</x:f>
        <x:v>-500000</x:v>
      </x:c>
      <x:c r="H5" t="str">
        <x:v>Develop</x:v>
      </x:c>
    </x:row>
    <x:row r="6">
      <x:c r="A6" t="str">
        <x:v>CB-P2-103</x:v>
      </x:c>
      <x:c r="B6" t="str">
        <x:v>Shared services design</x:v>
      </x:c>
      <x:c r="C6" t="str">
        <x:v>Sora Inoue</x:v>
      </x:c>
      <x:c r="D6" s="31" t="n">
        <x:v>0.72</x:v>
      </x:c>
      <x:c r="E6" s="30" t="n">
        <x:v>13500000</x:v>
      </x:c>
      <x:c r="F6" s="30" t="n">
        <x:v>14100000</x:v>
      </x:c>
      <x:c r="G6" s="30" t="n">
        <x:f>F6-E6</x:f>
        <x:v>600000</x:v>
      </x:c>
      <x:c r="H6" t="str">
        <x:v>Validate</x:v>
      </x:c>
    </x:row>
    <x:row r="7">
      <x:c r="A7" t="str">
        <x:v>CB-P2-104</x:v>
      </x:c>
      <x:c r="B7" t="str">
        <x:v>Digital demand triage</x:v>
      </x:c>
      <x:c r="C7" t="str">
        <x:v>Kaito Abe</x:v>
      </x:c>
      <x:c r="D7" s="31" t="n">
        <x:v>0.58</x:v>
      </x:c>
      <x:c r="E7" s="30" t="n">
        <x:v>8200000</x:v>
      </x:c>
      <x:c r="F7" s="30" t="n">
        <x:v>7600000</x:v>
      </x:c>
      <x:c r="G7" s="30" t="n">
        <x:f>F7-E7</x:f>
        <x:v>-600000</x:v>
      </x:c>
      <x:c r="H7" t="str">
        <x:v>Develop</x:v>
      </x:c>
    </x:row>
    <x:row r="8">
      <x:c r="A8" t="str">
        <x:v>CB-P2-105</x:v>
      </x:c>
      <x:c r="B8" t="str">
        <x:v>Partner enablement</x:v>
      </x:c>
      <x:c r="C8" t="str">
        <x:v>Rina Shimizu</x:v>
      </x:c>
      <x:c r="D8" s="31" t="n">
        <x:v>0.69</x:v>
      </x:c>
      <x:c r="E8" s="30" t="n">
        <x:v>7400000</x:v>
      </x:c>
      <x:c r="F8" s="30" t="n">
        <x:v>7700000</x:v>
      </x:c>
      <x:c r="G8" s="30" t="n">
        <x:f>F8-E8</x:f>
        <x:v>300000</x:v>
      </x:c>
      <x:c r="H8" t="str">
        <x:v>Pilot</x:v>
      </x:c>
    </x:row>
    <x:row r="9">
      <x:c r="A9" t="str">
        <x:v>CB-P2-106</x:v>
      </x:c>
      <x:c r="B9" t="str">
        <x:v>Contract renewal playbook</x:v>
      </x:c>
      <x:c r="C9" t="str">
        <x:v>Yui Matsuda</x:v>
      </x:c>
      <x:c r="D9" s="31" t="n">
        <x:v>0.81</x:v>
      </x:c>
      <x:c r="E9" s="30" t="n">
        <x:v>5900000</x:v>
      </x:c>
      <x:c r="F9" s="30" t="n">
        <x:v>6100000</x:v>
      </x:c>
      <x:c r="G9" s="30" t="n">
        <x:f>F9-E9</x:f>
        <x:v>200000</x:v>
      </x:c>
      <x:c r="H9" t="str">
        <x:v>Scale</x:v>
      </x:c>
    </x:row>
  </x:sheetData>
  <x:mergeCells>
    <x:mergeCell ref="A1:H1"/>
  </x:mergeCells>
  <x:dataValidations count="1">
    <x:dataValidation type="list" sqref="H4:H9">
      <x:formula1>"Develop,Validate,Pilot,Scale"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925c22b4b249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9" hidden="0" customWidth="1"/>
  </x:cols>
  <x:sheetData>
    <x:row r="1">
      <x:c r="A1" s="34" t="str">
        <x:v>Phase 2 | export checks</x:v>
      </x:c>
      <x:c r="B1" s="34"/>
      <x:c r="C1" s="34"/>
      <x:c r="D1" s="34"/>
    </x:row>
    <x:row r="3">
      <x:c r="A3" s="27" t="str">
        <x:v>Check</x:v>
      </x:c>
      <x:c r="B3" s="28" t="str">
        <x:v>Result</x:v>
      </x:c>
      <x:c r="C3" s="28" t="str">
        <x:v>Delta</x:v>
      </x:c>
      <x:c r="D3" s="29" t="str">
        <x:v>Where to fix</x:v>
      </x:c>
    </x:row>
    <x:row r="4">
      <x:c r="A4" t="str">
        <x:v>Portfolio opportunity count</x:v>
      </x:c>
      <x:c r="B4" t="str">
        <x:f>IF(COUNTA(Data!A4:A9)=6,"PASS","FAIL")</x:f>
        <x:v>PASS</x:v>
      </x:c>
      <x:c r="C4" t="n">
        <x:f>COUNTA(Data!A4:A9)-6</x:f>
        <x:v>0</x:v>
      </x:c>
      <x:c r="D4" t="str">
        <x:v>Data!A4:A9</x:v>
      </x:c>
    </x:row>
    <x:row r="5">
      <x:c r="A5" t="str">
        <x:v>Scenario values populated</x:v>
      </x:c>
      <x:c r="B5" t="str">
        <x:f>IF(COUNTA(Data!F4:F9)=6,"PASS","FAIL")</x:f>
        <x:v>PASS</x:v>
      </x:c>
      <x:c r="C5" t="n">
        <x:f>COUNTA(Data!F4:F9)-6</x:f>
        <x:v>0</x:v>
      </x:c>
      <x:c r="D5" t="str">
        <x:v>Data!F4:F9</x:v>
      </x:c>
    </x:row>
    <x:row r="6">
      <x:c r="A6" t="str">
        <x:v>Confidence range</x:v>
      </x:c>
      <x:c r="B6" t="str">
        <x:f>IF(AND(MIN(Data!D4:D9)&gt;=0,MAX(Data!D4:D9)&lt;=1),"PASS","FAIL")</x:f>
        <x:v>PASS</x:v>
      </x:c>
      <x:c r="C6" t="n">
        <x:f>MAX(Data!D4:D9)-1</x:f>
        <x:v>-0.18999999999999995</x:v>
      </x:c>
      <x:c r="D6" t="str">
        <x:v>Data!D4:D9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8362990c9614fc0"/>
  </x:tableParts>
</x:worksheet>
</file>