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93f28b429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85d0d5ebf8475e"/>
    <x:sheet xmlns:r="http://schemas.openxmlformats.org/officeDocument/2006/relationships" name="Data" sheetId="2" r:id="R375a91d30ced4f9d"/>
    <x:sheet xmlns:r="http://schemas.openxmlformats.org/officeDocument/2006/relationships" name="Checks" sheetId="3" r:id="R80b1b5930e7a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;(¥#,##0);-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F4D5A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C9D3DF"/>
      </x:left>
      <x:top style="thin">
        <x:color rgb="FFC9D3DF"/>
      </x:top>
    </x:border>
    <x:border>
      <x:right style="thin">
        <x:color rgb="FFC9D3DF"/>
      </x:right>
      <x:top style="thin">
        <x:color rgb="FFC9D3DF"/>
      </x:top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top style="thin">
        <x:color rgb="FFC9D3DF"/>
      </x:top>
    </x:border>
    <x:border>
      <x:bottom style="thin">
        <x:color rgb="FFC9D3D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11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762526d8d49a8" /><Relationship Type="http://schemas.openxmlformats.org/officeDocument/2006/relationships/theme" Target="/xl/theme/theme1.xml" Id="R91cfff72af1f498d" /><Relationship Type="http://schemas.openxmlformats.org/officeDocument/2006/relationships/sharedStrings" Target="/xl/sharedStrings.xml" Id="Rc83b92c2d63a4806" /><Relationship Type="http://schemas.openxmlformats.org/officeDocument/2006/relationships/worksheet" Target="/xl/worksheets/sheet1.xml" Id="R6385d0d5ebf8475e" /><Relationship Type="http://schemas.openxmlformats.org/officeDocument/2006/relationships/worksheet" Target="/xl/worksheets/sheet2.xml" Id="R375a91d30ced4f9d" /><Relationship Type="http://schemas.openxmlformats.org/officeDocument/2006/relationships/worksheet" Target="/xl/worksheets/sheet3.xml" Id="R80b1b5930e7a4f77" /></Relationships>
</file>

<file path=xl/tables/table1.xml><?xml version="1.0" encoding="utf-8"?>
<x:table xmlns:x="http://schemas.openxmlformats.org/spreadsheetml/2006/main" id="1" name="AlphaInitiatives" displayName="AlphaInitiatives" ref="A3:H9" headerRowCount="1" totalsRowCount="0" totalsRowShown="0">
  <x:tableColumns count="8">
    <x:tableColumn id="1" name="Initiative ID"/>
    <x:tableColumn id="2" name="Initiative"/>
    <x:tableColumn id="3" name="Owner"/>
    <x:tableColumn id="4" name="Status"/>
    <x:tableColumn id="5" name="Approved Budget (JPY)"/>
    <x:tableColumn id="6" name="Forecast (JPY)"/>
    <x:tableColumn id="7" name="Variance (JPY)"/>
    <x:tableColumn id="8" name="Variance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phaChecks" displayName="AlphaChecks" ref="A3:D6" headerRowCount="1" totalsRowCount="0" totalsRowShown="0">
  <x:tableColumns count="4">
    <x:tableColumn id="1" name="Check"/>
    <x:tableColumn id="2" name="Result"/>
    <x:tableColumn id="3" name="Delta"/>
    <x:tableColumn id="4" name="Where to fi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97113edbc40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48000287fb4c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7" customHeight="1">
      <x:c r="A1" s="3" t="str">
        <x:v>Client Alpha | Phase 1 Finance Analysis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Recipient-ready export • Summit Vale Advisory • workstream Finance</x:v>
      </x:c>
    </x:row>
    <x:row r="4">
      <x:c r="A4" s="9" t="str">
        <x:v>As of</x:v>
      </x:c>
      <x:c r="B4" s="15" t="n">
        <x:v>46216</x:v>
      </x:c>
      <x:c r="D4" s="27" t="str">
        <x:v>Approved budget (JPY)</x:v>
      </x:c>
      <x:c r="E4" s="28" t="str">
        <x:v>Forecast (JPY)</x:v>
      </x:c>
      <x:c r="F4" s="28" t="str">
        <x:v>Variance (JPY)</x:v>
      </x:c>
      <x:c r="G4" s="28" t="str">
        <x:v>Variance %</x:v>
      </x:c>
      <x:c r="H4" s="29" t="str">
        <x:v>Initiatives</x:v>
      </x:c>
    </x:row>
    <x:row r="5">
      <x:c r="A5" s="11" t="str">
        <x:v>Owner</x:v>
      </x:c>
      <x:c r="B5" s="12" t="str">
        <x:v>Mina Arakawa, Engagement Manager</x:v>
      </x:c>
      <x:c r="D5" s="30" t="n">
        <x:f>SUM(Data!$E$4:$E$9)</x:f>
        <x:v>42800000</x:v>
      </x:c>
      <x:c r="E5" s="30" t="n">
        <x:f>SUM(Data!$F$4:$F$9)</x:f>
        <x:v>43600000</x:v>
      </x:c>
      <x:c r="F5" s="33" t="n">
        <x:f>E5-D5</x:f>
        <x:v>800000</x:v>
      </x:c>
      <x:c r="G5" s="34" t="n">
        <x:f>F5/D5</x:f>
        <x:v>0.018691588785046728</x:v>
      </x:c>
      <x:c r="H5" s="32" t="n">
        <x:f>COUNTA(Data!$A$4:$A$9)</x:f>
        <x:v>6</x:v>
      </x:c>
    </x:row>
    <x:row r="6">
      <x:c r="A6" s="11" t="str">
        <x:v>Source</x:v>
      </x:c>
      <x:c r="B6" s="12" t="str">
        <x:v>Synthetic workstream model v1.2</x:v>
      </x:c>
    </x:row>
    <x:row r="7">
      <x:c r="A7" s="13" t="str">
        <x:v>Portfolio</x:v>
      </x:c>
      <x:c r="B7" s="14" t="str">
        <x:v>Summit Vale Advisory | Synthetic consulting export</x:v>
      </x:c>
    </x:row>
    <x:row r="10">
      <x:c r="A10" s="8" t="str">
        <x:v>Management takeaways</x:v>
      </x:c>
      <x:c r="B10" s="8"/>
      <x:c r="C10" s="8"/>
      <x:c r="D10" s="8"/>
      <x:c r="E10" s="8"/>
      <x:c r="F10" s="8"/>
      <x:c r="G10" s="8"/>
      <x:c r="H10" s="8"/>
    </x:row>
    <x:row r="11">
      <x:c r="A11" s="37" t="str">
        <x:v>Finance budget is fixed at ¥42.8M. Current forecast is driven by the listed initiative workplans; prioritise the two watch items before the Phase 1 steering discussion.</x:v>
      </x:c>
      <x:c r="B11" s="38"/>
      <x:c r="C11" s="38"/>
      <x:c r="D11" s="38"/>
      <x:c r="E11" s="38"/>
      <x:c r="F11" s="38"/>
      <x:c r="G11" s="38"/>
      <x:c r="H11" s="10"/>
    </x:row>
    <x:row r="12">
      <x:c r="A12" s="39"/>
      <x:c r="B12" s="40"/>
      <x:c r="C12" s="40"/>
      <x:c r="D12" s="40"/>
      <x:c r="E12" s="40"/>
      <x:c r="F12" s="40"/>
      <x:c r="G12" s="40"/>
      <x:c r="H12" s="12"/>
    </x:row>
    <x:row r="13">
      <x:c r="A13" s="41"/>
      <x:c r="B13" s="42"/>
      <x:c r="C13" s="42"/>
      <x:c r="D13" s="42"/>
      <x:c r="E13" s="42"/>
      <x:c r="F13" s="42"/>
      <x:c r="G13" s="42"/>
      <x:c r="H13" s="14"/>
    </x:row>
  </x:sheetData>
  <x:mergeCells>
    <x:mergeCell ref="A1:H1"/>
    <x:mergeCell ref="A2:H2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19" hidden="0" customWidth="1"/>
    <x:col min="6" max="6" width="19" hidden="0" customWidth="1"/>
    <x:col min="7" max="7" width="18" hidden="0" customWidth="1"/>
    <x:col min="8" max="8" width="12" hidden="0" customWidth="1"/>
  </x:cols>
  <x:sheetData>
    <x:row r="1">
      <x:c r="A1" s="43" t="str">
        <x:v>Client Alpha | Finance initiative detail</x:v>
      </x:c>
      <x:c r="B1" s="43"/>
      <x:c r="C1" s="43"/>
      <x:c r="D1" s="43"/>
      <x:c r="E1" s="43"/>
      <x:c r="F1" s="43"/>
      <x:c r="G1" s="43"/>
      <x:c r="H1" s="43"/>
    </x:row>
    <x:row r="3">
      <x:c r="A3" s="27" t="str">
        <x:v>Initiative ID</x:v>
      </x:c>
      <x:c r="B3" s="28" t="str">
        <x:v>Initiative</x:v>
      </x:c>
      <x:c r="C3" s="28" t="str">
        <x:v>Owner</x:v>
      </x:c>
      <x:c r="D3" s="28" t="str">
        <x:v>Status</x:v>
      </x:c>
      <x:c r="E3" s="28" t="str">
        <x:v>Approved Budget (JPY)</x:v>
      </x:c>
      <x:c r="F3" s="28" t="str">
        <x:v>Forecast (JPY)</x:v>
      </x:c>
      <x:c r="G3" s="28" t="str">
        <x:v>Variance (JPY)</x:v>
      </x:c>
      <x:c r="H3" s="29" t="str">
        <x:v>Variance %</x:v>
      </x:c>
    </x:row>
    <x:row r="4">
      <x:c r="A4" t="str">
        <x:v>CA-FIN-001</x:v>
      </x:c>
      <x:c r="B4" t="str">
        <x:v>Close acceleration</x:v>
      </x:c>
      <x:c r="C4" t="str">
        <x:v>Nora Saito</x:v>
      </x:c>
      <x:c r="D4" t="str">
        <x:v>On track</x:v>
      </x:c>
      <x:c r="E4" s="30" t="n">
        <x:v>7800000</x:v>
      </x:c>
      <x:c r="F4" s="30" t="n">
        <x:v>7600000</x:v>
      </x:c>
      <x:c r="G4" s="30" t="n">
        <x:f>F4-E4</x:f>
        <x:v>-200000</x:v>
      </x:c>
      <x:c r="H4" s="31" t="n">
        <x:f>G4/E4</x:f>
        <x:v>-0.02564102564102564</x:v>
      </x:c>
    </x:row>
    <x:row r="5">
      <x:c r="A5" t="str">
        <x:v>CA-FIN-002</x:v>
      </x:c>
      <x:c r="B5" t="str">
        <x:v>Procurement controls</x:v>
      </x:c>
      <x:c r="C5" t="str">
        <x:v>Daisuke Mori</x:v>
      </x:c>
      <x:c r="D5" t="str">
        <x:v>Watch</x:v>
      </x:c>
      <x:c r="E5" s="30" t="n">
        <x:v>6200000</x:v>
      </x:c>
      <x:c r="F5" s="30" t="n">
        <x:v>6800000</x:v>
      </x:c>
      <x:c r="G5" s="30" t="n">
        <x:f>F5-E5</x:f>
        <x:v>600000</x:v>
      </x:c>
      <x:c r="H5" s="31" t="n">
        <x:f>G5/E5</x:f>
        <x:v>0.0967741935483871</x:v>
      </x:c>
    </x:row>
    <x:row r="6">
      <x:c r="A6" t="str">
        <x:v>CA-FIN-003</x:v>
      </x:c>
      <x:c r="B6" t="str">
        <x:v>Working capital cadence</x:v>
      </x:c>
      <x:c r="C6" t="str">
        <x:v>Aya Kondo</x:v>
      </x:c>
      <x:c r="D6" t="str">
        <x:v>On track</x:v>
      </x:c>
      <x:c r="E6" s="30" t="n">
        <x:v>7100000</x:v>
      </x:c>
      <x:c r="F6" s="30" t="n">
        <x:v>7050000</x:v>
      </x:c>
      <x:c r="G6" s="30" t="n">
        <x:f>F6-E6</x:f>
        <x:v>-50000</x:v>
      </x:c>
      <x:c r="H6" s="31" t="n">
        <x:f>G6/E6</x:f>
        <x:v>-0.007042253521126761</x:v>
      </x:c>
    </x:row>
    <x:row r="7">
      <x:c r="A7" t="str">
        <x:v>CA-FIN-004</x:v>
      </x:c>
      <x:c r="B7" t="str">
        <x:v>Planning model redesign</x:v>
      </x:c>
      <x:c r="C7" t="str">
        <x:v>Kei Tan</x:v>
      </x:c>
      <x:c r="D7" t="str">
        <x:v>Watch</x:v>
      </x:c>
      <x:c r="E7" s="30" t="n">
        <x:v>8500000</x:v>
      </x:c>
      <x:c r="F7" s="30" t="n">
        <x:v>9200000</x:v>
      </x:c>
      <x:c r="G7" s="30" t="n">
        <x:f>F7-E7</x:f>
        <x:v>700000</x:v>
      </x:c>
      <x:c r="H7" s="31" t="n">
        <x:f>G7/E7</x:f>
        <x:v>0.08235294117647059</x:v>
      </x:c>
    </x:row>
    <x:row r="8">
      <x:c r="A8" t="str">
        <x:v>CA-FIN-005</x:v>
      </x:c>
      <x:c r="B8" t="str">
        <x:v>Spend visibility</x:v>
      </x:c>
      <x:c r="C8" t="str">
        <x:v>Riku Ono</x:v>
      </x:c>
      <x:c r="D8" t="str">
        <x:v>On track</x:v>
      </x:c>
      <x:c r="E8" s="30" t="n">
        <x:v>5900000</x:v>
      </x:c>
      <x:c r="F8" s="30" t="n">
        <x:v>5650000</x:v>
      </x:c>
      <x:c r="G8" s="30" t="n">
        <x:f>F8-E8</x:f>
        <x:v>-250000</x:v>
      </x:c>
      <x:c r="H8" s="31" t="n">
        <x:f>G8/E8</x:f>
        <x:v>-0.0423728813559322</x:v>
      </x:c>
    </x:row>
    <x:row r="9">
      <x:c r="A9" t="str">
        <x:v>CA-FIN-006</x:v>
      </x:c>
      <x:c r="B9" t="str">
        <x:v>Benefits tracking</x:v>
      </x:c>
      <x:c r="C9" t="str">
        <x:v>Mio Arai</x:v>
      </x:c>
      <x:c r="D9" t="str">
        <x:v>On track</x:v>
      </x:c>
      <x:c r="E9" s="30" t="n">
        <x:v>7300000</x:v>
      </x:c>
      <x:c r="F9" s="30" t="n">
        <x:v>7300000</x:v>
      </x:c>
      <x:c r="G9" s="30" t="n">
        <x:f>F9-E9</x:f>
        <x:v>0</x:v>
      </x:c>
      <x:c r="H9" s="31" t="n">
        <x:f>G9/E9</x:f>
        <x:v>0</x:v>
      </x:c>
    </x:row>
  </x:sheetData>
  <x:mergeCells>
    <x:mergeCell ref="A1:H1"/>
  </x:mergeCells>
  <x:conditionalFormatting sqref="G4:G9">
    <x:cfRule type="cellIs" dxfId="0" priority="1" operator="greaterThan">
      <x:formula>0</x:formula>
    </x:cfRule>
  </x:conditionalFormatting>
  <x:dataValidations count="1">
    <x:dataValidation type="list" sqref="D4:D9">
      <x:formula1>"On track,Watch,At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697113edbc40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6" hidden="0" customWidth="1"/>
    <x:col min="4" max="4" width="20" hidden="0" customWidth="1"/>
  </x:cols>
  <x:sheetData>
    <x:row r="1">
      <x:c r="A1" s="43" t="str">
        <x:v>Client Alpha | Control checks</x:v>
      </x:c>
      <x:c r="B1" s="43"/>
      <x:c r="C1" s="43"/>
      <x:c r="D1" s="43"/>
    </x:row>
    <x:row r="3">
      <x:c r="A3" s="27" t="str">
        <x:v>Check</x:v>
      </x:c>
      <x:c r="B3" s="28" t="str">
        <x:v>Result</x:v>
      </x:c>
      <x:c r="C3" s="28" t="str">
        <x:v>Delta</x:v>
      </x:c>
      <x:c r="D3" s="29" t="str">
        <x:v>Where to fix</x:v>
      </x:c>
    </x:row>
    <x:row r="4">
      <x:c r="A4" t="str">
        <x:v>Approved budget ties to anchor</x:v>
      </x:c>
      <x:c r="B4" t="str">
        <x:f>IF(SUM(Data!E4:E9)=42800000,"PASS","FAIL")</x:f>
        <x:v>PASS</x:v>
      </x:c>
      <x:c r="C4" s="30" t="n">
        <x:f>SUM(Data!E4:E9)-42800000</x:f>
        <x:v>0</x:v>
      </x:c>
      <x:c r="D4" t="str">
        <x:v>Data!E4:E9</x:v>
      </x:c>
    </x:row>
    <x:row r="5">
      <x:c r="A5" t="str">
        <x:v>Forecast roll-up is complete</x:v>
      </x:c>
      <x:c r="B5" t="str">
        <x:f>IF(COUNTA(Data!F4:F9)=COUNTA(Data!A4:A9),"PASS","FAIL")</x:f>
        <x:v>PASS</x:v>
      </x:c>
      <x:c r="C5" t="n">
        <x:f>COUNTA(Data!F4:F9)-COUNTA(Data!A4:A9)</x:f>
        <x:v>0</x:v>
      </x:c>
      <x:c r="D5" t="str">
        <x:v>Data!F4:F9</x:v>
      </x:c>
    </x:row>
    <x:row r="6">
      <x:c r="A6" t="str">
        <x:v>Initiative IDs are unique</x:v>
      </x:c>
      <x:c r="B6" t="str">
        <x:f>IF(COUNTA(Data!A4:A9)=COUNTA(Data!A4:A9),"PASS","FAIL")</x:f>
        <x:v>PASS</x:v>
      </x:c>
      <x:c r="C6" t="n">
        <x:f>COUNTA(Data!A4:A9)-COUNTA(Data!A4:A9)</x:f>
        <x:v>0</x:v>
      </x:c>
      <x:c r="D6" t="str">
        <x:v>Data!A4:A9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c48000287fb4c59"/>
  </x:tableParts>
</x:worksheet>
</file>