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ebf6badca845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ebf936a385342b4"/>
    <x:sheet xmlns:r="http://schemas.openxmlformats.org/officeDocument/2006/relationships" name="Data" sheetId="2" r:id="R61a62847cef54914"/>
    <x:sheet xmlns:r="http://schemas.openxmlformats.org/officeDocument/2006/relationships" name="Checks" sheetId="3" r:id="R660412ec440a45b1"/>
    <x:sheet xmlns:r="http://schemas.openxmlformats.org/officeDocument/2006/relationships" name="Sources" sheetId="4" r:id="R225f3e7d352b4b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¥#,##0;(¥#,##0);-"/>
    <x:numFmt numFmtId="202" formatCode="¥#,##0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F4D5A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10">
    <x:border/>
    <x:border>
      <x:left style="thin">
        <x:color rgb="FFC9D3DF"/>
      </x:left>
      <x:top style="thin">
        <x:color rgb="FFC9D3DF"/>
      </x:top>
    </x:border>
    <x:border>
      <x:right style="thin">
        <x:color rgb="FFC9D3DF"/>
      </x:right>
      <x:top style="thin">
        <x:color rgb="FFC9D3DF"/>
      </x:top>
    </x:border>
    <x:border>
      <x:left style="thin">
        <x:color rgb="FFC9D3DF"/>
      </x:left>
    </x:border>
    <x:border>
      <x:right style="thin">
        <x:color rgb="FFC9D3DF"/>
      </x:right>
    </x:border>
    <x:border>
      <x:left style="thin">
        <x:color rgb="FFC9D3DF"/>
      </x:left>
      <x:bottom style="thin">
        <x:color rgb="FFC9D3DF"/>
      </x:bottom>
    </x:border>
    <x:border>
      <x:right style="thin">
        <x:color rgb="FFC9D3DF"/>
      </x:right>
      <x:bottom style="thin">
        <x:color rgb="FFC9D3DF"/>
      </x:bottom>
    </x:border>
    <x:border>
      <x:left style="thin">
        <x:color rgb="FFC9D3DF"/>
      </x:left>
      <x:top style="thin">
        <x:color rgb="FFC9D3DF"/>
      </x:top>
      <x:bottom style="thin">
        <x:color rgb="FFC9D3DF"/>
      </x:bottom>
    </x:border>
    <x:border>
      <x:top style="thin">
        <x:color rgb="FFC9D3DF"/>
      </x:top>
      <x:bottom style="thin">
        <x:color rgb="FFC9D3DF"/>
      </x:bottom>
    </x:border>
    <x:border>
      <x:right style="thin">
        <x:color rgb="FFC9D3DF"/>
      </x:right>
      <x:top style="thin">
        <x:color rgb="FFC9D3DF"/>
      </x:top>
      <x:bottom style="thin">
        <x:color rgb="FFC9D3DF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2" xfId="0" applyNumberFormat="1" applyFont="1" applyFill="1" applyBorder="1"/>
    <x:xf numFmtId="0" fontId="3" fillId="4" borderId="3" xfId="0" applyNumberFormat="1" applyFont="1" applyFill="1" applyBorder="1"/>
    <x:xf numFmtId="0" fontId="0" fillId="0" borderId="4" xfId="0" applyNumberFormat="1" applyFont="1" applyFill="1" applyBorder="1"/>
    <x:xf numFmtId="0" fontId="3" fillId="4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0" fontId="4" fillId="5" borderId="7" xfId="0" applyNumberFormat="1" applyFont="1" applyFill="1" applyBorder="1" applyAlignment="1">
      <x:alignment wrapText="1"/>
    </x:xf>
    <x:xf numFmtId="0" fontId="4" fillId="5" borderId="8" xfId="0" applyNumberFormat="1" applyFont="1" applyFill="1" applyBorder="1" applyAlignment="1">
      <x:alignment wrapText="1"/>
    </x:xf>
    <x:xf numFmtId="0" fontId="4" fillId="5" borderId="9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horizontal="center" wrapText="1"/>
    </x:xf>
    <x:xf numFmtId="0" fontId="4" fillId="5" borderId="8" xfId="0" applyNumberFormat="1" applyFont="1" applyFill="1" applyBorder="1" applyAlignment="1">
      <x:alignment horizontal="center" wrapText="1"/>
    </x:xf>
    <x:xf numFmtId="0" fontId="4" fillId="5" borderId="9" xfId="0" applyNumberFormat="1" applyFont="1" applyFill="1" applyBorder="1" applyAlignment="1">
      <x:alignment horizontal="center" wrapText="1"/>
    </x:xf>
    <x:xf numFmtId="0" fontId="4" fillId="5" borderId="7" xfId="0" applyNumberFormat="1" applyFont="1" applyFill="1" applyBorder="1" applyAlignment="1">
      <x:alignment horizontal="center" vertical="center" wrapText="1"/>
    </x:xf>
    <x:xf numFmtId="0" fontId="4" fillId="5" borderId="8" xfId="0" applyNumberFormat="1" applyFont="1" applyFill="1" applyBorder="1" applyAlignment="1">
      <x:alignment horizontal="center" vertical="center" wrapText="1"/>
    </x:xf>
    <x:xf numFmtId="0" fontId="4" fillId="5" borderId="9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0" fontId="5" fillId="2" borderId="0" xfId="0" applyNumberFormat="1" applyFont="1" applyFill="1" applyBorder="1"/>
    <x:xf numFmtId="202" fontId="0" fillId="0" borderId="0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b97b08d76942ab" /><Relationship Type="http://schemas.openxmlformats.org/officeDocument/2006/relationships/theme" Target="/xl/theme/theme1.xml" Id="R79675f9fea6d4bf4" /><Relationship Type="http://schemas.openxmlformats.org/officeDocument/2006/relationships/sharedStrings" Target="/xl/sharedStrings.xml" Id="R648f06bccb2a4786" /><Relationship Type="http://schemas.openxmlformats.org/officeDocument/2006/relationships/worksheet" Target="/xl/worksheets/sheet1.xml" Id="Raebf936a385342b4" /><Relationship Type="http://schemas.openxmlformats.org/officeDocument/2006/relationships/worksheet" Target="/xl/worksheets/sheet2.xml" Id="R61a62847cef54914" /><Relationship Type="http://schemas.openxmlformats.org/officeDocument/2006/relationships/worksheet" Target="/xl/worksheets/sheet3.xml" Id="R660412ec440a45b1" /><Relationship Type="http://schemas.openxmlformats.org/officeDocument/2006/relationships/worksheet" Target="/xl/worksheets/sheet4.xml" Id="R225f3e7d352b4b69" /></Relationships>
</file>

<file path=xl/tables/table1.xml><?xml version="1.0" encoding="utf-8"?>
<x:table xmlns:x="http://schemas.openxmlformats.org/spreadsheetml/2006/main" id="1" name="FinanceDataPack" displayName="FinanceDataPack" ref="A3:H11" headerRowCount="1" totalsRowCount="0" totalsRowShown="0">
  <x:tableColumns count="8">
    <x:tableColumn id="1" name="Line ID"/>
    <x:tableColumn id="2" name="Cost Pool"/>
    <x:tableColumn id="3" name="Cost Type"/>
    <x:tableColumn id="4" name="Budget (JPY)"/>
    <x:tableColumn id="5" name="Committed (JPY)"/>
    <x:tableColumn id="6" name="Forecast (JPY)"/>
    <x:tableColumn id="7" name="Variance (JPY)"/>
    <x:tableColumn id="8" name="Source Ref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inanceChecks" displayName="FinanceChecks" ref="A3:D6" headerRowCount="1" totalsRowCount="0" totalsRowShown="0">
  <x:tableColumns count="4">
    <x:tableColumn id="1" name="Check"/>
    <x:tableColumn id="2" name="Result"/>
    <x:tableColumn id="3" name="Delta"/>
    <x:tableColumn id="4" name="Where to fix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inanceSources" displayName="FinanceSources" ref="A1:I3" headerRowCount="1" totalsRowCount="0" totalsRowShown="0">
  <x:tableColumns count="9">
    <x:tableColumn id="1" name="Item"/>
    <x:tableColumn id="2" name="Value"/>
    <x:tableColumn id="3" name="Units"/>
    <x:tableColumn id="4" name="As-of"/>
    <x:tableColumn id="5" name="Source Type"/>
    <x:tableColumn id="6" name="Source Name"/>
    <x:tableColumn id="7" name="Ref"/>
    <x:tableColumn id="8" name="Owner"/>
    <x:tableColumn id="9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9ee628de5534ea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c742c26d4c0408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da108e7f12145a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2" hidden="0" customWidth="1"/>
    <x:col min="3" max="3" width="4" hidden="0" customWidth="1"/>
    <x:col min="4" max="4" width="17" hidden="0" customWidth="1"/>
    <x:col min="5" max="5" width="18" hidden="0" customWidth="1"/>
    <x:col min="6" max="6" width="18" hidden="0" customWidth="1"/>
    <x:col min="7" max="7" width="18" hidden="0" customWidth="1"/>
    <x:col min="8" max="8" width="12" hidden="0" customWidth="1"/>
  </x:cols>
  <x:sheetData>
    <x:row r="1" ht="27" customHeight="1">
      <x:c r="A1" s="3" t="str">
        <x:v>Finance Workstream | Data Pack</x:v>
      </x:c>
      <x:c r="B1" s="3"/>
      <x:c r="C1" s="3"/>
      <x:c r="D1" s="3"/>
      <x:c r="E1" s="3"/>
      <x:c r="F1" s="3"/>
      <x:c r="G1" s="3"/>
      <x:c r="H1" s="3"/>
    </x:row>
    <x:row r="2" ht="28" customHeight="1">
      <x:c r="A2" s="6" t="str">
        <x:v>Client Alpha Phase 1 • Summit Vale Advisory • internal recipient export</x:v>
      </x:c>
    </x:row>
    <x:row r="4">
      <x:c r="A4" s="9" t="str">
        <x:v>As of</x:v>
      </x:c>
      <x:c r="B4" s="15" t="n">
        <x:v>46216</x:v>
      </x:c>
      <x:c r="D4" s="27" t="str">
        <x:v>Budget (JPY)</x:v>
      </x:c>
      <x:c r="E4" s="28" t="str">
        <x:v>Committed (JPY)</x:v>
      </x:c>
      <x:c r="F4" s="28" t="str">
        <x:v>Forecast (JPY)</x:v>
      </x:c>
      <x:c r="G4" s="28" t="str">
        <x:v>Forecast variance</x:v>
      </x:c>
      <x:c r="H4" s="29" t="str">
        <x:v>Data rows</x:v>
      </x:c>
    </x:row>
    <x:row r="5">
      <x:c r="A5" s="11" t="str">
        <x:v>Owner</x:v>
      </x:c>
      <x:c r="B5" s="12" t="str">
        <x:v>Mina Arakawa, Engagement Manager</x:v>
      </x:c>
      <x:c r="D5" s="30" t="n">
        <x:f>SUM(Data!D4:D11)</x:f>
        <x:v>42800000</x:v>
      </x:c>
      <x:c r="E5" s="30" t="n">
        <x:f>SUM(Data!E4:E11)</x:f>
        <x:v>34000000</x:v>
      </x:c>
      <x:c r="F5" s="30" t="n">
        <x:f>SUM(Data!F4:F11)</x:f>
        <x:v>41800000</x:v>
      </x:c>
      <x:c r="G5" s="30" t="n">
        <x:f>F5-D5</x:f>
        <x:v>-1000000</x:v>
      </x:c>
      <x:c r="H5" t="n">
        <x:f>COUNTA(Data!A4:A11)</x:f>
        <x:v>8</x:v>
      </x:c>
    </x:row>
    <x:row r="6">
      <x:c r="A6" s="11" t="str">
        <x:v>Source</x:v>
      </x:c>
      <x:c r="B6" s="12" t="str">
        <x:v>Synthetic Finance data-room extraction</x:v>
      </x:c>
    </x:row>
    <x:row r="7">
      <x:c r="A7" s="13" t="str">
        <x:v>Portfolio</x:v>
      </x:c>
      <x:c r="B7" s="14" t="str">
        <x:v>Summit Vale Advisory | Synthetic consulting export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4" hidden="0" customWidth="1"/>
    <x:col min="3" max="3" width="15" hidden="0" customWidth="1"/>
    <x:col min="4" max="4" width="16" hidden="0" customWidth="1"/>
    <x:col min="5" max="5" width="17" hidden="0" customWidth="1"/>
    <x:col min="6" max="6" width="17" hidden="0" customWidth="1"/>
    <x:col min="7" max="7" width="17" hidden="0" customWidth="1"/>
    <x:col min="8" max="8" width="14" hidden="0" customWidth="1"/>
  </x:cols>
  <x:sheetData>
    <x:row r="1">
      <x:c r="A1" s="31" t="str">
        <x:v>Finance workstream | budget line detail</x:v>
      </x:c>
      <x:c r="B1" s="31"/>
      <x:c r="C1" s="31"/>
      <x:c r="D1" s="31"/>
      <x:c r="E1" s="31"/>
      <x:c r="F1" s="31"/>
      <x:c r="G1" s="31"/>
      <x:c r="H1" s="31"/>
    </x:row>
    <x:row r="3">
      <x:c r="A3" s="27" t="str">
        <x:v>Line ID</x:v>
      </x:c>
      <x:c r="B3" s="28" t="str">
        <x:v>Cost Pool</x:v>
      </x:c>
      <x:c r="C3" s="28" t="str">
        <x:v>Cost Type</x:v>
      </x:c>
      <x:c r="D3" s="28" t="str">
        <x:v>Budget (JPY)</x:v>
      </x:c>
      <x:c r="E3" s="28" t="str">
        <x:v>Committed (JPY)</x:v>
      </x:c>
      <x:c r="F3" s="28" t="str">
        <x:v>Forecast (JPY)</x:v>
      </x:c>
      <x:c r="G3" s="28" t="str">
        <x:v>Variance (JPY)</x:v>
      </x:c>
      <x:c r="H3" s="29" t="str">
        <x:v>Source Ref</x:v>
      </x:c>
    </x:row>
    <x:row r="4">
      <x:c r="A4" t="str">
        <x:v>FA-001</x:v>
      </x:c>
      <x:c r="B4" t="str">
        <x:v>Program leadership</x:v>
      </x:c>
      <x:c r="C4" t="str">
        <x:v>People</x:v>
      </x:c>
      <x:c r="D4" s="30" t="n">
        <x:v>7400000</x:v>
      </x:c>
      <x:c r="E4" s="30" t="n">
        <x:v>7000000</x:v>
      </x:c>
      <x:c r="F4" s="30" t="n">
        <x:v>7300000</x:v>
      </x:c>
      <x:c r="G4" s="30" t="n">
        <x:f>F4-D4</x:f>
        <x:v>-100000</x:v>
      </x:c>
      <x:c r="H4" t="str">
        <x:v>SYN-FIN-01</x:v>
      </x:c>
    </x:row>
    <x:row r="5">
      <x:c r="A5" t="str">
        <x:v>FA-002</x:v>
      </x:c>
      <x:c r="B5" t="str">
        <x:v>Process diagnostics</x:v>
      </x:c>
      <x:c r="C5" t="str">
        <x:v>Advisory</x:v>
      </x:c>
      <x:c r="D5" s="30" t="n">
        <x:v>5200000</x:v>
      </x:c>
      <x:c r="E5" s="30" t="n">
        <x:v>4900000</x:v>
      </x:c>
      <x:c r="F5" s="30" t="n">
        <x:v>5100000</x:v>
      </x:c>
      <x:c r="G5" s="30" t="n">
        <x:f>F5-D5</x:f>
        <x:v>-100000</x:v>
      </x:c>
      <x:c r="H5" t="str">
        <x:v>SYN-FIN-02</x:v>
      </x:c>
    </x:row>
    <x:row r="6">
      <x:c r="A6" t="str">
        <x:v>FA-003</x:v>
      </x:c>
      <x:c r="B6" t="str">
        <x:v>Systems enablement</x:v>
      </x:c>
      <x:c r="C6" t="str">
        <x:v>Technology</x:v>
      </x:c>
      <x:c r="D6" s="30" t="n">
        <x:v>6800000</x:v>
      </x:c>
      <x:c r="E6" s="30" t="n">
        <x:v>6500000</x:v>
      </x:c>
      <x:c r="F6" s="30" t="n">
        <x:v>6900000</x:v>
      </x:c>
      <x:c r="G6" s="30" t="n">
        <x:f>F6-D6</x:f>
        <x:v>100000</x:v>
      </x:c>
      <x:c r="H6" t="str">
        <x:v>SYN-FIN-03</x:v>
      </x:c>
    </x:row>
    <x:row r="7">
      <x:c r="A7" t="str">
        <x:v>FA-004</x:v>
      </x:c>
      <x:c r="B7" t="str">
        <x:v>Control remediation</x:v>
      </x:c>
      <x:c r="C7" t="str">
        <x:v>Advisory</x:v>
      </x:c>
      <x:c r="D7" s="30" t="n">
        <x:v>4900000</x:v>
      </x:c>
      <x:c r="E7" s="30" t="n">
        <x:v>4200000</x:v>
      </x:c>
      <x:c r="F7" s="30" t="n">
        <x:v>4750000</x:v>
      </x:c>
      <x:c r="G7" s="30" t="n">
        <x:f>F7-D7</x:f>
        <x:v>-150000</x:v>
      </x:c>
      <x:c r="H7" t="str">
        <x:v>SYN-FIN-04</x:v>
      </x:c>
    </x:row>
    <x:row r="8">
      <x:c r="A8" t="str">
        <x:v>FA-005</x:v>
      </x:c>
      <x:c r="B8" t="str">
        <x:v>Data cleansing</x:v>
      </x:c>
      <x:c r="C8" t="str">
        <x:v>Technology</x:v>
      </x:c>
      <x:c r="D8" s="30" t="n">
        <x:v>4100000</x:v>
      </x:c>
      <x:c r="E8" s="30" t="n">
        <x:v>3800000</x:v>
      </x:c>
      <x:c r="F8" s="30" t="n">
        <x:v>4200000</x:v>
      </x:c>
      <x:c r="G8" s="30" t="n">
        <x:f>F8-D8</x:f>
        <x:v>100000</x:v>
      </x:c>
      <x:c r="H8" t="str">
        <x:v>SYN-FIN-05</x:v>
      </x:c>
    </x:row>
    <x:row r="9">
      <x:c r="A9" t="str">
        <x:v>FA-006</x:v>
      </x:c>
      <x:c r="B9" t="str">
        <x:v>Change enablement</x:v>
      </x:c>
      <x:c r="C9" t="str">
        <x:v>People</x:v>
      </x:c>
      <x:c r="D9" s="30" t="n">
        <x:v>3600000</x:v>
      </x:c>
      <x:c r="E9" s="30" t="n">
        <x:v>3200000</x:v>
      </x:c>
      <x:c r="F9" s="30" t="n">
        <x:v>3500000</x:v>
      </x:c>
      <x:c r="G9" s="30" t="n">
        <x:f>F9-D9</x:f>
        <x:v>-100000</x:v>
      </x:c>
      <x:c r="H9" t="str">
        <x:v>SYN-FIN-06</x:v>
      </x:c>
    </x:row>
    <x:row r="10">
      <x:c r="A10" t="str">
        <x:v>FA-007</x:v>
      </x:c>
      <x:c r="B10" t="str">
        <x:v>Contingency reserve</x:v>
      </x:c>
      <x:c r="C10" t="str">
        <x:v>Reserve</x:v>
      </x:c>
      <x:c r="D10" s="30" t="n">
        <x:v>5900000</x:v>
      </x:c>
      <x:c r="E10" s="30" t="n">
        <x:v>0</x:v>
      </x:c>
      <x:c r="F10" s="30" t="n">
        <x:v>5100000</x:v>
      </x:c>
      <x:c r="G10" s="30" t="n">
        <x:f>F10-D10</x:f>
        <x:v>-800000</x:v>
      </x:c>
      <x:c r="H10" t="str">
        <x:v>SYN-FIN-07</x:v>
      </x:c>
    </x:row>
    <x:row r="11">
      <x:c r="A11" t="str">
        <x:v>FA-008</x:v>
      </x:c>
      <x:c r="B11" t="str">
        <x:v>Benefits office</x:v>
      </x:c>
      <x:c r="C11" t="str">
        <x:v>People</x:v>
      </x:c>
      <x:c r="D11" s="30" t="n">
        <x:v>4900000</x:v>
      </x:c>
      <x:c r="E11" s="30" t="n">
        <x:v>4400000</x:v>
      </x:c>
      <x:c r="F11" s="30" t="n">
        <x:v>4950000</x:v>
      </x:c>
      <x:c r="G11" s="30" t="n">
        <x:f>F11-D11</x:f>
        <x:v>50000</x:v>
      </x:c>
      <x:c r="H11" t="str">
        <x:v>SYN-FIN-08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49ee628de5534ea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12" hidden="0" customWidth="1"/>
    <x:col min="3" max="3" width="16" hidden="0" customWidth="1"/>
    <x:col min="4" max="4" width="19" hidden="0" customWidth="1"/>
  </x:cols>
  <x:sheetData>
    <x:row r="1">
      <x:c r="A1" s="31" t="str">
        <x:v>Finance workstream | checks</x:v>
      </x:c>
      <x:c r="B1" s="31"/>
      <x:c r="C1" s="31"/>
      <x:c r="D1" s="31"/>
    </x:row>
    <x:row r="3">
      <x:c r="A3" s="27" t="str">
        <x:v>Check</x:v>
      </x:c>
      <x:c r="B3" s="28" t="str">
        <x:v>Result</x:v>
      </x:c>
      <x:c r="C3" s="28" t="str">
        <x:v>Delta</x:v>
      </x:c>
      <x:c r="D3" s="29" t="str">
        <x:v>Where to fix</x:v>
      </x:c>
    </x:row>
    <x:row r="4">
      <x:c r="A4" t="str">
        <x:v>Budget reconciles to approved ¥42.8M</x:v>
      </x:c>
      <x:c r="B4" t="str">
        <x:f>IF(SUM(Data!D4:D11)=42800000,"PASS","FAIL")</x:f>
        <x:v>PASS</x:v>
      </x:c>
      <x:c r="C4" s="30" t="n">
        <x:f>SUM(Data!D4:D11)-42800000</x:f>
        <x:v>0</x:v>
      </x:c>
      <x:c r="D4" t="str">
        <x:v>Data!D4:D11</x:v>
      </x:c>
    </x:row>
    <x:row r="5">
      <x:c r="A5" t="str">
        <x:v>All forecast lines complete</x:v>
      </x:c>
      <x:c r="B5" t="str">
        <x:f>IF(COUNTA(Data!F4:F11)=8,"PASS","FAIL")</x:f>
        <x:v>PASS</x:v>
      </x:c>
      <x:c r="C5" t="n">
        <x:f>COUNTA(Data!F4:F11)-8</x:f>
        <x:v>0</x:v>
      </x:c>
      <x:c r="D5" t="str">
        <x:v>Data!F4:F11</x:v>
      </x:c>
    </x:row>
    <x:row r="6">
      <x:c r="A6" t="str">
        <x:v>Committed does not exceed forecast</x:v>
      </x:c>
      <x:c r="B6" t="str">
        <x:f>IF(SUMPRODUCT(--(Data!E4:E11&gt;Data!F4:F11))=0,"PASS","FAIL")</x:f>
        <x:v>PASS</x:v>
      </x:c>
      <x:c r="C6" t="n">
        <x:f>SUMPRODUCT(--(Data!E4:E11&gt;Data!F4:F11))</x:f>
        <x:v>0</x:v>
      </x:c>
      <x:c r="D6" t="str">
        <x:v>Data!E4:F11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5c742c26d4c0408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10" hidden="0" customWidth="1"/>
    <x:col min="4" max="4" width="13" hidden="0" customWidth="1"/>
    <x:col min="5" max="5" width="16" hidden="0" customWidth="1"/>
    <x:col min="6" max="6" width="29" hidden="0" customWidth="1"/>
    <x:col min="7" max="7" width="15" hidden="0" customWidth="1"/>
    <x:col min="8" max="8" width="18" hidden="0" customWidth="1"/>
    <x:col min="9" max="9" width="26" hidden="0" customWidth="1"/>
  </x:cols>
  <x:sheetData>
    <x:row r="1">
      <x:c r="A1" s="27" t="str">
        <x:v>Item</x:v>
      </x:c>
      <x:c r="B1" s="28" t="str">
        <x:v>Value</x:v>
      </x:c>
      <x:c r="C1" s="28" t="str">
        <x:v>Units</x:v>
      </x:c>
      <x:c r="D1" s="28" t="str">
        <x:v>As-of</x:v>
      </x:c>
      <x:c r="E1" s="28" t="str">
        <x:v>Source Type</x:v>
      </x:c>
      <x:c r="F1" s="28" t="str">
        <x:v>Source Name</x:v>
      </x:c>
      <x:c r="G1" s="28" t="str">
        <x:v>Ref</x:v>
      </x:c>
      <x:c r="H1" s="28" t="str">
        <x:v>Owner</x:v>
      </x:c>
      <x:c r="I1" s="29" t="str">
        <x:v>Notes</x:v>
      </x:c>
    </x:row>
    <x:row r="2">
      <x:c r="A2" t="str">
        <x:v>Approved budget</x:v>
      </x:c>
      <x:c r="B2" s="32" t="n">
        <x:v>42800000</x:v>
      </x:c>
      <x:c r="C2" t="str">
        <x:v>JPY</x:v>
      </x:c>
      <x:c r="D2" s="33" t="n">
        <x:v>46216</x:v>
      </x:c>
      <x:c r="E2" t="str">
        <x:v>Synthetic model</x:v>
      </x:c>
      <x:c r="F2" t="str">
        <x:v>Finance data-room extraction</x:v>
      </x:c>
      <x:c r="G2" t="str">
        <x:v>SYN-FIN-01</x:v>
      </x:c>
      <x:c r="H2" t="str">
        <x:v>Mina Arakawa</x:v>
      </x:c>
      <x:c r="I2" t="str">
        <x:v>Anchor budget</x:v>
      </x:c>
    </x:row>
    <x:row r="3">
      <x:c r="A3" t="str">
        <x:v>Forecast refresh</x:v>
      </x:c>
      <x:c r="B3" s="32" t="n">
        <x:v>42800000</x:v>
      </x:c>
      <x:c r="C3" t="str">
        <x:v>JPY</x:v>
      </x:c>
      <x:c r="D3" s="33" t="n">
        <x:v>46216</x:v>
      </x:c>
      <x:c r="E3" t="str">
        <x:v>Synthetic model</x:v>
      </x:c>
      <x:c r="F3" t="str">
        <x:v>Finance data-room extraction</x:v>
      </x:c>
      <x:c r="G3" t="str">
        <x:v>SYN-FIN-02</x:v>
      </x:c>
      <x:c r="H3" t="str">
        <x:v>Mina Arakawa</x:v>
      </x:c>
      <x:c r="I3" t="str">
        <x:v>Refresh cycle: weekly</x:v>
      </x:c>
    </x:row>
  </x:sheetData>
  <x:pageMargins left="0.7" right="0.7" top="0.75" bottom="0.75" header="0.3" footer="0.3"/>
  <x:tableParts count="1">
    <x:tablePart xmlns:r="http://schemas.openxmlformats.org/officeDocument/2006/relationships" r:id="R3da108e7f12145ac"/>
  </x:tableParts>
</x:worksheet>
</file>