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edb95d89b04e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2c8e59a9cb994ac7"/>
    <x:sheet xmlns:r="http://schemas.openxmlformats.org/officeDocument/2006/relationships" name="Assumptions &amp; Sources" sheetId="2" r:id="Re60f55b4c44f4c55"/>
    <x:sheet xmlns:r="http://schemas.openxmlformats.org/officeDocument/2006/relationships" name="Analysis Detail" sheetId="3" r:id="Rb38bdfd786114538"/>
    <x:sheet xmlns:r="http://schemas.openxmlformats.org/officeDocument/2006/relationships" name="Checks" sheetId="4" r:id="Rf15d452f4afb48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&quot;¥&quot;#,##0;[Red](&quot;¥&quot;#,##0);-"/>
    <x:numFmt numFmtId="201" formatCode="0.0%"/>
    <x:numFmt numFmtId="202" formatCode="yyyy-mm-dd"/>
    <x:numFmt numFmtId="203" formatCode="&quot;¥&quot;#,##0"/>
    <x:numFmt numFmtId="204" formatCode="#,##0;[Red](#,##0);-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44062"/>
      <x:name val="Carlito"/>
    </x:font>
    <x:font>
      <x:b/>
      <x:sz val="11"/>
      <x:color rgb="FFFFFFFF"/>
      <x:name val="Carlito"/>
    </x:font>
    <x:font>
      <x:i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0F766E"/>
      </x:patternFill>
    </x:fill>
    <x:fill>
      <x:patternFill patternType="solid">
        <x:fgColor rgb="FFFFF2CC"/>
      </x:patternFill>
    </x:fill>
    <x:fill>
      <x:patternFill patternType="solid">
        <x:fgColor rgb="FFF3F6F8"/>
      </x:patternFill>
    </x:fill>
  </x:fills>
  <x:borders count="10">
    <x:border/>
    <x:border>
      <x:left style="thin">
        <x:color rgb="FFB7C9D6"/>
      </x:left>
      <x:top style="thin">
        <x:color rgb="FFB7C9D6"/>
      </x:top>
    </x:border>
    <x:border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bottom style="thin">
        <x:color rgb="FFB7C9D6"/>
      </x:bottom>
    </x:border>
    <x:border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  <x:border>
      <x:left style="thin">
        <x:color rgb="FFD6E0E7"/>
      </x:left>
      <x:right style="thin">
        <x:color rgb="FFD6E0E7"/>
      </x:right>
      <x:top style="thin">
        <x:color rgb="FFD6E0E7"/>
      </x:top>
      <x:bottom style="thin">
        <x:color rgb="FFD6E0E7"/>
      </x:bottom>
    </x:border>
  </x:borders>
  <x:cellStyleXfs count="1">
    <x:xf numFmtId="0" fontId="0" fillId="0" borderId="0"/>
  </x:cellStyleXfs>
  <x:cellXfs count="8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200" fontId="0" fillId="0" borderId="7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202" fontId="0" fillId="0" borderId="0" xfId="0" applyNumberFormat="1" applyFont="1" applyFill="1" applyBorder="1"/>
    <x:xf numFmtId="201" fontId="0" fillId="5" borderId="0" xfId="0" applyNumberFormat="1" applyFont="1" applyFill="1" applyBorder="1"/>
    <x:xf numFmtId="203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1" fontId="0" fillId="5" borderId="0" xfId="0" applyNumberFormat="1" applyFont="1" applyFill="1" applyBorder="1" applyAlignment="1">
      <x:alignment wrapText="1"/>
    </x:xf>
    <x:xf numFmtId="203" fontId="0" fillId="5" borderId="0" xfId="0" applyNumberFormat="1" applyFont="1" applyFill="1" applyBorder="1" applyAlignment="1">
      <x:alignment wrapText="1"/>
    </x:xf>
    <x:xf numFmtId="0" fontId="0" fillId="5" borderId="7" xfId="0" applyNumberFormat="1" applyFont="1" applyFill="1" applyBorder="1" applyAlignment="1">
      <x:alignment wrapText="1"/>
    </x:xf>
    <x:xf numFmtId="202" fontId="0" fillId="0" borderId="7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7" xfId="0" applyNumberFormat="1" applyFont="1" applyFill="1" applyBorder="1"/>
    <x:xf numFmtId="201" fontId="0" fillId="0" borderId="7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3" fillId="4" borderId="9" xfId="0" applyNumberFormat="1" applyFont="1" applyFill="1" applyBorder="1" applyAlignment="1">
      <x:alignment horizontal="center" vertical="center" wrapText="1"/>
    </x:xf>
    <x:xf numFmtId="0" fontId="0" fillId="0" borderId="9" xfId="0" applyNumberFormat="1" applyFont="1" applyFill="1" applyBorder="1"/>
    <x:xf numFmtId="200" fontId="0" fillId="0" borderId="9" xfId="0" applyNumberFormat="1" applyFont="1" applyFill="1" applyBorder="1"/>
    <x:xf numFmtId="201" fontId="0" fillId="0" borderId="9" xfId="0" applyNumberFormat="1" applyFont="1" applyFill="1" applyBorder="1"/>
    <x:xf numFmtId="200" fontId="0" fillId="0" borderId="5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 applyAlignment="1">
      <x:alignment wrapText="0"/>
    </x:xf>
    <x:xf numFmtId="200" fontId="0" fillId="0" borderId="9" xfId="0" applyNumberFormat="1" applyFont="1" applyFill="1" applyBorder="1" applyAlignment="1">
      <x:alignment wrapText="0"/>
    </x:xf>
    <x:xf numFmtId="201" fontId="0" fillId="0" borderId="9" xfId="0" applyNumberFormat="1" applyFont="1" applyFill="1" applyBorder="1" applyAlignment="1">
      <x:alignment wrapText="0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204" fontId="0" fillId="0" borderId="7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200" fontId="0" fillId="0" borderId="7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1" fontId="0" fillId="5" borderId="0" xfId="0" applyNumberFormat="1" applyFont="1" applyFill="1" applyBorder="1" applyAlignment="1">
      <x:alignment vertical="center" wrapText="1"/>
    </x:xf>
    <x:xf numFmtId="203" fontId="0" fillId="5" borderId="0" xfId="0" applyNumberFormat="1" applyFont="1" applyFill="1" applyBorder="1" applyAlignment="1">
      <x:alignment vertical="center" wrapText="1"/>
    </x:xf>
    <x:xf numFmtId="0" fontId="0" fillId="5" borderId="7" xfId="0" applyNumberFormat="1" applyFont="1" applyFill="1" applyBorder="1" applyAlignment="1">
      <x:alignment vertical="center" wrapText="1"/>
    </x:xf>
    <x:xf numFmtId="202" fontId="0" fillId="0" borderId="7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0"/>
    </x:xf>
    <x:xf numFmtId="200" fontId="0" fillId="0" borderId="9" xfId="0" applyNumberFormat="1" applyFont="1" applyFill="1" applyBorder="1" applyAlignment="1">
      <x:alignment vertical="center" wrapText="0"/>
    </x:xf>
    <x:xf numFmtId="201" fontId="0" fillId="0" borderId="9" xfId="0" applyNumberFormat="1" applyFont="1" applyFill="1" applyBorder="1" applyAlignment="1">
      <x:alignment vertical="center" wrapText="0"/>
    </x:xf>
    <x:xf numFmtId="0" fontId="0" fillId="0" borderId="9" xfId="0" applyNumberFormat="1" applyFont="1" applyFill="1" applyBorder="1" applyAlignment="1">
      <x:alignment vertical="center"/>
    </x:xf>
    <x:xf numFmtId="200" fontId="0" fillId="0" borderId="9" xfId="0" applyNumberFormat="1" applyFont="1" applyFill="1" applyBorder="1" applyAlignment="1">
      <x:alignment vertical="center"/>
    </x:xf>
    <x:xf numFmtId="204" fontId="0" fillId="0" borderId="0" xfId="0" applyNumberFormat="1" applyFont="1" applyFill="1" applyBorder="1" applyAlignment="1">
      <x:alignment vertical="center" wrapText="1"/>
    </x:xf>
    <x:xf numFmtId="204" fontId="0" fillId="0" borderId="7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dd183f084046fe" /><Relationship Type="http://schemas.openxmlformats.org/officeDocument/2006/relationships/theme" Target="/xl/theme/theme1.xml" Id="Re739f22081b44f1a" /><Relationship Type="http://schemas.openxmlformats.org/officeDocument/2006/relationships/sharedStrings" Target="/xl/sharedStrings.xml" Id="R592108081d2b485b" /><Relationship Type="http://schemas.openxmlformats.org/officeDocument/2006/relationships/worksheet" Target="/xl/worksheets/sheet1.xml" Id="R2c8e59a9cb994ac7" /><Relationship Type="http://schemas.openxmlformats.org/officeDocument/2006/relationships/worksheet" Target="/xl/worksheets/sheet2.xml" Id="Re60f55b4c44f4c55" /><Relationship Type="http://schemas.openxmlformats.org/officeDocument/2006/relationships/worksheet" Target="/xl/worksheets/sheet3.xml" Id="Rb38bdfd786114538" /><Relationship Type="http://schemas.openxmlformats.org/officeDocument/2006/relationships/worksheet" Target="/xl/worksheets/sheet4.xml" Id="Rf15d452f4afb48b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f2422f943a246c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Conversion cost (¥000): Actual vs Phase 2 target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Actual Conversion cost (¥000)</c:v>
          </c:tx>
          <c:spPr>
            <a:solidFill xmlns:a="http://schemas.openxmlformats.org/drawingml/2006/main">
              <a:srgbClr val="1F4E78"/>
            </a:solidFill>
          </c:spPr>
          <c:marker>
            <c:symbol val="none"/>
          </c:marker>
          <c:cat>
            <c:strRef>
              <c:f>'Analysis Detail'!$A$5:$A$10</c:f>
              <c:strCache>
                <c:ptCount val="0"/>
              </c:strCache>
            </c:strRef>
          </c:cat>
          <c:val>
            <c:numRef>
              <c:f>'Analysis Detail'!$B$5:$B$10</c:f>
              <c:numCache>
                <c:formatCode>"¥"#,##0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Phase 2 target</c:v>
          </c:tx>
          <c:spPr>
            <a:solidFill xmlns:a="http://schemas.openxmlformats.org/drawingml/2006/main">
              <a:srgbClr val="E97824"/>
            </a:solidFill>
          </c:spPr>
          <c:marker>
            <c:symbol val="none"/>
          </c:marker>
          <c:cat>
            <c:strRef>
              <c:f>'Analysis Detail'!$A$5:$A$10</c:f>
              <c:strCache>
                <c:ptCount val="0"/>
              </c:strCache>
            </c:strRef>
          </c:cat>
          <c:val>
            <c:numRef>
              <c:f>'Analysis Detail'!$C$5:$C$10</c:f>
              <c:numCache>
                <c:formatCode>"¥"#,##0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Phase 2 period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¥000</a:t>
                </a:r>
              </a:p>
            </c:rich>
          </c:tx>
          <c:overlay val="0"/>
        </c:title>
        <c:numFmt formatCode="&quot;¥&quot;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3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f2422f943a246c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b45158607da4f6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0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8" customHeight="1">
      <x:c r="A1" s="4" t="str">
        <x:v>Client Beta | Plant Cost Analysis</x:v>
      </x:c>
      <x:c r="B1" s="4"/>
      <x:c r="C1" s="4"/>
      <x:c r="D1" s="4"/>
      <x:c r="E1" s="4"/>
      <x:c r="F1" s="4"/>
      <x:c r="G1" s="4"/>
      <x:c r="H1" s="4"/>
    </x:row>
    <x:row r="2" ht="20" customHeight="1">
      <x:c r="A2" s="7" t="str">
        <x:v>Summit Vale Advisory • Phase 2 • 2026-07-13 • Owner: Keiko Ward • Cost discipline</x:v>
      </x:c>
      <x:c r="B2" s="7"/>
      <x:c r="C2" s="7"/>
      <x:c r="D2" s="7"/>
      <x:c r="E2" s="7"/>
      <x:c r="F2" s="7"/>
      <x:c r="G2" s="7"/>
      <x:c r="H2" s="7"/>
    </x:row>
    <x:row r="3">
      <x:c r="A3" s="59"/>
      <x:c r="B3" s="59"/>
      <x:c r="C3" s="59"/>
      <x:c r="D3" s="59"/>
      <x:c r="E3" s="59"/>
      <x:c r="F3" s="59"/>
      <x:c r="G3" s="59"/>
      <x:c r="H3" s="59"/>
    </x:row>
    <x:row r="4">
      <x:c r="A4" s="18" t="str">
        <x:v>Metric</x:v>
      </x:c>
      <x:c r="B4" s="19" t="str">
        <x:v>Current</x:v>
      </x:c>
      <x:c r="C4" s="19" t="str">
        <x:v>Phase 2 target</x:v>
      </x:c>
      <x:c r="D4" s="19" t="str">
        <x:v>Gap</x:v>
      </x:c>
      <x:c r="E4" s="19" t="str">
        <x:v>Trend</x:v>
      </x:c>
      <x:c r="F4" s="19" t="str">
        <x:v>Decision cue</x:v>
      </x:c>
      <x:c r="G4" s="19" t="str">
        <x:v>Status</x:v>
      </x:c>
      <x:c r="H4" s="20" t="str">
        <x:v>Source</x:v>
      </x:c>
    </x:row>
    <x:row r="5">
      <x:c r="A5" s="60" t="str">
        <x:v>Conversion cost (¥000)</x:v>
      </x:c>
      <x:c r="B5" s="61" t="n">
        <x:v>3100</x:v>
      </x:c>
      <x:c r="C5" s="61" t="n">
        <x:v>2700</x:v>
      </x:c>
      <x:c r="D5" s="61" t="n">
        <x:f>C5-B5</x:f>
        <x:v>-400</x:v>
      </x:c>
      <x:c r="E5" s="62" t="str">
        <x:f>'Analysis Detail'!G7</x:f>
        <x:v>Declining</x:v>
      </x:c>
      <x:c r="F5" s="62" t="str">
        <x:v>Prioritize weekly operating review</x:v>
      </x:c>
      <x:c r="G5" s="62" t="str">
        <x:f>IF(D5&gt;=0,"ON TRACK","WATCH")</x:f>
        <x:v>WATCH</x:v>
      </x:c>
      <x:c r="H5" s="63" t="str">
        <x:v>Phase 2 working dataset</x:v>
      </x:c>
    </x:row>
    <x:row r="6">
      <x:c r="A6" s="60" t="str">
        <x:v>Cost per unit</x:v>
      </x:c>
      <x:c r="B6" s="64" t="n">
        <x:v>1.0163934426229508</x:v>
      </x:c>
      <x:c r="C6" s="64" t="n">
        <x:v>1</x:v>
      </x:c>
      <x:c r="D6" s="64" t="n">
        <x:f>C6-B6</x:f>
        <x:v>-0.016393442622950838</x:v>
      </x:c>
      <x:c r="E6" s="62" t="str">
        <x:f>'Analysis Detail'!H7</x:f>
        <x:v>Met</x:v>
      </x:c>
      <x:c r="F6" s="62" t="str">
        <x:v>Escalate exceptions above threshold</x:v>
      </x:c>
      <x:c r="G6" s="62" t="str">
        <x:f>IF(B6&gt;=C6,"ON TRACK","WATCH")</x:f>
        <x:v>ON TRACK</x:v>
      </x:c>
      <x:c r="H6" s="63" t="str">
        <x:v>Client Beta operating team</x:v>
      </x:c>
    </x:row>
    <x:row r="7">
      <x:c r="A7" s="65" t="str">
        <x:v>Portfolio reference</x:v>
      </x:c>
      <x:c r="B7" s="66" t="n">
        <x:v>42800</x:v>
      </x:c>
      <x:c r="C7" s="66" t="n">
        <x:v>42800</x:v>
      </x:c>
      <x:c r="D7" s="66" t="n">
        <x:f>C7-B7</x:f>
        <x:v>0</x:v>
      </x:c>
      <x:c r="E7" s="67" t="n">
        <x:f>0</x:f>
        <x:v>0</x:v>
      </x:c>
      <x:c r="F7" s="67" t="str">
        <x:v>Client Alpha Phase 1 Finance budget reference</x:v>
      </x:c>
      <x:c r="G7" s="67" t="str">
        <x:f>IF(D7=0,"PASS","FAIL")</x:f>
        <x:v>PASS</x:v>
      </x:c>
      <x:c r="H7" s="68" t="str">
        <x:v>Portfolio assumption log</x:v>
      </x:c>
    </x:row>
    <x:row r="8">
      <x:c r="A8" s="59"/>
      <x:c r="B8" s="59"/>
      <x:c r="C8" s="59"/>
      <x:c r="D8" s="59"/>
      <x:c r="E8" s="59"/>
      <x:c r="F8" s="59"/>
      <x:c r="G8" s="59"/>
      <x:c r="H8" s="59"/>
    </x:row>
    <x:row r="9">
      <x:c r="A9" s="59"/>
      <x:c r="B9" s="59"/>
      <x:c r="C9" s="59"/>
      <x:c r="D9" s="59"/>
      <x:c r="E9" s="59"/>
      <x:c r="F9" s="59"/>
      <x:c r="G9" s="59"/>
      <x:c r="H9" s="59"/>
    </x:row>
    <x:row r="10">
      <x:c r="A10" s="18" t="str">
        <x:v>Management takeaways</x:v>
      </x:c>
      <x:c r="B10" s="19" t="str"/>
      <x:c r="C10" s="19" t="str"/>
      <x:c r="D10" s="20" t="str"/>
      <x:c r="E10" s="59"/>
      <x:c r="F10" s="59"/>
      <x:c r="G10" s="59"/>
      <x:c r="H10" s="59"/>
    </x:row>
    <x:row r="11" ht="52" customHeight="1">
      <x:c r="A11" s="60" t="str">
        <x:v>1</x:v>
      </x:c>
      <x:c r="B11" s="62" t="str">
        <x:v>Use cost discipline to protect the December target.</x:v>
      </x:c>
      <x:c r="C11" s="62" t="str"/>
      <x:c r="D11" s="63" t="str"/>
      <x:c r="E11" s="59"/>
      <x:c r="F11" s="59"/>
      <x:c r="G11" s="59"/>
      <x:c r="H11" s="59"/>
    </x:row>
    <x:row r="12" ht="52" customHeight="1">
      <x:c r="A12" s="60" t="str">
        <x:v>2</x:v>
      </x:c>
      <x:c r="B12" s="62" t="str">
        <x:v>Direct exception reviews to the largest weekly variance.</x:v>
      </x:c>
      <x:c r="C12" s="62" t="str"/>
      <x:c r="D12" s="63" t="str"/>
      <x:c r="E12" s="59"/>
      <x:c r="F12" s="59"/>
      <x:c r="G12" s="59"/>
      <x:c r="H12" s="59"/>
    </x:row>
    <x:row r="13" ht="52" customHeight="1">
      <x:c r="A13" s="65" t="str">
        <x:v>3</x:v>
      </x:c>
      <x:c r="B13" s="67" t="str">
        <x:v>Validate weekly baseline before releasing savings claims.</x:v>
      </x:c>
      <x:c r="C13" s="67" t="str"/>
      <x:c r="D13" s="68" t="str"/>
      <x:c r="E13" s="59"/>
      <x:c r="F13" s="59"/>
      <x:c r="G13" s="59"/>
      <x:c r="H13" s="59"/>
    </x:row>
  </x:sheetData>
  <x:mergeCells>
    <x:mergeCell ref="A1:H1"/>
    <x:mergeCell ref="A2:H2"/>
    <x:mergeCell ref="A10:D10"/>
  </x:mergeCells>
  <x:conditionalFormatting sqref="G5:G7">
    <x:cfRule type="containsText" dxfId="0" priority="1" operator="containsText" text="ON TRACK"/>
    <x:cfRule type="containsText" dxfId="1" priority="2" operator="containsText" text="WATCH"/>
  </x:conditionalFormatting>
  <x:pageMargins left="0.7" right="0.7" top="0.75" bottom="0.75" header="0.3" footer="0.3"/>
  <x:drawing xmlns:r="http://schemas.openxmlformats.org/officeDocument/2006/relationships" r:id="Rbb45158607da4f6f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440000534057617" hidden="0" customWidth="1"/>
    <x:col min="2" max="2" width="26.219999313354492" hidden="0" customWidth="1"/>
    <x:col min="3" max="3" width="4.559999942779541" hidden="0" customWidth="1"/>
    <x:col min="4" max="4" width="9.890000343322754" hidden="0" customWidth="1"/>
    <x:col min="5" max="5" width="9" hidden="0" customWidth="1"/>
    <x:col min="6" max="6" width="36" hidden="0" customWidth="1"/>
    <x:col min="7" max="7" width="15" hidden="0" customWidth="1"/>
    <x:col min="8" max="8" width="15" hidden="0" customWidth="1"/>
  </x:cols>
  <x:sheetData>
    <x:row r="1" ht="28" customHeight="1">
      <x:c r="A1" s="4" t="str">
        <x:v>Assumptions &amp; Sources</x:v>
      </x:c>
      <x:c r="B1" s="4"/>
      <x:c r="C1" s="4"/>
      <x:c r="D1" s="4"/>
      <x:c r="E1" s="4"/>
      <x:c r="F1" s="4"/>
      <x:c r="G1" s="4"/>
      <x:c r="H1" s="4"/>
    </x:row>
    <x:row r="2" ht="20" customHeight="1">
      <x:c r="A2" s="7" t="str">
        <x:v>Client Beta Phase 2 • Modeling assumptions refreshed 2026-07-13</x:v>
      </x:c>
      <x:c r="B2" s="7"/>
      <x:c r="C2" s="7"/>
      <x:c r="D2" s="7"/>
      <x:c r="E2" s="7"/>
      <x:c r="F2" s="7"/>
      <x:c r="G2" s="7"/>
      <x:c r="H2" s="7"/>
    </x:row>
    <x:row r="3">
      <x:c r="A3" s="59"/>
      <x:c r="B3" s="59"/>
      <x:c r="C3" s="59"/>
      <x:c r="D3" s="59"/>
      <x:c r="E3" s="59"/>
      <x:c r="F3" s="59"/>
      <x:c r="G3" s="59"/>
      <x:c r="H3" s="59"/>
    </x:row>
    <x:row r="4">
      <x:c r="A4" s="18" t="str">
        <x:v>Assumption</x:v>
      </x:c>
      <x:c r="B4" s="19" t="str">
        <x:v>Value</x:v>
      </x:c>
      <x:c r="C4" s="19" t="str">
        <x:v>Units</x:v>
      </x:c>
      <x:c r="D4" s="19" t="str">
        <x:v>Owner</x:v>
      </x:c>
      <x:c r="E4" s="19" t="str">
        <x:v>As-of date</x:v>
      </x:c>
      <x:c r="F4" s="20" t="str">
        <x:v>Source / rationale</x:v>
      </x:c>
      <x:c r="G4" s="59"/>
      <x:c r="H4" s="59"/>
    </x:row>
    <x:row r="5">
      <x:c r="A5" s="60" t="str">
        <x:v>Scenario</x:v>
      </x:c>
      <x:c r="B5" s="69" t="str">
        <x:v>Cost discipline</x:v>
      </x:c>
      <x:c r="C5" s="62" t="str">
        <x:v>Case</x:v>
      </x:c>
      <x:c r="D5" s="62" t="str">
        <x:v>Avery Calder</x:v>
      </x:c>
      <x:c r="E5" s="70" t="n">
        <x:v>46216</x:v>
      </x:c>
      <x:c r="F5" s="63" t="str">
        <x:v>Summit Vale Advisory working assumption</x:v>
      </x:c>
      <x:c r="G5" s="59"/>
      <x:c r="H5" s="59"/>
    </x:row>
    <x:row r="6">
      <x:c r="A6" s="60" t="str">
        <x:v>Phase 2 target</x:v>
      </x:c>
      <x:c r="B6" s="69" t="n">
        <x:v>2700</x:v>
      </x:c>
      <x:c r="C6" s="62" t="str">
        <x:v>¥000</x:v>
      </x:c>
      <x:c r="D6" s="62" t="str">
        <x:v>Keiko Ward</x:v>
      </x:c>
      <x:c r="E6" s="70" t="n">
        <x:v>46216</x:v>
      </x:c>
      <x:c r="F6" s="63" t="str">
        <x:v>Client Beta operating target</x:v>
      </x:c>
      <x:c r="G6" s="59"/>
      <x:c r="H6" s="59"/>
    </x:row>
    <x:row r="7">
      <x:c r="A7" s="60" t="str">
        <x:v>Confidence threshold</x:v>
      </x:c>
      <x:c r="B7" s="71" t="n">
        <x:v>0.85</x:v>
      </x:c>
      <x:c r="C7" s="62" t="str">
        <x:v>%</x:v>
      </x:c>
      <x:c r="D7" s="62" t="str">
        <x:v>Nina Solberg</x:v>
      </x:c>
      <x:c r="E7" s="70" t="n">
        <x:v>46216</x:v>
      </x:c>
      <x:c r="F7" s="63" t="str">
        <x:v>Management steering threshold</x:v>
      </x:c>
      <x:c r="G7" s="59"/>
      <x:c r="H7" s="59"/>
    </x:row>
    <x:row r="8">
      <x:c r="A8" s="60" t="str">
        <x:v>Client Alpha Phase 1 Finance budget</x:v>
      </x:c>
      <x:c r="B8" s="72" t="n">
        <x:v>42800</x:v>
      </x:c>
      <x:c r="C8" s="62" t="str">
        <x:v>¥000</x:v>
      </x:c>
      <x:c r="D8" s="62" t="str">
        <x:v>Theo Mercer</x:v>
      </x:c>
      <x:c r="E8" s="70" t="n">
        <x:v>46216</x:v>
      </x:c>
      <x:c r="F8" s="63" t="str">
        <x:v>Portfolio reference; ¥42.8M</x:v>
      </x:c>
      <x:c r="G8" s="59"/>
      <x:c r="H8" s="59"/>
    </x:row>
    <x:row r="9">
      <x:c r="A9" s="60" t="str">
        <x:v>Review cadence</x:v>
      </x:c>
      <x:c r="B9" s="69" t="n">
        <x:v>7</x:v>
      </x:c>
      <x:c r="C9" s="62" t="str">
        <x:v>Days</x:v>
      </x:c>
      <x:c r="D9" s="62" t="str">
        <x:v>Keiko Ward</x:v>
      </x:c>
      <x:c r="E9" s="70" t="n">
        <x:v>46216</x:v>
      </x:c>
      <x:c r="F9" s="63" t="str">
        <x:v>Weekly operating cadence</x:v>
      </x:c>
      <x:c r="G9" s="59"/>
      <x:c r="H9" s="59"/>
    </x:row>
    <x:row r="10">
      <x:c r="A10" s="65" t="str">
        <x:v>Data scope</x:v>
      </x:c>
      <x:c r="B10" s="73" t="str">
        <x:v>Fictional team and operational data</x:v>
      </x:c>
      <x:c r="C10" s="67" t="str">
        <x:v>Text</x:v>
      </x:c>
      <x:c r="D10" s="67" t="str">
        <x:v>Avery Calder</x:v>
      </x:c>
      <x:c r="E10" s="74" t="n">
        <x:v>46216</x:v>
      </x:c>
      <x:c r="F10" s="68" t="str">
        <x:v>No real PII or external confidential data</x:v>
      </x:c>
      <x:c r="G10" s="59"/>
      <x:c r="H10" s="59"/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23" hidden="0" customWidth="1"/>
    <x:col min="4" max="4" width="15" hidden="0" customWidth="1"/>
    <x:col min="5" max="5" width="13" hidden="0" customWidth="1"/>
    <x:col min="6" max="6" width="15" hidden="0" customWidth="1"/>
    <x:col min="7" max="7" width="16" hidden="0" customWidth="1"/>
    <x:col min="8" max="8" width="16" hidden="0" customWidth="1"/>
  </x:cols>
  <x:sheetData>
    <x:row r="1" ht="28" customHeight="1">
      <x:c r="A1" s="4" t="str">
        <x:v>Analysis Detail</x:v>
      </x:c>
      <x:c r="B1" s="4"/>
      <x:c r="C1" s="4"/>
      <x:c r="D1" s="4"/>
      <x:c r="E1" s="4"/>
      <x:c r="F1" s="4"/>
      <x:c r="G1" s="4"/>
      <x:c r="H1" s="4"/>
    </x:row>
    <x:row r="2" ht="20" customHeight="1">
      <x:c r="A2" s="7" t="str">
        <x:v>Conversion cost (¥000) • Formula-driven variance, trajectory, and operating signal</x:v>
      </x:c>
      <x:c r="B2" s="7"/>
      <x:c r="C2" s="7"/>
      <x:c r="D2" s="7"/>
      <x:c r="E2" s="7"/>
      <x:c r="F2" s="7"/>
      <x:c r="G2" s="7"/>
      <x:c r="H2" s="7"/>
    </x:row>
    <x:row r="3">
      <x:c r="A3" s="59"/>
      <x:c r="B3" s="59"/>
      <x:c r="C3" s="59"/>
      <x:c r="D3" s="59"/>
      <x:c r="E3" s="59"/>
      <x:c r="F3" s="59"/>
      <x:c r="G3" s="59"/>
      <x:c r="H3" s="59"/>
    </x:row>
    <x:row r="4" ht="34" customHeight="1">
      <x:c r="A4" s="45" t="str">
        <x:v>Period</x:v>
      </x:c>
      <x:c r="B4" s="45" t="str">
        <x:v>Actual</x:v>
      </x:c>
      <x:c r="C4" s="45" t="str">
        <x:v>Target</x:v>
      </x:c>
      <x:c r="D4" s="45" t="str">
        <x:v>Variance</x:v>
      </x:c>
      <x:c r="E4" s="45" t="str">
        <x:v>Attainment</x:v>
      </x:c>
      <x:c r="F4" s="45" t="str">
        <x:v>Week-on-week</x:v>
      </x:c>
      <x:c r="G4" s="45" t="str">
        <x:v>Trend flag</x:v>
      </x:c>
      <x:c r="H4" s="45" t="str">
        <x:v>Target status</x:v>
      </x:c>
    </x:row>
    <x:row r="5" ht="22" customHeight="1">
      <x:c r="A5" s="75" t="str">
        <x:v>Jul 2026</x:v>
      </x:c>
      <x:c r="B5" s="76" t="n">
        <x:v>3100</x:v>
      </x:c>
      <x:c r="C5" s="76" t="n">
        <x:v>3050</x:v>
      </x:c>
      <x:c r="D5" s="76" t="n">
        <x:f>C5-B5</x:f>
        <x:v>-50</x:v>
      </x:c>
      <x:c r="E5" s="77" t="n">
        <x:f>B5/C5</x:f>
        <x:v>1.0163934426229508</x:v>
      </x:c>
      <x:c r="F5" s="75" t="n">
        <x:f>0</x:f>
        <x:v>0</x:v>
      </x:c>
      <x:c r="G5" s="75" t="str">
        <x:f>IF(F5&gt;=0,"Improving","Declining")</x:f>
        <x:v>Improving</x:v>
      </x:c>
      <x:c r="H5" s="75" t="str">
        <x:f>IF(E5&gt;=1,"Met","Below")</x:f>
        <x:v>Met</x:v>
      </x:c>
    </x:row>
    <x:row r="6" ht="22" customHeight="1">
      <x:c r="A6" s="75" t="str">
        <x:v>Aug 2026</x:v>
      </x:c>
      <x:c r="B6" s="76" t="n">
        <x:v>3020</x:v>
      </x:c>
      <x:c r="C6" s="76" t="n">
        <x:v>2960</x:v>
      </x:c>
      <x:c r="D6" s="76" t="n">
        <x:f>C6-B6</x:f>
        <x:v>-60</x:v>
      </x:c>
      <x:c r="E6" s="77" t="n">
        <x:f>B6/C6</x:f>
        <x:v>1.0202702702702702</x:v>
      </x:c>
      <x:c r="F6" s="75" t="n">
        <x:f>B6-B5</x:f>
        <x:v>-80</x:v>
      </x:c>
      <x:c r="G6" s="75" t="str">
        <x:f>IF(F6&gt;=0,"Improving","Declining")</x:f>
        <x:v>Declining</x:v>
      </x:c>
      <x:c r="H6" s="75" t="str">
        <x:f>IF(E6&gt;=1,"Met","Below")</x:f>
        <x:v>Met</x:v>
      </x:c>
    </x:row>
    <x:row r="7" ht="22" customHeight="1">
      <x:c r="A7" s="75" t="str">
        <x:v>Sep 2026</x:v>
      </x:c>
      <x:c r="B7" s="76" t="n">
        <x:v>2940</x:v>
      </x:c>
      <x:c r="C7" s="76" t="n">
        <x:v>2890</x:v>
      </x:c>
      <x:c r="D7" s="76" t="n">
        <x:f>C7-B7</x:f>
        <x:v>-50</x:v>
      </x:c>
      <x:c r="E7" s="77" t="n">
        <x:f>B7/C7</x:f>
        <x:v>1.0173010380622838</x:v>
      </x:c>
      <x:c r="F7" s="75" t="n">
        <x:f>B7-B6</x:f>
        <x:v>-80</x:v>
      </x:c>
      <x:c r="G7" s="75" t="str">
        <x:f>IF(F7&gt;=0,"Improving","Declining")</x:f>
        <x:v>Declining</x:v>
      </x:c>
      <x:c r="H7" s="75" t="str">
        <x:f>IF(E7&gt;=1,"Met","Below")</x:f>
        <x:v>Met</x:v>
      </x:c>
    </x:row>
    <x:row r="8" ht="22" customHeight="1">
      <x:c r="A8" s="75" t="str">
        <x:v>Oct 2026</x:v>
      </x:c>
      <x:c r="B8" s="76" t="n">
        <x:v>2870</x:v>
      </x:c>
      <x:c r="C8" s="76" t="n">
        <x:v>2825</x:v>
      </x:c>
      <x:c r="D8" s="76" t="n">
        <x:f>C8-B8</x:f>
        <x:v>-45</x:v>
      </x:c>
      <x:c r="E8" s="77" t="n">
        <x:f>B8/C8</x:f>
        <x:v>1.015929203539823</x:v>
      </x:c>
      <x:c r="F8" s="75" t="n">
        <x:f>B8-B7</x:f>
        <x:v>-70</x:v>
      </x:c>
      <x:c r="G8" s="75" t="str">
        <x:f>IF(F8&gt;=0,"Improving","Declining")</x:f>
        <x:v>Declining</x:v>
      </x:c>
      <x:c r="H8" s="75" t="str">
        <x:f>IF(E8&gt;=1,"Met","Below")</x:f>
        <x:v>Met</x:v>
      </x:c>
    </x:row>
    <x:row r="9" ht="22" customHeight="1">
      <x:c r="A9" s="75" t="str">
        <x:v>Nov 2026</x:v>
      </x:c>
      <x:c r="B9" s="76" t="n">
        <x:v>2810</x:v>
      </x:c>
      <x:c r="C9" s="76" t="n">
        <x:v>2760</x:v>
      </x:c>
      <x:c r="D9" s="76" t="n">
        <x:f>C9-B9</x:f>
        <x:v>-50</x:v>
      </x:c>
      <x:c r="E9" s="77" t="n">
        <x:f>B9/C9</x:f>
        <x:v>1.0181159420289856</x:v>
      </x:c>
      <x:c r="F9" s="75" t="n">
        <x:f>B9-B8</x:f>
        <x:v>-60</x:v>
      </x:c>
      <x:c r="G9" s="75" t="str">
        <x:f>IF(F9&gt;=0,"Improving","Declining")</x:f>
        <x:v>Declining</x:v>
      </x:c>
      <x:c r="H9" s="75" t="str">
        <x:f>IF(E9&gt;=1,"Met","Below")</x:f>
        <x:v>Met</x:v>
      </x:c>
    </x:row>
    <x:row r="10" ht="22" customHeight="1">
      <x:c r="A10" s="75" t="str">
        <x:v>Dec 2026</x:v>
      </x:c>
      <x:c r="B10" s="76" t="n">
        <x:v>2750</x:v>
      </x:c>
      <x:c r="C10" s="76" t="n">
        <x:v>2700</x:v>
      </x:c>
      <x:c r="D10" s="76" t="n">
        <x:f>C10-B10</x:f>
        <x:v>-50</x:v>
      </x:c>
      <x:c r="E10" s="77" t="n">
        <x:f>B10/C10</x:f>
        <x:v>1.0185185185185186</x:v>
      </x:c>
      <x:c r="F10" s="75" t="n">
        <x:f>B10-B9</x:f>
        <x:v>-60</x:v>
      </x:c>
      <x:c r="G10" s="75" t="str">
        <x:f>IF(F10&gt;=0,"Improving","Declining")</x:f>
        <x:v>Declining</x:v>
      </x:c>
      <x:c r="H10" s="75" t="str">
        <x:f>IF(E10&gt;=1,"Met","Below")</x:f>
        <x:v>Met</x:v>
      </x:c>
    </x:row>
    <x:row r="11">
      <x:c r="A11" s="59"/>
      <x:c r="B11" s="59"/>
      <x:c r="C11" s="59"/>
      <x:c r="D11" s="59"/>
      <x:c r="E11" s="59"/>
      <x:c r="F11" s="59"/>
      <x:c r="G11" s="59"/>
      <x:c r="H11" s="59"/>
    </x:row>
    <x:row r="12">
      <x:c r="A12" s="45" t="str">
        <x:v>Six-period result</x:v>
      </x:c>
      <x:c r="B12" s="45" t="str"/>
      <x:c r="C12" s="45" t="str"/>
      <x:c r="D12" s="45" t="str"/>
      <x:c r="E12" s="12" t="str"/>
      <x:c r="F12" s="12" t="str"/>
      <x:c r="G12" s="12" t="str"/>
      <x:c r="H12" s="12" t="str"/>
    </x:row>
    <x:row r="13">
      <x:c r="A13" s="78" t="str">
        <x:v>Average actual</x:v>
      </x:c>
      <x:c r="B13" s="79" t="n">
        <x:f>AVERAGE(B5:B10)</x:f>
        <x:v>2915</x:v>
      </x:c>
      <x:c r="C13" s="79" t="str">
        <x:v>Average target</x:v>
      </x:c>
      <x:c r="D13" s="79" t="n">
        <x:f>AVERAGE(C5:C10)</x:f>
        <x:v>2864.1666666666665</x:v>
      </x:c>
      <x:c r="E13" s="59"/>
      <x:c r="F13" s="59"/>
      <x:c r="G13" s="59"/>
      <x:c r="H13" s="59"/>
    </x:row>
    <x:row r="14">
      <x:c r="A14" s="78" t="str">
        <x:v>Cumulative variance</x:v>
      </x:c>
      <x:c r="B14" s="79" t="n">
        <x:f>SUM(D5:D10)</x:f>
        <x:v>-305</x:v>
      </x:c>
      <x:c r="C14" s="79" t="str">
        <x:v>Periods meeting target</x:v>
      </x:c>
      <x:c r="D14" s="79" t="n">
        <x:f>COUNTIF(H5:H10,"Met")</x:f>
        <x:v>6</x:v>
      </x:c>
      <x:c r="E14" s="59"/>
      <x:c r="F14" s="59"/>
      <x:c r="G14" s="59"/>
      <x:c r="H14" s="59"/>
    </x:row>
    <x:row r="15">
      <x:c r="A15" s="78" t="str">
        <x:v>Portfolio context</x:v>
      </x:c>
      <x:c r="B15" s="79" t="n">
        <x:v>42800</x:v>
      </x:c>
      <x:c r="C15" s="79" t="str">
        <x:v>Reference budget</x:v>
      </x:c>
      <x:c r="D15" s="79" t="n">
        <x:f>B15</x:f>
        <x:v>42800</x:v>
      </x:c>
      <x:c r="E15" s="59"/>
      <x:c r="F15" s="59"/>
      <x:c r="G15" s="59"/>
      <x:c r="H15" s="59"/>
    </x:row>
  </x:sheetData>
  <x:mergeCells>
    <x:mergeCell ref="A1:H1"/>
    <x:mergeCell ref="A2:H2"/>
    <x:mergeCell ref="A12:H12"/>
  </x:mergeCells>
  <x:conditionalFormatting sqref="E5:E10">
    <x:cfRule type="colorScale" priority="1">
      <x:colorScale>
        <x:cfvo type="min"/>
        <x:cfvo type="percentile" val="50"/>
        <x:cfvo type="max"/>
        <x:color rgb="FFFCE4D6"/>
        <x:color rgb="FFFFF2CC"/>
        <x:color rgb="FFE2F0D9"/>
      </x:colorScale>
    </x:cfRule>
  </x:conditionalFormatting>
  <x:conditionalFormatting sqref="H5:H10">
    <x:cfRule type="containsText" dxfId="2" priority="2" operator="containsText" text="Met"/>
    <x:cfRule type="containsText" dxfId="3" priority="3" operator="containsText" text="Below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26" hidden="0" customWidth="1"/>
    <x:col min="4" max="4" width="26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8" customHeight="1">
      <x:c r="A1" s="4" t="str">
        <x:v>Checks</x:v>
      </x:c>
      <x:c r="B1" s="4"/>
      <x:c r="C1" s="4"/>
      <x:c r="D1" s="4"/>
      <x:c r="E1" s="4"/>
      <x:c r="F1" s="4"/>
      <x:c r="G1" s="4"/>
      <x:c r="H1" s="4"/>
    </x:row>
    <x:row r="2" ht="20" customHeight="1">
      <x:c r="A2" s="7" t="str">
        <x:v>Model controls • Client Beta Phase 2 • Plant Cost Analysis</x:v>
      </x:c>
      <x:c r="B2" s="7"/>
      <x:c r="C2" s="7"/>
      <x:c r="D2" s="7"/>
      <x:c r="E2" s="7"/>
      <x:c r="F2" s="7"/>
      <x:c r="G2" s="7"/>
      <x:c r="H2" s="7"/>
    </x:row>
    <x:row r="3">
      <x:c r="A3" s="59"/>
      <x:c r="B3" s="59"/>
      <x:c r="C3" s="59"/>
      <x:c r="D3" s="59"/>
      <x:c r="E3" s="59"/>
      <x:c r="F3" s="59"/>
      <x:c r="G3" s="59"/>
      <x:c r="H3" s="59"/>
    </x:row>
    <x:row r="4">
      <x:c r="A4" s="18" t="str">
        <x:v>MODEL STATUS</x:v>
      </x:c>
      <x:c r="B4" s="19" t="str">
        <x:v>Result</x:v>
      </x:c>
      <x:c r="C4" s="19" t="str">
        <x:v>Delta</x:v>
      </x:c>
      <x:c r="D4" s="20" t="str">
        <x:v>Where to fix</x:v>
      </x:c>
      <x:c r="E4" s="59"/>
      <x:c r="F4" s="59"/>
      <x:c r="G4" s="59"/>
      <x:c r="H4" s="59"/>
    </x:row>
    <x:row r="5">
      <x:c r="A5" s="60" t="str">
        <x:v>Required assumption populated</x:v>
      </x:c>
      <x:c r="B5" s="62" t="str">
        <x:f>IF(COUNTA('Assumptions &amp; Sources'!B5:B10)=6,"PASS","FAIL")</x:f>
        <x:v>PASS</x:v>
      </x:c>
      <x:c r="C5" s="80" t="n">
        <x:f>COUNTA('Assumptions &amp; Sources'!B5:B10)-6</x:f>
        <x:v>0</x:v>
      </x:c>
      <x:c r="D5" s="63" t="str">
        <x:v>Assumptions &amp; Sources!B5:B10</x:v>
      </x:c>
      <x:c r="E5" s="59"/>
      <x:c r="F5" s="59"/>
      <x:c r="G5" s="59"/>
      <x:c r="H5" s="59"/>
    </x:row>
    <x:row r="6">
      <x:c r="A6" s="60" t="str">
        <x:v>Six-period target populated</x:v>
      </x:c>
      <x:c r="B6" s="62" t="str">
        <x:f>IF(COUNT('Analysis Detail'!C5:C10)=6,"PASS","FAIL")</x:f>
        <x:v>PASS</x:v>
      </x:c>
      <x:c r="C6" s="80" t="n">
        <x:f>COUNT('Analysis Detail'!C5:C10)-6</x:f>
        <x:v>0</x:v>
      </x:c>
      <x:c r="D6" s="63" t="str">
        <x:v>Analysis Detail!C5:C10</x:v>
      </x:c>
      <x:c r="E6" s="59"/>
      <x:c r="F6" s="59"/>
      <x:c r="G6" s="59"/>
      <x:c r="H6" s="59"/>
    </x:row>
    <x:row r="7">
      <x:c r="A7" s="60" t="str">
        <x:v>No variance formula errors</x:v>
      </x:c>
      <x:c r="B7" s="62" t="str">
        <x:f>IF(COUNT('Analysis Detail'!D5:D10)=6,"PASS","FAIL")</x:f>
        <x:v>PASS</x:v>
      </x:c>
      <x:c r="C7" s="80" t="n">
        <x:f>COUNT('Analysis Detail'!D5:D10)-6</x:f>
        <x:v>0</x:v>
      </x:c>
      <x:c r="D7" s="63" t="str">
        <x:v>Analysis Detail!D5:D10</x:v>
      </x:c>
      <x:c r="E7" s="59"/>
      <x:c r="F7" s="59"/>
      <x:c r="G7" s="59"/>
      <x:c r="H7" s="59"/>
    </x:row>
    <x:row r="8">
      <x:c r="A8" s="60" t="str">
        <x:v>Portfolio reference ties to ¥42.8M</x:v>
      </x:c>
      <x:c r="B8" s="62" t="str">
        <x:f>IF('Assumptions &amp; Sources'!B8=42800,"PASS","FAIL")</x:f>
        <x:v>PASS</x:v>
      </x:c>
      <x:c r="C8" s="80" t="n">
        <x:f>'Assumptions &amp; Sources'!B8-42800</x:f>
        <x:v>0</x:v>
      </x:c>
      <x:c r="D8" s="63" t="str">
        <x:v>Assumptions &amp; Sources!B8</x:v>
      </x:c>
      <x:c r="E8" s="59"/>
      <x:c r="F8" s="59"/>
      <x:c r="G8" s="59"/>
      <x:c r="H8" s="59"/>
    </x:row>
    <x:row r="9">
      <x:c r="A9" s="65" t="str">
        <x:v>All controls</x:v>
      </x:c>
      <x:c r="B9" s="67" t="str">
        <x:f>IF(COUNTIF(B5:B8,"PASS")=4,"PASS","FAIL")</x:f>
        <x:v>PASS</x:v>
      </x:c>
      <x:c r="C9" s="81" t="n">
        <x:f>COUNTIF(B5:B8,"FAIL")</x:f>
        <x:v>0</x:v>
      </x:c>
      <x:c r="D9" s="68" t="str">
        <x:v>Review failed controls first</x:v>
      </x:c>
      <x:c r="E9" s="59"/>
      <x:c r="F9" s="59"/>
      <x:c r="G9" s="59"/>
      <x:c r="H9" s="59"/>
    </x:row>
    <x:row r="10">
      <x:c r="A10" s="59"/>
      <x:c r="B10" s="59"/>
      <x:c r="C10" s="59"/>
      <x:c r="D10" s="59"/>
      <x:c r="E10" s="59"/>
      <x:c r="F10" s="59"/>
      <x:c r="G10" s="59"/>
      <x:c r="H10" s="59"/>
    </x:row>
    <x:row r="11">
      <x:c r="A11" s="82" t="str">
        <x:v>Source note</x:v>
      </x:c>
      <x:c r="B11" s="82" t="str">
        <x:v>All data are fictional for Client Beta Phase 2; portfolio reference is an internal scenario assumption.</x:v>
      </x:c>
      <x:c r="C11" s="82" t="str"/>
      <x:c r="D11" s="82" t="str"/>
      <x:c r="E11" s="59"/>
      <x:c r="F11" s="59"/>
      <x:c r="G11" s="59"/>
      <x:c r="H11" s="59"/>
    </x:row>
  </x:sheetData>
  <x:mergeCells>
    <x:mergeCell ref="A1:H1"/>
    <x:mergeCell ref="A2:H2"/>
    <x:mergeCell ref="B11:D11"/>
  </x:mergeCells>
  <x:conditionalFormatting sqref="B5:B9">
    <x:cfRule type="containsText" dxfId="4" priority="1" operator="containsText" text="PASS"/>
    <x:cfRule type="containsText" dxfId="5" priority="2" operator="containsText" text="FAIL"/>
  </x:conditionalFormatting>
  <x:pageMargins left="0.7" right="0.7" top="0.75" bottom="0.75" header="0.3" footer="0.3"/>
</x:worksheet>
</file>