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dd47181fa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21fbe58b1f14525"/>
    <x:sheet xmlns:r="http://schemas.openxmlformats.org/officeDocument/2006/relationships" name="Assumptions &amp; Sources" sheetId="2" r:id="R3eaf7fd9bcbc47cb"/>
    <x:sheet xmlns:r="http://schemas.openxmlformats.org/officeDocument/2006/relationships" name="Analysis Detail" sheetId="3" r:id="R8d97f7b5fda242a3"/>
    <x:sheet xmlns:r="http://schemas.openxmlformats.org/officeDocument/2006/relationships" name="Checks" sheetId="4" r:id="Ra5e3e0c4d01e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b3e98e8f94487" /><Relationship Type="http://schemas.openxmlformats.org/officeDocument/2006/relationships/theme" Target="/xl/theme/theme1.xml" Id="Rd1653dba67aa45f0" /><Relationship Type="http://schemas.openxmlformats.org/officeDocument/2006/relationships/sharedStrings" Target="/xl/sharedStrings.xml" Id="Rd4f60425c98240af" /><Relationship Type="http://schemas.openxmlformats.org/officeDocument/2006/relationships/worksheet" Target="/xl/worksheets/sheet1.xml" Id="R321fbe58b1f14525" /><Relationship Type="http://schemas.openxmlformats.org/officeDocument/2006/relationships/worksheet" Target="/xl/worksheets/sheet2.xml" Id="R3eaf7fd9bcbc47cb" /><Relationship Type="http://schemas.openxmlformats.org/officeDocument/2006/relationships/worksheet" Target="/xl/worksheets/sheet3.xml" Id="R8d97f7b5fda242a3" /><Relationship Type="http://schemas.openxmlformats.org/officeDocument/2006/relationships/worksheet" Target="/xl/worksheets/sheet4.xml" Id="Ra5e3e0c4d01e46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f9c27d2f6c43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Supplier score: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Supplier score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Score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f9c27d2f6c43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8e31e0315548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Supplier Performance Model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Theo Mercer • Supplier recovery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Supplier score</x:v>
      </x:c>
      <x:c r="B5" s="63" t="n">
        <x:v>77</x:v>
      </x:c>
      <x:c r="C5" s="63" t="n">
        <x:v>85</x:v>
      </x:c>
      <x:c r="D5" s="63" t="n">
        <x:f>C5-B5</x:f>
        <x:v>8</x:v>
      </x:c>
      <x:c r="E5" s="64" t="str">
        <x:f>'Analysis Detail'!G7</x:f>
        <x:v>Improving</x:v>
      </x:c>
      <x:c r="F5" s="64" t="str">
        <x:v>Prioritize weekly operating review</x:v>
      </x:c>
      <x:c r="G5" s="64" t="str">
        <x:f>IF(D5&gt;=0,"ON TRACK","WATCH")</x:f>
        <x:v>ON TRACK</x:v>
      </x:c>
      <x:c r="H5" s="65" t="str">
        <x:v>Phase 2 working dataset</x:v>
      </x:c>
    </x:row>
    <x:row r="6">
      <x:c r="A6" s="62" t="str">
        <x:v>On-time delivery</x:v>
      </x:c>
      <x:c r="B6" s="66" t="n">
        <x:v>1.0266666666666666</x:v>
      </x:c>
      <x:c r="C6" s="66" t="n">
        <x:v>1</x:v>
      </x:c>
      <x:c r="D6" s="66" t="n">
        <x:f>C6-B6</x:f>
        <x:v>-0.026666666666666616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supplier recovery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e98e31e0315548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78000020980835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Supplier recovery</x:v>
      </x:c>
      <x:c r="C5" s="64" t="str">
        <x:v>Case</x:v>
      </x:c>
      <x:c r="D5" s="64" t="str">
        <x:v>Keiko Ward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85</x:v>
      </x:c>
      <x:c r="C6" s="64" t="str">
        <x:v>Score</x:v>
      </x:c>
      <x:c r="D6" s="64" t="str">
        <x:v>Theo Mercer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Avery Calder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Nina Solberg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Theo Mercer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Keiko Ward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Supplier score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77</x:v>
      </x:c>
      <x:c r="C5" s="78" t="n">
        <x:v>75</x:v>
      </x:c>
      <x:c r="D5" s="78" t="n">
        <x:f>C5-B5</x:f>
        <x:v>-2</x:v>
      </x:c>
      <x:c r="E5" s="79" t="n">
        <x:f>B5/C5</x:f>
        <x:v>1.0266666666666666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79</x:v>
      </x:c>
      <x:c r="C6" s="78" t="n">
        <x:v>77</x:v>
      </x:c>
      <x:c r="D6" s="78" t="n">
        <x:f>C6-B6</x:f>
        <x:v>-2</x:v>
      </x:c>
      <x:c r="E6" s="79" t="n">
        <x:f>B6/C6</x:f>
        <x:v>1.025974025974026</x:v>
      </x:c>
      <x:c r="F6" s="77" t="n">
        <x:f>B6-B5</x:f>
        <x:v>2</x:v>
      </x:c>
      <x:c r="G6" s="77" t="str">
        <x:f>IF(F6&gt;=0,"Improving","Declining")</x:f>
        <x:v>Improving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81</x:v>
      </x:c>
      <x:c r="C7" s="78" t="n">
        <x:v>79</x:v>
      </x:c>
      <x:c r="D7" s="78" t="n">
        <x:f>C7-B7</x:f>
        <x:v>-2</x:v>
      </x:c>
      <x:c r="E7" s="79" t="n">
        <x:f>B7/C7</x:f>
        <x:v>1.0253164556962024</x:v>
      </x:c>
      <x:c r="F7" s="77" t="n">
        <x:f>B7-B6</x:f>
        <x:v>2</x:v>
      </x:c>
      <x:c r="G7" s="77" t="str">
        <x:f>IF(F7&gt;=0,"Improving","Declining")</x:f>
        <x:v>Improving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83</x:v>
      </x:c>
      <x:c r="C8" s="78" t="n">
        <x:v>81</x:v>
      </x:c>
      <x:c r="D8" s="78" t="n">
        <x:f>C8-B8</x:f>
        <x:v>-2</x:v>
      </x:c>
      <x:c r="E8" s="79" t="n">
        <x:f>B8/C8</x:f>
        <x:v>1.0246913580246915</x:v>
      </x:c>
      <x:c r="F8" s="77" t="n">
        <x:f>B8-B7</x:f>
        <x:v>2</x:v>
      </x:c>
      <x:c r="G8" s="77" t="str">
        <x:f>IF(F8&gt;=0,"Improving","Declining")</x:f>
        <x:v>Improving</x:v>
      </x:c>
      <x:c r="H8" s="77" t="str">
        <x:f>IF(E8&gt;=1,"Met","Below")</x:f>
        <x:v>Met</x:v>
      </x:c>
    </x:row>
    <x:row r="9" ht="22" customHeight="1">
      <x:c r="A9" s="77" t="str">
        <x:v>Nov 2026</x:v>
      </x:c>
      <x:c r="B9" s="78" t="n">
        <x:v>85</x:v>
      </x:c>
      <x:c r="C9" s="78" t="n">
        <x:v>83</x:v>
      </x:c>
      <x:c r="D9" s="78" t="n">
        <x:f>C9-B9</x:f>
        <x:v>-2</x:v>
      </x:c>
      <x:c r="E9" s="79" t="n">
        <x:f>B9/C9</x:f>
        <x:v>1.0240963855421688</x:v>
      </x:c>
      <x:c r="F9" s="77" t="n">
        <x:f>B9-B8</x:f>
        <x:v>2</x:v>
      </x:c>
      <x:c r="G9" s="77" t="str">
        <x:f>IF(F9&gt;=0,"Improving","Declining")</x:f>
        <x:v>Improving</x:v>
      </x:c>
      <x:c r="H9" s="77" t="str">
        <x:f>IF(E9&gt;=1,"Met","Below")</x:f>
        <x:v>Met</x:v>
      </x:c>
    </x:row>
    <x:row r="10" ht="22" customHeight="1">
      <x:c r="A10" s="77" t="str">
        <x:v>Dec 2026</x:v>
      </x:c>
      <x:c r="B10" s="78" t="n">
        <x:v>87</x:v>
      </x:c>
      <x:c r="C10" s="78" t="n">
        <x:v>85</x:v>
      </x:c>
      <x:c r="D10" s="78" t="n">
        <x:f>C10-B10</x:f>
        <x:v>-2</x:v>
      </x:c>
      <x:c r="E10" s="79" t="n">
        <x:f>B10/C10</x:f>
        <x:v>1.0235294117647058</x:v>
      </x:c>
      <x:c r="F10" s="77" t="n">
        <x:f>B10-B9</x:f>
        <x:v>2</x:v>
      </x:c>
      <x:c r="G10" s="77" t="str">
        <x:f>IF(F10&gt;=0,"Improving","Declining")</x:f>
        <x:v>Improving</x:v>
      </x:c>
      <x:c r="H10" s="77" t="str">
        <x:f>IF(E10&gt;=1,"Met","Below")</x:f>
        <x:v>Met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82</x:v>
      </x:c>
      <x:c r="C13" s="81" t="str">
        <x:v>Average target</x:v>
      </x:c>
      <x:c r="D13" s="81" t="n">
        <x:f>AVERAGE(C5:C10)</x:f>
        <x:v>80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-12</x:v>
      </x:c>
      <x:c r="C14" s="81" t="str">
        <x:v>Periods meeting target</x:v>
      </x:c>
      <x:c r="D14" s="81" t="n">
        <x:f>COUNTIF(H5:H10,"Met")</x:f>
        <x:v>6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Supplier Performance Model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