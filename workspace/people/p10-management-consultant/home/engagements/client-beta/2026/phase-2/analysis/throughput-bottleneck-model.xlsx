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4af7d30ad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40944b327b14867"/>
    <x:sheet xmlns:r="http://schemas.openxmlformats.org/officeDocument/2006/relationships" name="Assumptions &amp; Sources" sheetId="2" r:id="R2c17bbc7d8ac4fc8"/>
    <x:sheet xmlns:r="http://schemas.openxmlformats.org/officeDocument/2006/relationships" name="Analysis Detail" sheetId="3" r:id="R05d73856271a4ad7"/>
    <x:sheet xmlns:r="http://schemas.openxmlformats.org/officeDocument/2006/relationships" name="Checks" sheetId="4" r:id="R6ff8edc1e572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e53d93e0348cc" /><Relationship Type="http://schemas.openxmlformats.org/officeDocument/2006/relationships/theme" Target="/xl/theme/theme1.xml" Id="R2ca67ec74671453d" /><Relationship Type="http://schemas.openxmlformats.org/officeDocument/2006/relationships/sharedStrings" Target="/xl/sharedStrings.xml" Id="R2ae956207b784554" /><Relationship Type="http://schemas.openxmlformats.org/officeDocument/2006/relationships/worksheet" Target="/xl/worksheets/sheet1.xml" Id="Rf40944b327b14867" /><Relationship Type="http://schemas.openxmlformats.org/officeDocument/2006/relationships/worksheet" Target="/xl/worksheets/sheet2.xml" Id="R2c17bbc7d8ac4fc8" /><Relationship Type="http://schemas.openxmlformats.org/officeDocument/2006/relationships/worksheet" Target="/xl/worksheets/sheet3.xml" Id="R05d73856271a4ad7" /><Relationship Type="http://schemas.openxmlformats.org/officeDocument/2006/relationships/worksheet" Target="/xl/worksheets/sheet4.xml" Id="R6ff8edc1e57246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5c1c4dc7db4e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Bottleneck throughput (units/day):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Bottleneck throughput (units/day)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Units/day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5c1c4dc7db4e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a775ba0e2343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Throughput Bottleneck Model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Keiko Ward • Constraint management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Bottleneck throughput (units/day)</x:v>
      </x:c>
      <x:c r="B5" s="63" t="n">
        <x:v>910</x:v>
      </x:c>
      <x:c r="C5" s="63" t="n">
        <x:v>1040</x:v>
      </x:c>
      <x:c r="D5" s="63" t="n">
        <x:f>C5-B5</x:f>
        <x:v>130</x:v>
      </x:c>
      <x:c r="E5" s="64" t="str">
        <x:f>'Analysis Detail'!G7</x:f>
        <x:v>Improving</x:v>
      </x:c>
      <x:c r="F5" s="64" t="str">
        <x:v>Prioritize weekly operating review</x:v>
      </x:c>
      <x:c r="G5" s="64" t="str">
        <x:f>IF(D5&gt;=0,"ON TRACK","WATCH")</x:f>
        <x:v>ON TRACK</x:v>
      </x:c>
      <x:c r="H5" s="65" t="str">
        <x:v>Phase 2 working dataset</x:v>
      </x:c>
    </x:row>
    <x:row r="6">
      <x:c r="A6" s="62" t="str">
        <x:v>Constraint release</x:v>
      </x:c>
      <x:c r="B6" s="66" t="n">
        <x:v>1.0224719101123596</x:v>
      </x:c>
      <x:c r="C6" s="66" t="n">
        <x:v>1</x:v>
      </x:c>
      <x:c r="D6" s="66" t="n">
        <x:f>C6-B6</x:f>
        <x:v>-0.022471910112359605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constraint management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5fa775ba0e23432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7.440000057220459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Constraint management</x:v>
      </x:c>
      <x:c r="C5" s="64" t="str">
        <x:v>Case</x:v>
      </x:c>
      <x:c r="D5" s="64" t="str">
        <x:v>Avery Calder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1040</x:v>
      </x:c>
      <x:c r="C6" s="64" t="str">
        <x:v>Units/day</x:v>
      </x:c>
      <x:c r="D6" s="64" t="str">
        <x:v>Keiko Ward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Nina Solberg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Theo Mercer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Keiko Ward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Avery Calder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Bottleneck throughput (units/day)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910</x:v>
      </x:c>
      <x:c r="C5" s="78" t="n">
        <x:v>890</x:v>
      </x:c>
      <x:c r="D5" s="78" t="n">
        <x:f>C5-B5</x:f>
        <x:v>-20</x:v>
      </x:c>
      <x:c r="E5" s="79" t="n">
        <x:f>B5/C5</x:f>
        <x:v>1.0224719101123596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940</x:v>
      </x:c>
      <x:c r="C6" s="78" t="n">
        <x:v>925</x:v>
      </x:c>
      <x:c r="D6" s="78" t="n">
        <x:f>C6-B6</x:f>
        <x:v>-15</x:v>
      </x:c>
      <x:c r="E6" s="79" t="n">
        <x:f>B6/C6</x:f>
        <x:v>1.0162162162162163</x:v>
      </x:c>
      <x:c r="F6" s="77" t="n">
        <x:f>B6-B5</x:f>
        <x:v>30</x:v>
      </x:c>
      <x:c r="G6" s="77" t="str">
        <x:f>IF(F6&gt;=0,"Improving","Declining")</x:f>
        <x:v>Improving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970</x:v>
      </x:c>
      <x:c r="C7" s="78" t="n">
        <x:v>955</x:v>
      </x:c>
      <x:c r="D7" s="78" t="n">
        <x:f>C7-B7</x:f>
        <x:v>-15</x:v>
      </x:c>
      <x:c r="E7" s="79" t="n">
        <x:f>B7/C7</x:f>
        <x:v>1.0157068062827226</x:v>
      </x:c>
      <x:c r="F7" s="77" t="n">
        <x:f>B7-B6</x:f>
        <x:v>30</x:v>
      </x:c>
      <x:c r="G7" s="77" t="str">
        <x:f>IF(F7&gt;=0,"Improving","Declining")</x:f>
        <x:v>Improving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1000</x:v>
      </x:c>
      <x:c r="C8" s="78" t="n">
        <x:v>985</x:v>
      </x:c>
      <x:c r="D8" s="78" t="n">
        <x:f>C8-B8</x:f>
        <x:v>-15</x:v>
      </x:c>
      <x:c r="E8" s="79" t="n">
        <x:f>B8/C8</x:f>
        <x:v>1.015228426395939</x:v>
      </x:c>
      <x:c r="F8" s="77" t="n">
        <x:f>B8-B7</x:f>
        <x:v>30</x:v>
      </x:c>
      <x:c r="G8" s="77" t="str">
        <x:f>IF(F8&gt;=0,"Improving","Declining")</x:f>
        <x:v>Improving</x:v>
      </x:c>
      <x:c r="H8" s="77" t="str">
        <x:f>IF(E8&gt;=1,"Met","Below")</x:f>
        <x:v>Met</x:v>
      </x:c>
    </x:row>
    <x:row r="9" ht="22" customHeight="1">
      <x:c r="A9" s="77" t="str">
        <x:v>Nov 2026</x:v>
      </x:c>
      <x:c r="B9" s="78" t="n">
        <x:v>1030</x:v>
      </x:c>
      <x:c r="C9" s="78" t="n">
        <x:v>1010</x:v>
      </x:c>
      <x:c r="D9" s="78" t="n">
        <x:f>C9-B9</x:f>
        <x:v>-20</x:v>
      </x:c>
      <x:c r="E9" s="79" t="n">
        <x:f>B9/C9</x:f>
        <x:v>1.0198019801980198</x:v>
      </x:c>
      <x:c r="F9" s="77" t="n">
        <x:f>B9-B8</x:f>
        <x:v>30</x:v>
      </x:c>
      <x:c r="G9" s="77" t="str">
        <x:f>IF(F9&gt;=0,"Improving","Declining")</x:f>
        <x:v>Improving</x:v>
      </x:c>
      <x:c r="H9" s="77" t="str">
        <x:f>IF(E9&gt;=1,"Met","Below")</x:f>
        <x:v>Met</x:v>
      </x:c>
    </x:row>
    <x:row r="10" ht="22" customHeight="1">
      <x:c r="A10" s="77" t="str">
        <x:v>Dec 2026</x:v>
      </x:c>
      <x:c r="B10" s="78" t="n">
        <x:v>1060</x:v>
      </x:c>
      <x:c r="C10" s="78" t="n">
        <x:v>1040</x:v>
      </x:c>
      <x:c r="D10" s="78" t="n">
        <x:f>C10-B10</x:f>
        <x:v>-20</x:v>
      </x:c>
      <x:c r="E10" s="79" t="n">
        <x:f>B10/C10</x:f>
        <x:v>1.0192307692307692</x:v>
      </x:c>
      <x:c r="F10" s="77" t="n">
        <x:f>B10-B9</x:f>
        <x:v>30</x:v>
      </x:c>
      <x:c r="G10" s="77" t="str">
        <x:f>IF(F10&gt;=0,"Improving","Declining")</x:f>
        <x:v>Improving</x:v>
      </x:c>
      <x:c r="H10" s="77" t="str">
        <x:f>IF(E10&gt;=1,"Met","Below")</x:f>
        <x:v>Met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985</x:v>
      </x:c>
      <x:c r="C13" s="81" t="str">
        <x:v>Average target</x:v>
      </x:c>
      <x:c r="D13" s="81" t="n">
        <x:f>AVERAGE(C5:C10)</x:f>
        <x:v>967.5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-105</x:v>
      </x:c>
      <x:c r="C14" s="81" t="str">
        <x:v>Periods meeting target</x:v>
      </x:c>
      <x:c r="D14" s="81" t="n">
        <x:f>COUNTIF(H5:H10,"Met")</x:f>
        <x:v>6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Throughput Bottleneck Model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