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18121a2b2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f08cc5776a243b6"/>
    <x:sheet xmlns:r="http://schemas.openxmlformats.org/officeDocument/2006/relationships" name="Assumptions &amp; Sources" sheetId="2" r:id="Rff68626bbf6d4247"/>
    <x:sheet xmlns:r="http://schemas.openxmlformats.org/officeDocument/2006/relationships" name="Analysis Detail" sheetId="3" r:id="R21a6b9ea357644de"/>
    <x:sheet xmlns:r="http://schemas.openxmlformats.org/officeDocument/2006/relationships" name="Checks" sheetId="4" r:id="R5f8dbcd282f7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"/>
    <x:numFmt numFmtId="202" formatCode="&quot;¥&quot;#,##0;[Red](&quot;¥&quot;#,##0);-"/>
    <x:numFmt numFmtId="203" formatCode="yyyy-mm-dd"/>
    <x:numFmt numFmtId="204" formatCode="&quot;¥&quot;#,##0"/>
    <x:numFmt numFmtId="205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4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  <x:xf numFmtId="205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5cf4adc8d454b" /><Relationship Type="http://schemas.openxmlformats.org/officeDocument/2006/relationships/theme" Target="/xl/theme/theme1.xml" Id="R21f6c6073cdc417f" /><Relationship Type="http://schemas.openxmlformats.org/officeDocument/2006/relationships/sharedStrings" Target="/xl/sharedStrings.xml" Id="Rbf78cc87ef584ef3" /><Relationship Type="http://schemas.openxmlformats.org/officeDocument/2006/relationships/worksheet" Target="/xl/worksheets/sheet1.xml" Id="R9f08cc5776a243b6" /><Relationship Type="http://schemas.openxmlformats.org/officeDocument/2006/relationships/worksheet" Target="/xl/worksheets/sheet2.xml" Id="Rff68626bbf6d4247" /><Relationship Type="http://schemas.openxmlformats.org/officeDocument/2006/relationships/worksheet" Target="/xl/worksheets/sheet3.xml" Id="R21a6b9ea357644de" /><Relationship Type="http://schemas.openxmlformats.org/officeDocument/2006/relationships/worksheet" Target="/xl/worksheets/sheet4.xml" Id="R5f8dbcd282f74b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5d7d7aeb3f42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Output per paid hour: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Output per paid hour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Units/hour</a:t>
                </a:r>
              </a:p>
            </c:rich>
          </c:tx>
          <c:overlay val="0"/>
        </c:title>
        <c:numFmt formatCode="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5d7d7aeb3f42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f513aa67c3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Labor Productivity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Avery Calder • Standard work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Metric</x:v>
      </x:c>
      <x:c r="B4" s="21" t="str">
        <x:v>Current</x:v>
      </x:c>
      <x:c r="C4" s="21" t="str">
        <x:v>Phase 2 target</x:v>
      </x:c>
      <x:c r="D4" s="21" t="str">
        <x:v>Gap</x:v>
      </x:c>
      <x:c r="E4" s="21" t="str">
        <x:v>Trend</x:v>
      </x:c>
      <x:c r="F4" s="21" t="str">
        <x:v>Decision cue</x:v>
      </x:c>
      <x:c r="G4" s="21" t="str">
        <x:v>Status</x:v>
      </x:c>
      <x:c r="H4" s="22" t="str">
        <x:v>Source</x:v>
      </x:c>
    </x:row>
    <x:row r="5">
      <x:c r="A5" s="62" t="str">
        <x:v>Output per paid hour</x:v>
      </x:c>
      <x:c r="B5" s="63" t="n">
        <x:v>8.2</x:v>
      </x:c>
      <x:c r="C5" s="63" t="n">
        <x:v>9.2</x:v>
      </x:c>
      <x:c r="D5" s="63" t="n">
        <x:f>C5-B5</x:f>
        <x:v>1</x:v>
      </x:c>
      <x:c r="E5" s="64" t="str">
        <x:f>'Analysis Detail'!G7</x:f>
        <x:v>Improving</x:v>
      </x:c>
      <x:c r="F5" s="64" t="str">
        <x:v>Prioritize weekly operating review</x:v>
      </x:c>
      <x:c r="G5" s="64" t="str">
        <x:f>IF(D5&gt;=0,"ON TRACK","WATCH")</x:f>
        <x:v>ON TRACK</x:v>
      </x:c>
      <x:c r="H5" s="65" t="str">
        <x:v>Phase 2 working dataset</x:v>
      </x:c>
    </x:row>
    <x:row r="6">
      <x:c r="A6" s="62" t="str">
        <x:v>Productivity index</x:v>
      </x:c>
      <x:c r="B6" s="66" t="n">
        <x:v>1.025</x:v>
      </x:c>
      <x:c r="C6" s="66" t="n">
        <x:v>1</x:v>
      </x:c>
      <x:c r="D6" s="66" t="n">
        <x:f>C6-B6</x:f>
        <x:v>-0.02499999999999991</x:v>
      </x:c>
      <x:c r="E6" s="64" t="str">
        <x:f>'Analysis Detail'!H7</x:f>
        <x:v>Met</x:v>
      </x:c>
      <x:c r="F6" s="64" t="str">
        <x:v>Escalate exceptions above threshold</x:v>
      </x:c>
      <x:c r="G6" s="64" t="str">
        <x:f>IF(B6&gt;=C6,"ON TRACK","WATCH")</x:f>
        <x:v>ON TRACK</x:v>
      </x:c>
      <x:c r="H6" s="65" t="str">
        <x:v>Client Beta operating team</x:v>
      </x:c>
    </x:row>
    <x:row r="7">
      <x:c r="A7" s="67" t="str">
        <x:v>Portfolio reference</x:v>
      </x:c>
      <x:c r="B7" s="68" t="n">
        <x:v>42800</x:v>
      </x:c>
      <x:c r="C7" s="68" t="n">
        <x:v>42800</x:v>
      </x:c>
      <x:c r="D7" s="68" t="n">
        <x:f>C7-B7</x:f>
        <x:v>0</x:v>
      </x:c>
      <x:c r="E7" s="69" t="n">
        <x:f>0</x:f>
        <x:v>0</x:v>
      </x:c>
      <x:c r="F7" s="69" t="str">
        <x:v>Client Alpha Phase 1 Finance budget reference</x:v>
      </x:c>
      <x:c r="G7" s="69" t="str">
        <x:f>IF(D7=0,"PASS","FAIL")</x:f>
        <x:v>PASS</x:v>
      </x:c>
      <x:c r="H7" s="70" t="str">
        <x:v>Portfolio assumption log</x:v>
      </x:c>
    </x:row>
    <x:row r="8">
      <x:c r="A8" s="61"/>
      <x:c r="B8" s="61"/>
      <x:c r="C8" s="61"/>
      <x:c r="D8" s="61"/>
      <x:c r="E8" s="61"/>
      <x:c r="F8" s="61"/>
      <x:c r="G8" s="61"/>
      <x:c r="H8" s="61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>
      <x:c r="A10" s="20" t="str">
        <x:v>Management takeaways</x:v>
      </x:c>
      <x:c r="B10" s="21" t="str"/>
      <x:c r="C10" s="21" t="str"/>
      <x:c r="D10" s="22" t="str"/>
      <x:c r="E10" s="61"/>
      <x:c r="F10" s="61"/>
      <x:c r="G10" s="61"/>
      <x:c r="H10" s="61"/>
    </x:row>
    <x:row r="11" ht="52" customHeight="1">
      <x:c r="A11" s="62" t="str">
        <x:v>1</x:v>
      </x:c>
      <x:c r="B11" s="64" t="str">
        <x:v>Use standard work to protect the December target.</x:v>
      </x:c>
      <x:c r="C11" s="64" t="str"/>
      <x:c r="D11" s="65" t="str"/>
      <x:c r="E11" s="61"/>
      <x:c r="F11" s="61"/>
      <x:c r="G11" s="61"/>
      <x:c r="H11" s="61"/>
    </x:row>
    <x:row r="12" ht="52" customHeight="1">
      <x:c r="A12" s="62" t="str">
        <x:v>2</x:v>
      </x:c>
      <x:c r="B12" s="64" t="str">
        <x:v>Direct exception reviews to the largest weekly variance.</x:v>
      </x:c>
      <x:c r="C12" s="64" t="str"/>
      <x:c r="D12" s="65" t="str"/>
      <x:c r="E12" s="61"/>
      <x:c r="F12" s="61"/>
      <x:c r="G12" s="61"/>
      <x:c r="H12" s="61"/>
    </x:row>
    <x:row r="13" ht="52" customHeight="1">
      <x:c r="A13" s="67" t="str">
        <x:v>3</x:v>
      </x:c>
      <x:c r="B13" s="69" t="str">
        <x:v>Validate weekly baseline before releasing savings claims.</x:v>
      </x:c>
      <x:c r="C13" s="69" t="str"/>
      <x:c r="D13" s="70" t="str"/>
      <x:c r="E13" s="61"/>
      <x:c r="F13" s="61"/>
      <x:c r="G13" s="61"/>
      <x:c r="H13" s="61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27f513aa67c3462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8.109999656677246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Assumption</x:v>
      </x:c>
      <x:c r="B4" s="21" t="str">
        <x:v>Value</x:v>
      </x:c>
      <x:c r="C4" s="21" t="str">
        <x:v>Units</x:v>
      </x:c>
      <x:c r="D4" s="21" t="str">
        <x:v>Owner</x:v>
      </x:c>
      <x:c r="E4" s="21" t="str">
        <x:v>As-of date</x:v>
      </x:c>
      <x:c r="F4" s="22" t="str">
        <x:v>Source / rationale</x:v>
      </x:c>
      <x:c r="G4" s="61"/>
      <x:c r="H4" s="61"/>
    </x:row>
    <x:row r="5">
      <x:c r="A5" s="62" t="str">
        <x:v>Scenario</x:v>
      </x:c>
      <x:c r="B5" s="71" t="str">
        <x:v>Standard work</x:v>
      </x:c>
      <x:c r="C5" s="64" t="str">
        <x:v>Case</x:v>
      </x:c>
      <x:c r="D5" s="64" t="str">
        <x:v>Nina Solberg</x:v>
      </x:c>
      <x:c r="E5" s="72" t="n">
        <x:v>46216</x:v>
      </x:c>
      <x:c r="F5" s="65" t="str">
        <x:v>Summit Vale Advisory working assumption</x:v>
      </x:c>
      <x:c r="G5" s="61"/>
      <x:c r="H5" s="61"/>
    </x:row>
    <x:row r="6">
      <x:c r="A6" s="62" t="str">
        <x:v>Phase 2 target</x:v>
      </x:c>
      <x:c r="B6" s="71" t="n">
        <x:v>9.2</x:v>
      </x:c>
      <x:c r="C6" s="64" t="str">
        <x:v>Units/hour</x:v>
      </x:c>
      <x:c r="D6" s="64" t="str">
        <x:v>Avery Calder</x:v>
      </x:c>
      <x:c r="E6" s="72" t="n">
        <x:v>46216</x:v>
      </x:c>
      <x:c r="F6" s="65" t="str">
        <x:v>Client Beta operating target</x:v>
      </x:c>
      <x:c r="G6" s="61"/>
      <x:c r="H6" s="61"/>
    </x:row>
    <x:row r="7">
      <x:c r="A7" s="62" t="str">
        <x:v>Confidence threshold</x:v>
      </x:c>
      <x:c r="B7" s="73" t="n">
        <x:v>0.85</x:v>
      </x:c>
      <x:c r="C7" s="64" t="str">
        <x:v>%</x:v>
      </x:c>
      <x:c r="D7" s="64" t="str">
        <x:v>Theo Mercer</x:v>
      </x:c>
      <x:c r="E7" s="72" t="n">
        <x:v>46216</x:v>
      </x:c>
      <x:c r="F7" s="65" t="str">
        <x:v>Management steering threshold</x:v>
      </x:c>
      <x:c r="G7" s="61"/>
      <x:c r="H7" s="61"/>
    </x:row>
    <x:row r="8">
      <x:c r="A8" s="62" t="str">
        <x:v>Client Alpha Phase 1 Finance budget</x:v>
      </x:c>
      <x:c r="B8" s="74" t="n">
        <x:v>42800</x:v>
      </x:c>
      <x:c r="C8" s="64" t="str">
        <x:v>¥000</x:v>
      </x:c>
      <x:c r="D8" s="64" t="str">
        <x:v>Keiko Ward</x:v>
      </x:c>
      <x:c r="E8" s="72" t="n">
        <x:v>46216</x:v>
      </x:c>
      <x:c r="F8" s="65" t="str">
        <x:v>Portfolio reference; ¥42.8M</x:v>
      </x:c>
      <x:c r="G8" s="61"/>
      <x:c r="H8" s="61"/>
    </x:row>
    <x:row r="9">
      <x:c r="A9" s="62" t="str">
        <x:v>Review cadence</x:v>
      </x:c>
      <x:c r="B9" s="71" t="n">
        <x:v>7</x:v>
      </x:c>
      <x:c r="C9" s="64" t="str">
        <x:v>Days</x:v>
      </x:c>
      <x:c r="D9" s="64" t="str">
        <x:v>Avery Calder</x:v>
      </x:c>
      <x:c r="E9" s="72" t="n">
        <x:v>46216</x:v>
      </x:c>
      <x:c r="F9" s="65" t="str">
        <x:v>Weekly operating cadence</x:v>
      </x:c>
      <x:c r="G9" s="61"/>
      <x:c r="H9" s="61"/>
    </x:row>
    <x:row r="10">
      <x:c r="A10" s="67" t="str">
        <x:v>Data scope</x:v>
      </x:c>
      <x:c r="B10" s="75" t="str">
        <x:v>Fictional team and operational data</x:v>
      </x:c>
      <x:c r="C10" s="69" t="str">
        <x:v>Text</x:v>
      </x:c>
      <x:c r="D10" s="69" t="str">
        <x:v>Nina Solberg</x:v>
      </x:c>
      <x:c r="E10" s="76" t="n">
        <x:v>46216</x:v>
      </x:c>
      <x:c r="F10" s="70" t="str">
        <x:v>No real PII or external confidential data</x:v>
      </x:c>
      <x:c r="G10" s="61"/>
      <x:c r="H10" s="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Output per paid hour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 ht="34" customHeight="1">
      <x:c r="A4" s="47" t="str">
        <x:v>Period</x:v>
      </x:c>
      <x:c r="B4" s="47" t="str">
        <x:v>Actual</x:v>
      </x:c>
      <x:c r="C4" s="47" t="str">
        <x:v>Target</x:v>
      </x:c>
      <x:c r="D4" s="47" t="str">
        <x:v>Variance</x:v>
      </x:c>
      <x:c r="E4" s="47" t="str">
        <x:v>Attainment</x:v>
      </x:c>
      <x:c r="F4" s="47" t="str">
        <x:v>Week-on-week</x:v>
      </x:c>
      <x:c r="G4" s="47" t="str">
        <x:v>Trend flag</x:v>
      </x:c>
      <x:c r="H4" s="47" t="str">
        <x:v>Target status</x:v>
      </x:c>
    </x:row>
    <x:row r="5" ht="22" customHeight="1">
      <x:c r="A5" s="77" t="str">
        <x:v>Jul 2026</x:v>
      </x:c>
      <x:c r="B5" s="78" t="n">
        <x:v>8.2</x:v>
      </x:c>
      <x:c r="C5" s="78" t="n">
        <x:v>8</x:v>
      </x:c>
      <x:c r="D5" s="78" t="n">
        <x:f>C5-B5</x:f>
        <x:v>-0.1999999999999993</x:v>
      </x:c>
      <x:c r="E5" s="79" t="n">
        <x:f>B5/C5</x:f>
        <x:v>1.025</x:v>
      </x:c>
      <x:c r="F5" s="77" t="n">
        <x:f>0</x:f>
        <x:v>0</x:v>
      </x:c>
      <x:c r="G5" s="77" t="str">
        <x:f>IF(F5&gt;=0,"Improving","Declining")</x:f>
        <x:v>Improving</x:v>
      </x:c>
      <x:c r="H5" s="77" t="str">
        <x:f>IF(E5&gt;=1,"Met","Below")</x:f>
        <x:v>Met</x:v>
      </x:c>
    </x:row>
    <x:row r="6" ht="22" customHeight="1">
      <x:c r="A6" s="77" t="str">
        <x:v>Aug 2026</x:v>
      </x:c>
      <x:c r="B6" s="78" t="n">
        <x:v>8.4</x:v>
      </x:c>
      <x:c r="C6" s="78" t="n">
        <x:v>8.2</x:v>
      </x:c>
      <x:c r="D6" s="78" t="n">
        <x:f>C6-B6</x:f>
        <x:v>-0.20000000000000107</x:v>
      </x:c>
      <x:c r="E6" s="79" t="n">
        <x:f>B6/C6</x:f>
        <x:v>1.024390243902439</x:v>
      </x:c>
      <x:c r="F6" s="77" t="n">
        <x:f>B6-B5</x:f>
        <x:v>0.20000000000000107</x:v>
      </x:c>
      <x:c r="G6" s="77" t="str">
        <x:f>IF(F6&gt;=0,"Improving","Declining")</x:f>
        <x:v>Improving</x:v>
      </x:c>
      <x:c r="H6" s="77" t="str">
        <x:f>IF(E6&gt;=1,"Met","Below")</x:f>
        <x:v>Met</x:v>
      </x:c>
    </x:row>
    <x:row r="7" ht="22" customHeight="1">
      <x:c r="A7" s="77" t="str">
        <x:v>Sep 2026</x:v>
      </x:c>
      <x:c r="B7" s="78" t="n">
        <x:v>8.7</x:v>
      </x:c>
      <x:c r="C7" s="78" t="n">
        <x:v>8.5</x:v>
      </x:c>
      <x:c r="D7" s="78" t="n">
        <x:f>C7-B7</x:f>
        <x:v>-0.1999999999999993</x:v>
      </x:c>
      <x:c r="E7" s="79" t="n">
        <x:f>B7/C7</x:f>
        <x:v>1.0235294117647058</x:v>
      </x:c>
      <x:c r="F7" s="77" t="n">
        <x:f>B7-B6</x:f>
        <x:v>0.29999999999999893</x:v>
      </x:c>
      <x:c r="G7" s="77" t="str">
        <x:f>IF(F7&gt;=0,"Improving","Declining")</x:f>
        <x:v>Improving</x:v>
      </x:c>
      <x:c r="H7" s="77" t="str">
        <x:f>IF(E7&gt;=1,"Met","Below")</x:f>
        <x:v>Met</x:v>
      </x:c>
    </x:row>
    <x:row r="8" ht="22" customHeight="1">
      <x:c r="A8" s="77" t="str">
        <x:v>Oct 2026</x:v>
      </x:c>
      <x:c r="B8" s="78" t="n">
        <x:v>9</x:v>
      </x:c>
      <x:c r="C8" s="78" t="n">
        <x:v>8.7</x:v>
      </x:c>
      <x:c r="D8" s="78" t="n">
        <x:f>C8-B8</x:f>
        <x:v>-0.3000000000000007</x:v>
      </x:c>
      <x:c r="E8" s="79" t="n">
        <x:f>B8/C8</x:f>
        <x:v>1.0344827586206897</x:v>
      </x:c>
      <x:c r="F8" s="77" t="n">
        <x:f>B8-B7</x:f>
        <x:v>0.3000000000000007</x:v>
      </x:c>
      <x:c r="G8" s="77" t="str">
        <x:f>IF(F8&gt;=0,"Improving","Declining")</x:f>
        <x:v>Improving</x:v>
      </x:c>
      <x:c r="H8" s="77" t="str">
        <x:f>IF(E8&gt;=1,"Met","Below")</x:f>
        <x:v>Met</x:v>
      </x:c>
    </x:row>
    <x:row r="9" ht="22" customHeight="1">
      <x:c r="A9" s="77" t="str">
        <x:v>Nov 2026</x:v>
      </x:c>
      <x:c r="B9" s="78" t="n">
        <x:v>9.3</x:v>
      </x:c>
      <x:c r="C9" s="78" t="n">
        <x:v>9</x:v>
      </x:c>
      <x:c r="D9" s="78" t="n">
        <x:f>C9-B9</x:f>
        <x:v>-0.3000000000000007</x:v>
      </x:c>
      <x:c r="E9" s="79" t="n">
        <x:f>B9/C9</x:f>
        <x:v>1.0333333333333334</x:v>
      </x:c>
      <x:c r="F9" s="77" t="n">
        <x:f>B9-B8</x:f>
        <x:v>0.3000000000000007</x:v>
      </x:c>
      <x:c r="G9" s="77" t="str">
        <x:f>IF(F9&gt;=0,"Improving","Declining")</x:f>
        <x:v>Improving</x:v>
      </x:c>
      <x:c r="H9" s="77" t="str">
        <x:f>IF(E9&gt;=1,"Met","Below")</x:f>
        <x:v>Met</x:v>
      </x:c>
    </x:row>
    <x:row r="10" ht="22" customHeight="1">
      <x:c r="A10" s="77" t="str">
        <x:v>Dec 2026</x:v>
      </x:c>
      <x:c r="B10" s="78" t="n">
        <x:v>9.5</x:v>
      </x:c>
      <x:c r="C10" s="78" t="n">
        <x:v>9.2</x:v>
      </x:c>
      <x:c r="D10" s="78" t="n">
        <x:f>C10-B10</x:f>
        <x:v>-0.3000000000000007</x:v>
      </x:c>
      <x:c r="E10" s="79" t="n">
        <x:f>B10/C10</x:f>
        <x:v>1.032608695652174</x:v>
      </x:c>
      <x:c r="F10" s="77" t="n">
        <x:f>B10-B9</x:f>
        <x:v>0.1999999999999993</x:v>
      </x:c>
      <x:c r="G10" s="77" t="str">
        <x:f>IF(F10&gt;=0,"Improving","Declining")</x:f>
        <x:v>Improving</x:v>
      </x:c>
      <x:c r="H10" s="77" t="str">
        <x:f>IF(E10&gt;=1,"Met","Below")</x:f>
        <x:v>Met</x:v>
      </x:c>
    </x:row>
    <x:row r="11">
      <x:c r="A11" s="61"/>
      <x:c r="B11" s="61"/>
      <x:c r="C11" s="61"/>
      <x:c r="D11" s="61"/>
      <x:c r="E11" s="61"/>
      <x:c r="F11" s="61"/>
      <x:c r="G11" s="61"/>
      <x:c r="H11" s="61"/>
    </x:row>
    <x:row r="12">
      <x:c r="A12" s="47" t="str">
        <x:v>Six-period result</x:v>
      </x:c>
      <x:c r="B12" s="47" t="str"/>
      <x:c r="C12" s="47" t="str"/>
      <x:c r="D12" s="47" t="str"/>
      <x:c r="E12" s="12" t="str"/>
      <x:c r="F12" s="12" t="str"/>
      <x:c r="G12" s="12" t="str"/>
      <x:c r="H12" s="12" t="str"/>
    </x:row>
    <x:row r="13">
      <x:c r="A13" s="80" t="str">
        <x:v>Average actual</x:v>
      </x:c>
      <x:c r="B13" s="81" t="n">
        <x:f>AVERAGE(B5:B10)</x:f>
        <x:v>8.85</x:v>
      </x:c>
      <x:c r="C13" s="81" t="str">
        <x:v>Average target</x:v>
      </x:c>
      <x:c r="D13" s="81" t="n">
        <x:f>AVERAGE(C5:C10)</x:f>
        <x:v>8.6</x:v>
      </x:c>
      <x:c r="E13" s="61"/>
      <x:c r="F13" s="61"/>
      <x:c r="G13" s="61"/>
      <x:c r="H13" s="61"/>
    </x:row>
    <x:row r="14">
      <x:c r="A14" s="80" t="str">
        <x:v>Cumulative variance</x:v>
      </x:c>
      <x:c r="B14" s="81" t="n">
        <x:f>SUM(D5:D10)</x:f>
        <x:v>-1.5000000000000018</x:v>
      </x:c>
      <x:c r="C14" s="81" t="str">
        <x:v>Periods meeting target</x:v>
      </x:c>
      <x:c r="D14" s="81" t="n">
        <x:f>COUNTIF(H5:H10,"Met")</x:f>
        <x:v>6</x:v>
      </x:c>
      <x:c r="E14" s="61"/>
      <x:c r="F14" s="61"/>
      <x:c r="G14" s="61"/>
      <x:c r="H14" s="61"/>
    </x:row>
    <x:row r="15">
      <x:c r="A15" s="80" t="str">
        <x:v>Portfolio context</x:v>
      </x:c>
      <x:c r="B15" s="81" t="n">
        <x:v>42800</x:v>
      </x:c>
      <x:c r="C15" s="81" t="str">
        <x:v>Reference budget</x:v>
      </x:c>
      <x:c r="D15" s="81" t="n">
        <x:f>B15</x:f>
        <x:v>42800</x:v>
      </x:c>
      <x:c r="E15" s="61"/>
      <x:c r="F15" s="61"/>
      <x:c r="G15" s="61"/>
      <x:c r="H15" s="61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Labor Productivity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MODEL STATUS</x:v>
      </x:c>
      <x:c r="B4" s="21" t="str">
        <x:v>Result</x:v>
      </x:c>
      <x:c r="C4" s="21" t="str">
        <x:v>Delta</x:v>
      </x:c>
      <x:c r="D4" s="22" t="str">
        <x:v>Where to fix</x:v>
      </x:c>
      <x:c r="E4" s="61"/>
      <x:c r="F4" s="61"/>
      <x:c r="G4" s="61"/>
      <x:c r="H4" s="61"/>
    </x:row>
    <x:row r="5">
      <x:c r="A5" s="62" t="str">
        <x:v>Required assumption populated</x:v>
      </x:c>
      <x:c r="B5" s="64" t="str">
        <x:f>IF(COUNTA('Assumptions &amp; Sources'!B5:B10)=6,"PASS","FAIL")</x:f>
        <x:v>PASS</x:v>
      </x:c>
      <x:c r="C5" s="82" t="n">
        <x:f>COUNTA('Assumptions &amp; Sources'!B5:B10)-6</x:f>
        <x:v>0</x:v>
      </x:c>
      <x:c r="D5" s="65" t="str">
        <x:v>Assumptions &amp; Sources!B5:B10</x:v>
      </x:c>
      <x:c r="E5" s="61"/>
      <x:c r="F5" s="61"/>
      <x:c r="G5" s="61"/>
      <x:c r="H5" s="61"/>
    </x:row>
    <x:row r="6">
      <x:c r="A6" s="62" t="str">
        <x:v>Six-period target populated</x:v>
      </x:c>
      <x:c r="B6" s="64" t="str">
        <x:f>IF(COUNT('Analysis Detail'!C5:C10)=6,"PASS","FAIL")</x:f>
        <x:v>PASS</x:v>
      </x:c>
      <x:c r="C6" s="82" t="n">
        <x:f>COUNT('Analysis Detail'!C5:C10)-6</x:f>
        <x:v>0</x:v>
      </x:c>
      <x:c r="D6" s="65" t="str">
        <x:v>Analysis Detail!C5:C10</x:v>
      </x:c>
      <x:c r="E6" s="61"/>
      <x:c r="F6" s="61"/>
      <x:c r="G6" s="61"/>
      <x:c r="H6" s="61"/>
    </x:row>
    <x:row r="7">
      <x:c r="A7" s="62" t="str">
        <x:v>No variance formula errors</x:v>
      </x:c>
      <x:c r="B7" s="64" t="str">
        <x:f>IF(COUNT('Analysis Detail'!D5:D10)=6,"PASS","FAIL")</x:f>
        <x:v>PASS</x:v>
      </x:c>
      <x:c r="C7" s="82" t="n">
        <x:f>COUNT('Analysis Detail'!D5:D10)-6</x:f>
        <x:v>0</x:v>
      </x:c>
      <x:c r="D7" s="65" t="str">
        <x:v>Analysis Detail!D5:D10</x:v>
      </x:c>
      <x:c r="E7" s="61"/>
      <x:c r="F7" s="61"/>
      <x:c r="G7" s="61"/>
      <x:c r="H7" s="61"/>
    </x:row>
    <x:row r="8">
      <x:c r="A8" s="62" t="str">
        <x:v>Portfolio reference ties to ¥42.8M</x:v>
      </x:c>
      <x:c r="B8" s="64" t="str">
        <x:f>IF('Assumptions &amp; Sources'!B8=42800,"PASS","FAIL")</x:f>
        <x:v>PASS</x:v>
      </x:c>
      <x:c r="C8" s="82" t="n">
        <x:f>'Assumptions &amp; Sources'!B8-42800</x:f>
        <x:v>0</x:v>
      </x:c>
      <x:c r="D8" s="65" t="str">
        <x:v>Assumptions &amp; Sources!B8</x:v>
      </x:c>
      <x:c r="E8" s="61"/>
      <x:c r="F8" s="61"/>
      <x:c r="G8" s="61"/>
      <x:c r="H8" s="61"/>
    </x:row>
    <x:row r="9">
      <x:c r="A9" s="67" t="str">
        <x:v>All controls</x:v>
      </x:c>
      <x:c r="B9" s="69" t="str">
        <x:f>IF(COUNTIF(B5:B8,"PASS")=4,"PASS","FAIL")</x:f>
        <x:v>PASS</x:v>
      </x:c>
      <x:c r="C9" s="83" t="n">
        <x:f>COUNTIF(B5:B8,"FAIL")</x:f>
        <x:v>0</x:v>
      </x:c>
      <x:c r="D9" s="70" t="str">
        <x:v>Review failed controls first</x:v>
      </x:c>
      <x:c r="E9" s="61"/>
      <x:c r="F9" s="61"/>
      <x:c r="G9" s="61"/>
      <x:c r="H9" s="61"/>
    </x:row>
    <x:row r="10">
      <x:c r="A10" s="61"/>
      <x:c r="B10" s="61"/>
      <x:c r="C10" s="61"/>
      <x:c r="D10" s="61"/>
      <x:c r="E10" s="61"/>
      <x:c r="F10" s="61"/>
      <x:c r="G10" s="61"/>
      <x:c r="H10" s="61"/>
    </x:row>
    <x:row r="11">
      <x:c r="A11" s="84" t="str">
        <x:v>Source note</x:v>
      </x:c>
      <x:c r="B11" s="84" t="str">
        <x:v>All data are fictional for Client Beta Phase 2; portfolio reference is an internal scenario assumption.</x:v>
      </x:c>
      <x:c r="C11" s="84" t="str"/>
      <x:c r="D11" s="84" t="str"/>
      <x:c r="E11" s="61"/>
      <x:c r="F11" s="61"/>
      <x:c r="G11" s="61"/>
      <x:c r="H11" s="61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