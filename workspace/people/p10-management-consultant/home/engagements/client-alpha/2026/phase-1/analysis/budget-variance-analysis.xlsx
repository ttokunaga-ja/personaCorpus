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7fb965f47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53e5560cf5409c"/>
    <x:sheet xmlns:r="http://schemas.openxmlformats.org/officeDocument/2006/relationships" name="Inputs" sheetId="2" r:id="R358cb47c62464637"/>
    <x:sheet xmlns:r="http://schemas.openxmlformats.org/officeDocument/2006/relationships" name="Analysis" sheetId="3" r:id="R72c691fcc3574825"/>
    <x:sheet xmlns:r="http://schemas.openxmlformats.org/officeDocument/2006/relationships" name="Checks" sheetId="4" r:id="R0a7a23d57b0f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643b588d44176" /><Relationship Type="http://schemas.openxmlformats.org/officeDocument/2006/relationships/theme" Target="/xl/theme/theme1.xml" Id="Rc549946f416b4eb7" /><Relationship Type="http://schemas.openxmlformats.org/officeDocument/2006/relationships/sharedStrings" Target="/xl/sharedStrings.xml" Id="R3e8c42def81a44ec" /><Relationship Type="http://schemas.openxmlformats.org/officeDocument/2006/relationships/worksheet" Target="/xl/worksheets/sheet1.xml" Id="R8653e5560cf5409c" /><Relationship Type="http://schemas.openxmlformats.org/officeDocument/2006/relationships/worksheet" Target="/xl/worksheets/sheet2.xml" Id="R358cb47c62464637" /><Relationship Type="http://schemas.openxmlformats.org/officeDocument/2006/relationships/worksheet" Target="/xl/worksheets/sheet3.xml" Id="R72c691fcc3574825" /><Relationship Type="http://schemas.openxmlformats.org/officeDocument/2006/relationships/worksheet" Target="/xl/worksheets/sheet4.xml" Id="R0a7a23d57b0f47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9dae005c1647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9dae005c1647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cde0e6f17a4c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Budget Variance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Budget versus actual variance by spend category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45.5</x:v>
      </x:c>
      <x:c r="C6" s="45" t="n">
        <x:f>'Analysis'!D11</x:f>
        <x:v>-4.49</x:v>
      </x:c>
      <x:c r="D6" s="46" t="n">
        <x:f>IF(B6=0,0,C6/B6)</x:f>
        <x:v>-0.09868131868131869</x:v>
      </x:c>
      <x:c r="E6" s="45" t="n">
        <x:f>'Analysis'!F11</x:f>
        <x:v>-3.6</x:v>
      </x:c>
      <x:c r="F6" s="46" t="n">
        <x:f>'Inputs'!B8</x:f>
        <x:v>0.7999999999999999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Spend category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-0.34</x:v>
      </x:c>
      <x:c r="C11" s="33" t="n">
        <x:f>'Analysis'!F5</x:f>
        <x:v>-0.27</x:v>
      </x:c>
      <x:c r="E11" t="str">
        <x:f>'Analysis'!A5</x:f>
        <x:v>Enterprise</x:v>
      </x:c>
      <x:c r="F11" s="48" t="n">
        <x:f>'Analysis'!D5</x:f>
        <x:v>-0.34</x:v>
      </x:c>
      <x:c r="G11" s="48" t="n">
        <x:f>'Analysis'!F5</x:f>
        <x:v>-0.27</x:v>
      </x:c>
    </x:row>
    <x:row r="12">
      <x:c r="A12" s="14" t="str">
        <x:f>'Analysis'!A6</x:f>
        <x:v>Commercial</x:v>
      </x:c>
      <x:c r="B12" s="33" t="n">
        <x:f>'Analysis'!D6</x:f>
        <x:v>-0.14</x:v>
      </x:c>
      <x:c r="C12" s="33" t="n">
        <x:f>'Analysis'!F6</x:f>
        <x:v>-0.11</x:v>
      </x:c>
      <x:c r="E12" t="str">
        <x:f>'Analysis'!A6</x:f>
        <x:v>Commercial</x:v>
      </x:c>
      <x:c r="F12" s="48" t="n">
        <x:f>'Analysis'!D6</x:f>
        <x:v>-0.14</x:v>
      </x:c>
      <x:c r="G12" s="48" t="n">
        <x:f>'Analysis'!F6</x:f>
        <x:v>-0.11</x:v>
      </x:c>
    </x:row>
    <x:row r="13">
      <x:c r="A13" s="14" t="str">
        <x:f>'Analysis'!A7</x:f>
        <x:v>Operations</x:v>
      </x:c>
      <x:c r="B13" s="33" t="n">
        <x:f>'Analysis'!D7</x:f>
        <x:v>0.24</x:v>
      </x:c>
      <x:c r="C13" s="33" t="n">
        <x:f>'Analysis'!F7</x:f>
        <x:v>0.19</x:v>
      </x:c>
      <x:c r="E13" t="str">
        <x:f>'Analysis'!A7</x:f>
        <x:v>Operations</x:v>
      </x:c>
      <x:c r="F13" s="48" t="n">
        <x:f>'Analysis'!D7</x:f>
        <x:v>0.24</x:v>
      </x:c>
      <x:c r="G13" s="48" t="n">
        <x:f>'Analysis'!F7</x:f>
        <x:v>0.19</x:v>
      </x:c>
    </x:row>
    <x:row r="14">
      <x:c r="A14" s="14" t="str">
        <x:f>'Analysis'!A8</x:f>
        <x:v>Shared Services</x:v>
      </x:c>
      <x:c r="B14" s="33" t="n">
        <x:f>'Analysis'!D8</x:f>
        <x:v>-1.77</x:v>
      </x:c>
      <x:c r="C14" s="33" t="n">
        <x:f>'Analysis'!F8</x:f>
        <x:v>-1.42</x:v>
      </x:c>
      <x:c r="E14" t="str">
        <x:f>'Analysis'!A8</x:f>
        <x:v>Shared Services</x:v>
      </x:c>
      <x:c r="F14" s="48" t="n">
        <x:f>'Analysis'!D8</x:f>
        <x:v>-1.77</x:v>
      </x:c>
      <x:c r="G14" s="48" t="n">
        <x:f>'Analysis'!F8</x:f>
        <x:v>-1.42</x:v>
      </x:c>
    </x:row>
    <x:row r="15">
      <x:c r="A15" s="14" t="str">
        <x:f>'Analysis'!A9</x:f>
        <x:v>Digital</x:v>
      </x:c>
      <x:c r="B15" s="33" t="n">
        <x:f>'Analysis'!D9</x:f>
        <x:v>-1.47</x:v>
      </x:c>
      <x:c r="C15" s="33" t="n">
        <x:f>'Analysis'!F9</x:f>
        <x:v>-1.18</x:v>
      </x:c>
      <x:c r="E15" t="str">
        <x:f>'Analysis'!A9</x:f>
        <x:v>Digital</x:v>
      </x:c>
      <x:c r="F15" s="48" t="n">
        <x:f>'Analysis'!D9</x:f>
        <x:v>-1.47</x:v>
      </x:c>
      <x:c r="G15" s="48" t="n">
        <x:f>'Analysis'!F9</x:f>
        <x:v>-1.18</x:v>
      </x:c>
    </x:row>
    <x:row r="16">
      <x:c r="A16" s="14" t="str">
        <x:f>'Analysis'!A10</x:f>
        <x:v>Corporate</x:v>
      </x:c>
      <x:c r="B16" s="33" t="n">
        <x:f>'Analysis'!D10</x:f>
        <x:v>-1.01</x:v>
      </x:c>
      <x:c r="C16" s="33" t="n">
        <x:f>'Analysis'!F10</x:f>
        <x:v>-0.81</x:v>
      </x:c>
      <x:c r="E16" t="str">
        <x:f>'Analysis'!A10</x:f>
        <x:v>Corporate</x:v>
      </x:c>
      <x:c r="F16" s="48" t="n">
        <x:f>'Analysis'!D10</x:f>
        <x:v>-1.01</x:v>
      </x:c>
      <x:c r="G16" s="48" t="n">
        <x:f>'Analysis'!F10</x:f>
        <x:v>-0.81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accde0e6f17a4c2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Budget Variance Analysis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45.5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0.7999999999999999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3.0999999999999996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Budget Variance Analysis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Spend category</x:v>
      </x:c>
      <x:c r="B4" s="13" t="str">
        <x:v>Budget ¥M</x:v>
      </x:c>
      <x:c r="C4" s="13" t="str">
        <x:v>Actual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6.75</x:v>
      </x:c>
      <x:c r="C5" s="33" t="n">
        <x:v>6.41</x:v>
      </x:c>
      <x:c r="D5" s="33" t="n">
        <x:f>ROUND(C5-B5,2)</x:f>
        <x:v>-0.34</x:v>
      </x:c>
      <x:c r="E5" s="35" t="n">
        <x:f>IF(B5=0,0,D5/B5)</x:f>
        <x:v>-0.05037037037037037</x:v>
      </x:c>
      <x:c r="F5" s="33" t="n">
        <x:f>ROUND(D5*'Inputs'!$B$8,2)</x:f>
        <x:v>-0.27</x:v>
      </x:c>
    </x:row>
    <x:row r="6">
      <x:c r="A6" s="14" t="str">
        <x:v>Commercial</x:v>
      </x:c>
      <x:c r="B6" s="33" t="n">
        <x:v>9.4</x:v>
      </x:c>
      <x:c r="C6" s="33" t="n">
        <x:v>9.26</x:v>
      </x:c>
      <x:c r="D6" s="33" t="n">
        <x:f>ROUND(C6-B6,2)</x:f>
        <x:v>-0.14</x:v>
      </x:c>
      <x:c r="E6" s="35" t="n">
        <x:f>IF(B6=0,0,D6/B6)</x:f>
        <x:v>-0.014893617021276596</x:v>
      </x:c>
      <x:c r="F6" s="33" t="n">
        <x:f>ROUND(D6*'Inputs'!$B$8,2)</x:f>
        <x:v>-0.11</x:v>
      </x:c>
    </x:row>
    <x:row r="7">
      <x:c r="A7" s="14" t="str">
        <x:v>Operations</x:v>
      </x:c>
      <x:c r="B7" s="33" t="n">
        <x:v>12.06</x:v>
      </x:c>
      <x:c r="C7" s="33" t="n">
        <x:v>12.3</x:v>
      </x:c>
      <x:c r="D7" s="33" t="n">
        <x:f>ROUND(C7-B7,2)</x:f>
        <x:v>0.24</x:v>
      </x:c>
      <x:c r="E7" s="35" t="n">
        <x:f>IF(B7=0,0,D7/B7)</x:f>
        <x:v>0.01990049751243781</x:v>
      </x:c>
      <x:c r="F7" s="33" t="n">
        <x:f>ROUND(D7*'Inputs'!$B$8,2)</x:f>
        <x:v>0.19</x:v>
      </x:c>
    </x:row>
    <x:row r="8">
      <x:c r="A8" s="14" t="str">
        <x:v>Shared Services</x:v>
      </x:c>
      <x:c r="B8" s="33" t="n">
        <x:v>14.71</x:v>
      </x:c>
      <x:c r="C8" s="33" t="n">
        <x:v>12.94</x:v>
      </x:c>
      <x:c r="D8" s="33" t="n">
        <x:f>ROUND(C8-B8,2)</x:f>
        <x:v>-1.77</x:v>
      </x:c>
      <x:c r="E8" s="35" t="n">
        <x:f>IF(B8=0,0,D8/B8)</x:f>
        <x:v>-0.1203263086335826</x:v>
      </x:c>
      <x:c r="F8" s="33" t="n">
        <x:f>ROUND(D8*'Inputs'!$B$8,2)</x:f>
        <x:v>-1.42</x:v>
      </x:c>
    </x:row>
    <x:row r="9">
      <x:c r="A9" s="14" t="str">
        <x:v>Digital</x:v>
      </x:c>
      <x:c r="B9" s="33" t="n">
        <x:v>17.36</x:v>
      </x:c>
      <x:c r="C9" s="33" t="n">
        <x:v>15.89</x:v>
      </x:c>
      <x:c r="D9" s="33" t="n">
        <x:f>ROUND(C9-B9,2)</x:f>
        <x:v>-1.47</x:v>
      </x:c>
      <x:c r="E9" s="35" t="n">
        <x:f>IF(B9=0,0,D9/B9)</x:f>
        <x:v>-0.08467741935483872</x:v>
      </x:c>
      <x:c r="F9" s="33" t="n">
        <x:f>ROUND(D9*'Inputs'!$B$8,2)</x:f>
        <x:v>-1.18</x:v>
      </x:c>
    </x:row>
    <x:row r="10">
      <x:c r="A10" s="14" t="str">
        <x:v>Corporate</x:v>
      </x:c>
      <x:c r="B10" s="33" t="n">
        <x:v>20.02</x:v>
      </x:c>
      <x:c r="C10" s="33" t="n">
        <x:v>19.01</x:v>
      </x:c>
      <x:c r="D10" s="33" t="n">
        <x:f>ROUND(C10-B10,2)</x:f>
        <x:v>-1.01</x:v>
      </x:c>
      <x:c r="E10" s="35" t="n">
        <x:f>IF(B10=0,0,D10/B10)</x:f>
        <x:v>-0.05044955044955045</x:v>
      </x:c>
      <x:c r="F10" s="33" t="n">
        <x:f>ROUND(D10*'Inputs'!$B$8,2)</x:f>
        <x:v>-0.81</x:v>
      </x:c>
    </x:row>
    <x:row r="11">
      <x:c r="A11" s="27" t="str">
        <x:v>Total</x:v>
      </x:c>
      <x:c r="B11" s="34" t="n">
        <x:f>SUM(B5:B10)</x:f>
        <x:v>80.3</x:v>
      </x:c>
      <x:c r="C11" s="34" t="n">
        <x:f>SUM(C5:C10)</x:f>
        <x:v>75.81</x:v>
      </x:c>
      <x:c r="D11" s="34" t="n">
        <x:f>SUM(D5:D10)</x:f>
        <x:v>-4.49</x:v>
      </x:c>
      <x:c r="E11" s="36" t="n">
        <x:f>IF(B11=0,0,D11/B11)</x:f>
        <x:v>-0.05591531755915318</x:v>
      </x:c>
      <x:c r="F11" s="34" t="n">
        <x:f>SUM(F5:F10)</x:f>
        <x:v>-3.6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0.19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Budget Variance Analysis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