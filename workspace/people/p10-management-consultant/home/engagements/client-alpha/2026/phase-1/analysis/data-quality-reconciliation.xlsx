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c6423bd5a45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e90d435656465e"/>
    <x:sheet xmlns:r="http://schemas.openxmlformats.org/officeDocument/2006/relationships" name="Inputs" sheetId="2" r:id="R88841e3dac7b42c7"/>
    <x:sheet xmlns:r="http://schemas.openxmlformats.org/officeDocument/2006/relationships" name="Analysis" sheetId="3" r:id="Rfdd26d71e8b541b0"/>
    <x:sheet xmlns:r="http://schemas.openxmlformats.org/officeDocument/2006/relationships" name="Checks" sheetId="4" r:id="Rf8e802502e394a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;[Red](¥#,##0.0);-"/>
    <x:numFmt numFmtId="201" formatCode="0.0%"/>
    <x:numFmt numFmtId="202" formatCode="#,##0"/>
    <x:numFmt numFmtId="203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/>
    <x:xf numFmtId="201" fontId="0" fillId="0" borderId="1" xfId="0" applyNumberFormat="1" applyFont="1" applyFill="1" applyBorder="1"/>
    <x:xf numFmtId="201" fontId="5" fillId="6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0" fontId="5" fillId="8" borderId="3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3" fontId="5" fillId="8" borderId="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60426118f4061" /><Relationship Type="http://schemas.openxmlformats.org/officeDocument/2006/relationships/theme" Target="/xl/theme/theme1.xml" Id="R141fb6bb6cff4cdf" /><Relationship Type="http://schemas.openxmlformats.org/officeDocument/2006/relationships/sharedStrings" Target="/xl/sharedStrings.xml" Id="Rd14e2aa3a16d41de" /><Relationship Type="http://schemas.openxmlformats.org/officeDocument/2006/relationships/worksheet" Target="/xl/worksheets/sheet1.xml" Id="R20e90d435656465e" /><Relationship Type="http://schemas.openxmlformats.org/officeDocument/2006/relationships/worksheet" Target="/xl/worksheets/sheet2.xml" Id="R88841e3dac7b42c7" /><Relationship Type="http://schemas.openxmlformats.org/officeDocument/2006/relationships/worksheet" Target="/xl/worksheets/sheet3.xml" Id="Rfdd26d71e8b541b0" /><Relationship Type="http://schemas.openxmlformats.org/officeDocument/2006/relationships/worksheet" Target="/xl/worksheets/sheet4.xml" Id="Rf8e802502e394a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8c0338c8c043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impact by driver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Variance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'Summary'!$F$11:$F$16</c:f>
              <c:numCache>
                <c:formatCode>¥#,##0.0;[Red](¥#,##0.0);-</c:formatCode>
                <c:ptCount val="0"/>
              </c:numCache>
            </c:numRef>
          </c:val>
        </c:ser>
        <c:ser>
          <c:idx val="1"/>
          <c:order val="1"/>
          <c:tx>
            <c:v>Weighted value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'Summary'!$G$11:$G$16</c:f>
              <c:numCache>
                <c:formatCode>¥#,##0.0;[Red](¥#,##0.0);-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8c0338c8c0433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d925610a15948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3" t="str">
        <x:v>Summit Vale Advisory | Client Alpha Phase 1 | Data Quality Reconciliation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Source-to-report reconciliation and data-quality scorecard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Executive view</x:v>
      </x:c>
      <x:c r="B4" s="21"/>
      <x:c r="C4" s="21"/>
      <x:c r="D4" s="21"/>
      <x:c r="E4" s="21"/>
      <x:c r="F4" s="21"/>
      <x:c r="G4" s="21"/>
      <x:c r="H4" s="21"/>
    </x:row>
    <x:row r="5">
      <x:c r="A5" s="11" t="str">
        <x:v>Phase 1 Budget</x:v>
      </x:c>
      <x:c r="B5" s="11" t="str">
        <x:v>Baseline</x:v>
      </x:c>
      <x:c r="C5" s="11" t="str">
        <x:v>Net variance</x:v>
      </x:c>
      <x:c r="D5" s="11" t="str">
        <x:v>Variance %</x:v>
      </x:c>
      <x:c r="E5" s="11" t="str">
        <x:v>Weighted value</x:v>
      </x:c>
      <x:c r="F5" s="11" t="str">
        <x:v>Delivery confidence</x:v>
      </x:c>
      <x:c r="G5" s="11" t="str">
        <x:v>Decision</x:v>
      </x:c>
      <x:c r="H5" s="11" t="str">
        <x:v>As-of</x:v>
      </x:c>
    </x:row>
    <x:row r="6">
      <x:c r="A6" s="44" t="n">
        <x:f>'Inputs'!B5</x:f>
        <x:v>42.8</x:v>
      </x:c>
      <x:c r="B6" s="45" t="n">
        <x:f>'Inputs'!B6</x:f>
        <x:v>49.55</x:v>
      </x:c>
      <x:c r="C6" s="45" t="n">
        <x:f>'Analysis'!D11</x:f>
        <x:v>-4.890000000000001</x:v>
      </x:c>
      <x:c r="D6" s="46" t="n">
        <x:f>IF(B6=0,0,C6/B6)</x:f>
        <x:v>-0.09868819374369325</x:v>
      </x:c>
      <x:c r="E6" s="45" t="n">
        <x:f>'Analysis'!F11</x:f>
        <x:v>-3.92</x:v>
      </x:c>
      <x:c r="F6" s="46" t="n">
        <x:f>'Inputs'!B8</x:f>
        <x:v>0.7999999999999999</x:v>
      </x:c>
      <x:c r="G6" s="42" t="str">
        <x:f>IF(E6&gt;=0,"Prioritize","Mitigate")</x:f>
        <x:v>Mitigate</x:v>
      </x:c>
      <x:c r="H6" s="47" t="n">
        <x:f>DATE(2026,7,13)</x:f>
        <x:v>46216</x:v>
      </x:c>
    </x:row>
    <x:row r="9">
      <x:c r="A9" s="21" t="str">
        <x:v>Priority drivers</x:v>
      </x:c>
      <x:c r="B9" s="21"/>
      <x:c r="C9" s="21"/>
      <x:c r="D9" s="21"/>
      <x:c r="E9" s="21"/>
      <x:c r="F9" s="21"/>
      <x:c r="G9" s="21"/>
      <x:c r="H9" s="21"/>
    </x:row>
    <x:row r="10">
      <x:c r="A10" s="13" t="str">
        <x:v>Data domain</x:v>
      </x:c>
      <x:c r="B10" s="13" t="str">
        <x:v>Variance ¥M</x:v>
      </x:c>
      <x:c r="C10" s="13" t="str">
        <x:v>Weighted value ¥M</x:v>
      </x:c>
      <x:c r="E10" s="11" t="str">
        <x:v>Chart driver</x:v>
      </x:c>
      <x:c r="F10" s="11" t="str">
        <x:v>Variance ¥M</x:v>
      </x:c>
      <x:c r="G10" s="11" t="str">
        <x:v>Weighted value ¥M</x:v>
      </x:c>
    </x:row>
    <x:row r="11">
      <x:c r="A11" s="14" t="str">
        <x:f>'Analysis'!A5</x:f>
        <x:v>Enterprise</x:v>
      </x:c>
      <x:c r="B11" s="33" t="n">
        <x:f>'Analysis'!D5</x:f>
        <x:v>-0.88</x:v>
      </x:c>
      <x:c r="C11" s="33" t="n">
        <x:f>'Analysis'!F5</x:f>
        <x:v>-0.7</x:v>
      </x:c>
      <x:c r="E11" t="str">
        <x:f>'Analysis'!A5</x:f>
        <x:v>Enterprise</x:v>
      </x:c>
      <x:c r="F11" s="48" t="n">
        <x:f>'Analysis'!D5</x:f>
        <x:v>-0.88</x:v>
      </x:c>
      <x:c r="G11" s="48" t="n">
        <x:f>'Analysis'!F5</x:f>
        <x:v>-0.7</x:v>
      </x:c>
    </x:row>
    <x:row r="12">
      <x:c r="A12" s="14" t="str">
        <x:f>'Analysis'!A6</x:f>
        <x:v>Commercial</x:v>
      </x:c>
      <x:c r="B12" s="33" t="n">
        <x:f>'Analysis'!D6</x:f>
        <x:v>-0.87</x:v>
      </x:c>
      <x:c r="C12" s="33" t="n">
        <x:f>'Analysis'!F6</x:f>
        <x:v>-0.7</x:v>
      </x:c>
      <x:c r="E12" t="str">
        <x:f>'Analysis'!A6</x:f>
        <x:v>Commercial</x:v>
      </x:c>
      <x:c r="F12" s="48" t="n">
        <x:f>'Analysis'!D6</x:f>
        <x:v>-0.87</x:v>
      </x:c>
      <x:c r="G12" s="48" t="n">
        <x:f>'Analysis'!F6</x:f>
        <x:v>-0.7</x:v>
      </x:c>
    </x:row>
    <x:row r="13">
      <x:c r="A13" s="14" t="str">
        <x:f>'Analysis'!A7</x:f>
        <x:v>Operations</x:v>
      </x:c>
      <x:c r="B13" s="33" t="n">
        <x:f>'Analysis'!D7</x:f>
        <x:v>-0.66</x:v>
      </x:c>
      <x:c r="C13" s="33" t="n">
        <x:f>'Analysis'!F7</x:f>
        <x:v>-0.53</x:v>
      </x:c>
      <x:c r="E13" t="str">
        <x:f>'Analysis'!A7</x:f>
        <x:v>Operations</x:v>
      </x:c>
      <x:c r="F13" s="48" t="n">
        <x:f>'Analysis'!D7</x:f>
        <x:v>-0.66</x:v>
      </x:c>
      <x:c r="G13" s="48" t="n">
        <x:f>'Analysis'!F7</x:f>
        <x:v>-0.53</x:v>
      </x:c>
    </x:row>
    <x:row r="14">
      <x:c r="A14" s="14" t="str">
        <x:f>'Analysis'!A8</x:f>
        <x:v>Shared Services</x:v>
      </x:c>
      <x:c r="B14" s="33" t="n">
        <x:f>'Analysis'!D8</x:f>
        <x:v>-0.24</x:v>
      </x:c>
      <x:c r="C14" s="33" t="n">
        <x:f>'Analysis'!F8</x:f>
        <x:v>-0.19</x:v>
      </x:c>
      <x:c r="E14" t="str">
        <x:f>'Analysis'!A8</x:f>
        <x:v>Shared Services</x:v>
      </x:c>
      <x:c r="F14" s="48" t="n">
        <x:f>'Analysis'!D8</x:f>
        <x:v>-0.24</x:v>
      </x:c>
      <x:c r="G14" s="48" t="n">
        <x:f>'Analysis'!F8</x:f>
        <x:v>-0.19</x:v>
      </x:c>
    </x:row>
    <x:row r="15">
      <x:c r="A15" s="14" t="str">
        <x:f>'Analysis'!A9</x:f>
        <x:v>Digital</x:v>
      </x:c>
      <x:c r="B15" s="33" t="n">
        <x:f>'Analysis'!D9</x:f>
        <x:v>0.38</x:v>
      </x:c>
      <x:c r="C15" s="33" t="n">
        <x:f>'Analysis'!F9</x:f>
        <x:v>0.3</x:v>
      </x:c>
      <x:c r="E15" t="str">
        <x:f>'Analysis'!A9</x:f>
        <x:v>Digital</x:v>
      </x:c>
      <x:c r="F15" s="48" t="n">
        <x:f>'Analysis'!D9</x:f>
        <x:v>0.38</x:v>
      </x:c>
      <x:c r="G15" s="48" t="n">
        <x:f>'Analysis'!F9</x:f>
        <x:v>0.3</x:v>
      </x:c>
    </x:row>
    <x:row r="16">
      <x:c r="A16" s="14" t="str">
        <x:f>'Analysis'!A10</x:f>
        <x:v>Corporate</x:v>
      </x:c>
      <x:c r="B16" s="33" t="n">
        <x:f>'Analysis'!D10</x:f>
        <x:v>-2.62</x:v>
      </x:c>
      <x:c r="C16" s="33" t="n">
        <x:f>'Analysis'!F10</x:f>
        <x:v>-2.1</x:v>
      </x:c>
      <x:c r="E16" t="str">
        <x:f>'Analysis'!A10</x:f>
        <x:v>Corporate</x:v>
      </x:c>
      <x:c r="F16" s="48" t="n">
        <x:f>'Analysis'!D10</x:f>
        <x:v>-2.62</x:v>
      </x:c>
      <x:c r="G16" s="48" t="n">
        <x:f>'Analysis'!F10</x:f>
        <x:v>-2.1</x:v>
      </x:c>
    </x:row>
    <x:row r="36">
      <x:c r="A36" s="50" t="str">
        <x:v>Recommendation: use this formula-driven baseline to align Finance leadership on the highest-impact synthetic levers, then validate with Client Alpha source extracts.</x:v>
      </x:c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</x:sheetData>
  <x:mergeCells>
    <x:mergeCell ref="A1:H1"/>
    <x:mergeCell ref="A2:H2"/>
    <x:mergeCell ref="A4:H4"/>
    <x:mergeCell ref="A9:H9"/>
    <x:mergeCell ref="A36:H37"/>
  </x:mergeCells>
  <x:pageMargins left="0.7" right="0.7" top="0.75" bottom="0.75" header="0.3" footer="0.3"/>
  <x:drawing xmlns:r="http://schemas.openxmlformats.org/officeDocument/2006/relationships" r:id="Rcd925610a159482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6" t="str">
        <x:v>Summit Vale Advisory | Client Alpha Phase 1 | Data Quality Reconciliation — Inputs</x:v>
      </x:c>
      <x:c r="B1" s="16"/>
      <x:c r="C1" s="16"/>
      <x:c r="D1" s="16"/>
      <x:c r="E1" s="3"/>
      <x:c r="F1" s="3"/>
      <x:c r="G1" s="3"/>
      <x:c r="H1" s="3"/>
    </x:row>
    <x:row r="2" ht="21" customHeight="1">
      <x:c r="A2" s="6" t="str">
        <x:v>Editable synthetic assumptions and source notes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Assumption</x:v>
      </x:c>
      <x:c r="B4" s="13" t="str">
        <x:v>Value</x:v>
      </x:c>
      <x:c r="C4" s="13" t="str">
        <x:v>Unit</x:v>
      </x:c>
      <x:c r="D4" s="13" t="str">
        <x:v>Source / note</x:v>
      </x:c>
    </x:row>
    <x:row r="5">
      <x:c r="A5" s="14" t="str">
        <x:v>Phase 1 budget</x:v>
      </x:c>
      <x:c r="B5" s="17" t="n">
        <x:v>42.8</x:v>
      </x:c>
      <x:c r="C5" s="14" t="str">
        <x:v>¥M</x:v>
      </x:c>
      <x:c r="D5" s="14" t="str">
        <x:v>Engagement anchor; approved finance workstream budget</x:v>
      </x:c>
    </x:row>
    <x:row r="6">
      <x:c r="A6" s="14" t="str">
        <x:v>Current-state baseline</x:v>
      </x:c>
      <x:c r="B6" s="17" t="n">
        <x:v>49.55</x:v>
      </x:c>
      <x:c r="C6" s="14" t="str">
        <x:v>¥M</x:v>
      </x:c>
      <x:c r="D6" s="14" t="str">
        <x:v>Synthetic management estimate</x:v>
      </x:c>
    </x:row>
    <x:row r="7">
      <x:c r="A7" s="14" t="str">
        <x:v>Improvement rate</x:v>
      </x:c>
      <x:c r="B7" s="18" t="n">
        <x:v>0.09</x:v>
      </x:c>
      <x:c r="C7" s="14" t="str">
        <x:v>%</x:v>
      </x:c>
      <x:c r="D7" s="14" t="str">
        <x:v>Synthetic assumption; leadership calibration required</x:v>
      </x:c>
    </x:row>
    <x:row r="8">
      <x:c r="A8" s="14" t="str">
        <x:v>Delivery confidence</x:v>
      </x:c>
      <x:c r="B8" s="18" t="n">
        <x:v>0.7999999999999999</x:v>
      </x:c>
      <x:c r="C8" s="14" t="str">
        <x:v>%</x:v>
      </x:c>
      <x:c r="D8" s="14" t="str">
        <x:v>Synthetic assumption based on implementation readiness</x:v>
      </x:c>
    </x:row>
    <x:row r="9">
      <x:c r="A9" s="14" t="str">
        <x:v>Implementation cost</x:v>
      </x:c>
      <x:c r="B9" s="17" t="n">
        <x:v>2.4</x:v>
      </x:c>
      <x:c r="C9" s="14" t="str">
        <x:v>¥M</x:v>
      </x:c>
      <x:c r="D9" s="14" t="str">
        <x:v>Synthetic one-time enablement estimate</x:v>
      </x:c>
    </x:row>
    <x:row r="10">
      <x:c r="A10" s="14" t="str">
        <x:v>Planning horizon</x:v>
      </x:c>
      <x:c r="B10" s="19" t="n">
        <x:v>12</x:v>
      </x:c>
      <x:c r="C10" s="14" t="str">
        <x:v>months</x:v>
      </x:c>
      <x:c r="D10" s="14" t="str">
        <x:v>Phase 1 action horizon</x:v>
      </x:c>
    </x:row>
    <x:row r="12">
      <x:c r="A12" s="21" t="str">
        <x:v>Data handling note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All values are synthetic consulting inputs. Refresh assumption cells (yellow) and review checks before decision use.</x:v>
      </x:c>
      <x:c r="B13" s="24"/>
      <x:c r="C13" s="24"/>
      <x:c r="D13" s="24"/>
    </x:row>
    <x:row r="14">
      <x:c r="A14" s="24"/>
      <x:c r="B14" s="24"/>
      <x:c r="C14" s="24"/>
      <x:c r="D14" s="24"/>
    </x:row>
  </x:sheetData>
  <x:mergeCells>
    <x:mergeCell ref="A1:H1"/>
    <x:mergeCell ref="A2:H2"/>
    <x:mergeCell ref="A12:H12"/>
    <x:mergeCell ref="A13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Data Quality Reconciliation —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Formula-driven analysis; values shown in ¥ millions unless otherwise noted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Data domain</x:v>
      </x:c>
      <x:c r="B4" s="13" t="str">
        <x:v>Source balance ¥M</x:v>
      </x:c>
      <x:c r="C4" s="13" t="str">
        <x:v>Reported balance ¥M</x:v>
      </x:c>
      <x:c r="D4" s="13" t="str">
        <x:v>Variance ¥M</x:v>
      </x:c>
      <x:c r="E4" s="13" t="str">
        <x:v>Variance %</x:v>
      </x:c>
      <x:c r="F4" s="13" t="str">
        <x:v>Confidence-weighted value ¥M</x:v>
      </x:c>
    </x:row>
    <x:row r="5">
      <x:c r="A5" s="14" t="str">
        <x:v>Enterprise</x:v>
      </x:c>
      <x:c r="B5" s="33" t="n">
        <x:v>7.35</x:v>
      </x:c>
      <x:c r="C5" s="33" t="n">
        <x:v>6.47</x:v>
      </x:c>
      <x:c r="D5" s="33" t="n">
        <x:f>ROUND(C5-B5,2)</x:f>
        <x:v>-0.88</x:v>
      </x:c>
      <x:c r="E5" s="35" t="n">
        <x:f>IF(B5=0,0,D5/B5)</x:f>
        <x:v>-0.1197278911564626</x:v>
      </x:c>
      <x:c r="F5" s="33" t="n">
        <x:f>ROUND(D5*'Inputs'!$B$8,2)</x:f>
        <x:v>-0.7</x:v>
      </x:c>
    </x:row>
    <x:row r="6">
      <x:c r="A6" s="14" t="str">
        <x:v>Commercial</x:v>
      </x:c>
      <x:c r="B6" s="33" t="n">
        <x:v>10.24</x:v>
      </x:c>
      <x:c r="C6" s="33" t="n">
        <x:v>9.37</x:v>
      </x:c>
      <x:c r="D6" s="33" t="n">
        <x:f>ROUND(C6-B6,2)</x:f>
        <x:v>-0.87</x:v>
      </x:c>
      <x:c r="E6" s="35" t="n">
        <x:f>IF(B6=0,0,D6/B6)</x:f>
        <x:v>-0.0849609375</x:v>
      </x:c>
      <x:c r="F6" s="33" t="n">
        <x:f>ROUND(D6*'Inputs'!$B$8,2)</x:f>
        <x:v>-0.7</x:v>
      </x:c>
    </x:row>
    <x:row r="7">
      <x:c r="A7" s="14" t="str">
        <x:v>Operations</x:v>
      </x:c>
      <x:c r="B7" s="33" t="n">
        <x:v>13.13</x:v>
      </x:c>
      <x:c r="C7" s="33" t="n">
        <x:v>12.47</x:v>
      </x:c>
      <x:c r="D7" s="33" t="n">
        <x:f>ROUND(C7-B7,2)</x:f>
        <x:v>-0.66</x:v>
      </x:c>
      <x:c r="E7" s="35" t="n">
        <x:f>IF(B7=0,0,D7/B7)</x:f>
        <x:v>-0.05026656511805026</x:v>
      </x:c>
      <x:c r="F7" s="33" t="n">
        <x:f>ROUND(D7*'Inputs'!$B$8,2)</x:f>
        <x:v>-0.53</x:v>
      </x:c>
    </x:row>
    <x:row r="8">
      <x:c r="A8" s="14" t="str">
        <x:v>Shared Services</x:v>
      </x:c>
      <x:c r="B8" s="33" t="n">
        <x:v>16.02</x:v>
      </x:c>
      <x:c r="C8" s="33" t="n">
        <x:v>15.78</x:v>
      </x:c>
      <x:c r="D8" s="33" t="n">
        <x:f>ROUND(C8-B8,2)</x:f>
        <x:v>-0.24</x:v>
      </x:c>
      <x:c r="E8" s="35" t="n">
        <x:f>IF(B8=0,0,D8/B8)</x:f>
        <x:v>-0.0149812734082397</x:v>
      </x:c>
      <x:c r="F8" s="33" t="n">
        <x:f>ROUND(D8*'Inputs'!$B$8,2)</x:f>
        <x:v>-0.19</x:v>
      </x:c>
    </x:row>
    <x:row r="9">
      <x:c r="A9" s="14" t="str">
        <x:v>Digital</x:v>
      </x:c>
      <x:c r="B9" s="33" t="n">
        <x:v>18.91</x:v>
      </x:c>
      <x:c r="C9" s="33" t="n">
        <x:v>19.29</x:v>
      </x:c>
      <x:c r="D9" s="33" t="n">
        <x:f>ROUND(C9-B9,2)</x:f>
        <x:v>0.38</x:v>
      </x:c>
      <x:c r="E9" s="35" t="n">
        <x:f>IF(B9=0,0,D9/B9)</x:f>
        <x:v>0.02009518773135907</x:v>
      </x:c>
      <x:c r="F9" s="33" t="n">
        <x:f>ROUND(D9*'Inputs'!$B$8,2)</x:f>
        <x:v>0.3</x:v>
      </x:c>
    </x:row>
    <x:row r="10">
      <x:c r="A10" s="14" t="str">
        <x:v>Corporate</x:v>
      </x:c>
      <x:c r="B10" s="33" t="n">
        <x:v>21.8</x:v>
      </x:c>
      <x:c r="C10" s="33" t="n">
        <x:v>19.18</x:v>
      </x:c>
      <x:c r="D10" s="33" t="n">
        <x:f>ROUND(C10-B10,2)</x:f>
        <x:v>-2.62</x:v>
      </x:c>
      <x:c r="E10" s="35" t="n">
        <x:f>IF(B10=0,0,D10/B10)</x:f>
        <x:v>-0.12018348623853212</x:v>
      </x:c>
      <x:c r="F10" s="33" t="n">
        <x:f>ROUND(D10*'Inputs'!$B$8,2)</x:f>
        <x:v>-2.1</x:v>
      </x:c>
    </x:row>
    <x:row r="11">
      <x:c r="A11" s="27" t="str">
        <x:v>Total</x:v>
      </x:c>
      <x:c r="B11" s="34" t="n">
        <x:f>SUM(B5:B10)</x:f>
        <x:v>87.44999999999999</x:v>
      </x:c>
      <x:c r="C11" s="34" t="n">
        <x:f>SUM(C5:C10)</x:f>
        <x:v>82.56</x:v>
      </x:c>
      <x:c r="D11" s="34" t="n">
        <x:f>SUM(D5:D10)</x:f>
        <x:v>-4.890000000000001</x:v>
      </x:c>
      <x:c r="E11" s="36" t="n">
        <x:f>IF(B11=0,0,D11/B11)</x:f>
        <x:v>-0.05591766723842197</x:v>
      </x:c>
      <x:c r="F11" s="34" t="n">
        <x:f>SUM(F5:F10)</x:f>
        <x:v>-3.92</x:v>
      </x:c>
    </x:row>
    <x:row r="14">
      <x:c r="A14" s="21" t="str">
        <x:v>Top confidence-weighted impact — validate operational driver before implementation</x:v>
      </x:c>
      <x:c r="B14" s="21"/>
      <x:c r="C14" s="21"/>
      <x:c r="D14" s="21"/>
      <x:c r="E14" s="21"/>
      <x:c r="F14" s="21"/>
      <x:c r="G14" s="21"/>
      <x:c r="H14" s="21"/>
    </x:row>
    <x:row r="15">
      <x:c r="A15" s="32" t="n">
        <x:f>MAX(F5:F10)</x:f>
        <x:v>0.3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H1"/>
    <x:mergeCell ref="A2:H2"/>
    <x:mergeCell ref="A14:H14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Data Quality Reconciliation — Checks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Visible model controls and reconciliation status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MODEL STATUS</x:v>
      </x:c>
      <x:c r="B4" s="13" t="str">
        <x:v>Check</x:v>
      </x:c>
      <x:c r="C4" s="13" t="str">
        <x:v>Delta</x:v>
      </x:c>
      <x:c r="D4" s="13" t="str">
        <x:v>Where to fix</x:v>
      </x:c>
    </x:row>
    <x:row r="5">
      <x:c r="A5" s="52" t="str">
        <x:v>PASS</x:v>
      </x:c>
      <x:c r="B5" s="14" t="str">
        <x:v>Budget anchor populated</x:v>
      </x:c>
      <x:c r="C5" s="33" t="n">
        <x:f>IF('Inputs'!B5=42.8,0,'Inputs'!B5-42.8)</x:f>
        <x:v>0</x:v>
      </x:c>
      <x:c r="D5" s="14" t="str">
        <x:v>Inputs!B5</x:v>
      </x:c>
    </x:row>
    <x:row r="6">
      <x:c r="A6" s="52" t="str">
        <x:v>PASS</x:v>
      </x:c>
      <x:c r="B6" s="14" t="str">
        <x:v>Analysis totals reconcile</x:v>
      </x:c>
      <x:c r="C6" s="33" t="n">
        <x:f>SUM('Analysis'!D5:D10)-'Analysis'!D11</x:f>
        <x:v>0</x:v>
      </x:c>
      <x:c r="D6" s="14" t="str">
        <x:v>Analysis!B11:F11</x:v>
      </x:c>
    </x:row>
    <x:row r="7">
      <x:c r="A7" s="52" t="str">
        <x:v>PASS</x:v>
      </x:c>
      <x:c r="B7" s="14" t="str">
        <x:v>Confidence is within 0%–100%</x:v>
      </x:c>
      <x:c r="C7" s="33" t="n">
        <x:f>IF(AND('Inputs'!B8&gt;=0,'Inputs'!B8&lt;=1),0,1)</x:f>
        <x:v>0</x:v>
      </x:c>
      <x:c r="D7" s="14" t="str">
        <x:v>Inputs!B8</x:v>
      </x:c>
    </x:row>
    <x:row r="8">
      <x:c r="A8" s="52" t="str">
        <x:v>PASS</x:v>
      </x:c>
      <x:c r="B8" s="14" t="str">
        <x:v>No source data used</x:v>
      </x:c>
      <x:c r="C8" s="33" t="n">
        <x:f>0</x:f>
        <x:v>0</x:v>
      </x:c>
      <x:c r="D8" s="14" t="str">
        <x:v>Inputs!D5:D10</x:v>
      </x:c>
    </x:row>
    <x:row r="9">
      <x:c r="A9" s="52" t="str">
        <x:v>PASS</x:v>
      </x:c>
      <x:c r="B9" s="14" t="str">
        <x:v>Summary variance % ties to net variance / baseline</x:v>
      </x:c>
      <x:c r="C9" s="35" t="n">
        <x:f>IF('Summary'!B6=0,0,'Summary'!D6-('Summary'!C6/'Summary'!B6))</x:f>
        <x:v>0</x:v>
      </x:c>
      <x:c r="D9" s="14" t="str">
        <x:v>Summary!B6:D6</x:v>
      </x:c>
    </x:row>
    <x:row r="11">
      <x:c r="A11" s="54" t="str">
        <x:f>IF(AND(C5=0,C6=0,C7=0,C8=0,C9=0),"MODEL STATUS: PASS","MODEL STATUS: FAIL")</x:f>
        <x:v>MODEL STATUS: PASS</x:v>
      </x:c>
      <x:c r="B11" s="54"/>
      <x:c r="C11" s="54"/>
      <x:c r="D11" s="54"/>
    </x:row>
    <x:row r="12">
      <x:c r="A12" s="56" t="str">
        <x:v>Source note: synthetic inputs only. No client data, personal data, external links, or confidential source extracts are included.</x:v>
      </x:c>
      <x:c r="B12" s="56"/>
      <x:c r="C12" s="56"/>
      <x:c r="D12" s="56"/>
    </x:row>
    <x:row r="13">
      <x:c r="A13" s="56"/>
      <x:c r="B13" s="56"/>
      <x:c r="C13" s="56"/>
      <x:c r="D13" s="56"/>
    </x:row>
  </x:sheetData>
  <x:mergeCells>
    <x:mergeCell ref="A1:H1"/>
    <x:mergeCell ref="A2:H2"/>
    <x:mergeCell ref="A11:D11"/>
    <x:mergeCell ref="A12:D13"/>
  </x:mergeCells>
  <x:pageMargins left="0.7" right="0.7" top="0.75" bottom="0.75" header="0.3" footer="0.3"/>
</x:worksheet>
</file>