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0e2419c41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ecd19032284feb"/>
    <x:sheet xmlns:r="http://schemas.openxmlformats.org/officeDocument/2006/relationships" name="Inputs" sheetId="2" r:id="R91519cb9e8c54a58"/>
    <x:sheet xmlns:r="http://schemas.openxmlformats.org/officeDocument/2006/relationships" name="Analysis" sheetId="3" r:id="Rd5302d66896f401c"/>
    <x:sheet xmlns:r="http://schemas.openxmlformats.org/officeDocument/2006/relationships" name="Checks" sheetId="4" r:id="R18deef3b0ed5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99b6ec42d49af" /><Relationship Type="http://schemas.openxmlformats.org/officeDocument/2006/relationships/theme" Target="/xl/theme/theme1.xml" Id="R51079018822c4982" /><Relationship Type="http://schemas.openxmlformats.org/officeDocument/2006/relationships/sharedStrings" Target="/xl/sharedStrings.xml" Id="R25c381f5aa8345d1" /><Relationship Type="http://schemas.openxmlformats.org/officeDocument/2006/relationships/worksheet" Target="/xl/worksheets/sheet1.xml" Id="Rfcecd19032284feb" /><Relationship Type="http://schemas.openxmlformats.org/officeDocument/2006/relationships/worksheet" Target="/xl/worksheets/sheet2.xml" Id="R91519cb9e8c54a58" /><Relationship Type="http://schemas.openxmlformats.org/officeDocument/2006/relationships/worksheet" Target="/xl/worksheets/sheet3.xml" Id="Rd5302d66896f401c" /><Relationship Type="http://schemas.openxmlformats.org/officeDocument/2006/relationships/worksheet" Target="/xl/worksheets/sheet4.xml" Id="R18deef3b0ed540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184734fba247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184734fba247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759414504b41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Scenario Sensitivity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Scenario sensitivity for finance outcomes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60.349999999999994</x:v>
      </x:c>
      <x:c r="C6" s="45" t="n">
        <x:f>'Analysis'!D11</x:f>
        <x:v>-4.87</x:v>
      </x:c>
      <x:c r="D6" s="46" t="n">
        <x:f>IF(B6=0,0,C6/B6)</x:f>
        <x:v>-0.08069594034797019</x:v>
      </x:c>
      <x:c r="E6" s="45" t="n">
        <x:f>'Analysis'!F11</x:f>
        <x:v>-3.6999999999999997</x:v>
      </x:c>
      <x:c r="F6" s="46" t="n">
        <x:f>'Inputs'!B8</x:f>
        <x:v>0.76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Scenario driver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-0.13</x:v>
      </x:c>
      <x:c r="C11" s="33" t="n">
        <x:f>'Analysis'!F5</x:f>
        <x:v>-0.1</x:v>
      </x:c>
      <x:c r="E11" t="str">
        <x:f>'Analysis'!A5</x:f>
        <x:v>Enterprise</x:v>
      </x:c>
      <x:c r="F11" s="48" t="n">
        <x:f>'Analysis'!D5</x:f>
        <x:v>-0.13</x:v>
      </x:c>
      <x:c r="G11" s="48" t="n">
        <x:f>'Analysis'!F5</x:f>
        <x:v>-0.1</x:v>
      </x:c>
    </x:row>
    <x:row r="12">
      <x:c r="A12" s="14" t="str">
        <x:f>'Analysis'!A6</x:f>
        <x:v>Commercial</x:v>
      </x:c>
      <x:c r="B12" s="33" t="n">
        <x:f>'Analysis'!D6</x:f>
        <x:v>0.24</x:v>
      </x:c>
      <x:c r="C12" s="33" t="n">
        <x:f>'Analysis'!F6</x:f>
        <x:v>0.18</x:v>
      </x:c>
      <x:c r="E12" t="str">
        <x:f>'Analysis'!A6</x:f>
        <x:v>Commercial</x:v>
      </x:c>
      <x:c r="F12" s="48" t="n">
        <x:f>'Analysis'!D6</x:f>
        <x:v>0.24</x:v>
      </x:c>
      <x:c r="G12" s="48" t="n">
        <x:f>'Analysis'!F6</x:f>
        <x:v>0.18</x:v>
      </x:c>
    </x:row>
    <x:row r="13">
      <x:c r="A13" s="14" t="str">
        <x:f>'Analysis'!A7</x:f>
        <x:v>Operations</x:v>
      </x:c>
      <x:c r="B13" s="33" t="n">
        <x:f>'Analysis'!D7</x:f>
        <x:v>-1.86</x:v>
      </x:c>
      <x:c r="C13" s="33" t="n">
        <x:f>'Analysis'!F7</x:f>
        <x:v>-1.41</x:v>
      </x:c>
      <x:c r="E13" t="str">
        <x:f>'Analysis'!A7</x:f>
        <x:v>Operations</x:v>
      </x:c>
      <x:c r="F13" s="48" t="n">
        <x:f>'Analysis'!D7</x:f>
        <x:v>-1.86</x:v>
      </x:c>
      <x:c r="G13" s="48" t="n">
        <x:f>'Analysis'!F7</x:f>
        <x:v>-1.41</x:v>
      </x:c>
    </x:row>
    <x:row r="14">
      <x:c r="A14" s="14" t="str">
        <x:f>'Analysis'!A8</x:f>
        <x:v>Shared Services</x:v>
      </x:c>
      <x:c r="B14" s="33" t="n">
        <x:f>'Analysis'!D8</x:f>
        <x:v>-1.61</x:v>
      </x:c>
      <x:c r="C14" s="33" t="n">
        <x:f>'Analysis'!F8</x:f>
        <x:v>-1.22</x:v>
      </x:c>
      <x:c r="E14" t="str">
        <x:f>'Analysis'!A8</x:f>
        <x:v>Shared Services</x:v>
      </x:c>
      <x:c r="F14" s="48" t="n">
        <x:f>'Analysis'!D8</x:f>
        <x:v>-1.61</x:v>
      </x:c>
      <x:c r="G14" s="48" t="n">
        <x:f>'Analysis'!F8</x:f>
        <x:v>-1.22</x:v>
      </x:c>
    </x:row>
    <x:row r="15">
      <x:c r="A15" s="14" t="str">
        <x:f>'Analysis'!A9</x:f>
        <x:v>Digital</x:v>
      </x:c>
      <x:c r="B15" s="33" t="n">
        <x:f>'Analysis'!D9</x:f>
        <x:v>-1.12</x:v>
      </x:c>
      <x:c r="C15" s="33" t="n">
        <x:f>'Analysis'!F9</x:f>
        <x:v>-0.85</x:v>
      </x:c>
      <x:c r="E15" t="str">
        <x:f>'Analysis'!A9</x:f>
        <x:v>Digital</x:v>
      </x:c>
      <x:c r="F15" s="48" t="n">
        <x:f>'Analysis'!D9</x:f>
        <x:v>-1.12</x:v>
      </x:c>
      <x:c r="G15" s="48" t="n">
        <x:f>'Analysis'!F9</x:f>
        <x:v>-0.85</x:v>
      </x:c>
    </x:row>
    <x:row r="16">
      <x:c r="A16" s="14" t="str">
        <x:f>'Analysis'!A10</x:f>
        <x:v>Corporate</x:v>
      </x:c>
      <x:c r="B16" s="33" t="n">
        <x:f>'Analysis'!D10</x:f>
        <x:v>-0.39</x:v>
      </x:c>
      <x:c r="C16" s="33" t="n">
        <x:f>'Analysis'!F10</x:f>
        <x:v>-0.3</x:v>
      </x:c>
      <x:c r="E16" t="str">
        <x:f>'Analysis'!A10</x:f>
        <x:v>Corporate</x:v>
      </x:c>
      <x:c r="F16" s="48" t="n">
        <x:f>'Analysis'!D10</x:f>
        <x:v>-0.39</x:v>
      </x:c>
      <x:c r="G16" s="48" t="n">
        <x:f>'Analysis'!F10</x:f>
        <x:v>-0.3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73759414504b411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Scenario Sensitivity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60.349999999999994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0.09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0.76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3.4499999999999997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Scenario Sensitivity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Scenario driver</x:v>
      </x:c>
      <x:c r="B4" s="13" t="str">
        <x:v>Downside ¥M</x:v>
      </x:c>
      <x:c r="C4" s="13" t="str">
        <x:v>Upside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8.7</x:v>
      </x:c>
      <x:c r="C5" s="33" t="n">
        <x:v>8.57</x:v>
      </x:c>
      <x:c r="D5" s="33" t="n">
        <x:f>ROUND(C5-B5,2)</x:f>
        <x:v>-0.13</x:v>
      </x:c>
      <x:c r="E5" s="35" t="n">
        <x:f>IF(B5=0,0,D5/B5)</x:f>
        <x:v>-0.014942528735632185</x:v>
      </x:c>
      <x:c r="F5" s="33" t="n">
        <x:f>ROUND(D5*'Inputs'!$B$8,2)</x:f>
        <x:v>-0.1</x:v>
      </x:c>
    </x:row>
    <x:row r="6">
      <x:c r="A6" s="14" t="str">
        <x:v>Commercial</x:v>
      </x:c>
      <x:c r="B6" s="33" t="n">
        <x:v>12.12</x:v>
      </x:c>
      <x:c r="C6" s="33" t="n">
        <x:v>12.36</x:v>
      </x:c>
      <x:c r="D6" s="33" t="n">
        <x:f>ROUND(C6-B6,2)</x:f>
        <x:v>0.24</x:v>
      </x:c>
      <x:c r="E6" s="35" t="n">
        <x:f>IF(B6=0,0,D6/B6)</x:f>
        <x:v>0.019801980198019802</x:v>
      </x:c>
      <x:c r="F6" s="33" t="n">
        <x:f>ROUND(D6*'Inputs'!$B$8,2)</x:f>
        <x:v>0.18</x:v>
      </x:c>
    </x:row>
    <x:row r="7">
      <x:c r="A7" s="14" t="str">
        <x:v>Operations</x:v>
      </x:c>
      <x:c r="B7" s="33" t="n">
        <x:v>15.54</x:v>
      </x:c>
      <x:c r="C7" s="33" t="n">
        <x:v>13.68</x:v>
      </x:c>
      <x:c r="D7" s="33" t="n">
        <x:f>ROUND(C7-B7,2)</x:f>
        <x:v>-1.86</x:v>
      </x:c>
      <x:c r="E7" s="35" t="n">
        <x:f>IF(B7=0,0,D7/B7)</x:f>
        <x:v>-0.1196911196911197</x:v>
      </x:c>
      <x:c r="F7" s="33" t="n">
        <x:f>ROUND(D7*'Inputs'!$B$8,2)</x:f>
        <x:v>-1.41</x:v>
      </x:c>
    </x:row>
    <x:row r="8">
      <x:c r="A8" s="14" t="str">
        <x:v>Shared Services</x:v>
      </x:c>
      <x:c r="B8" s="33" t="n">
        <x:v>18.96</x:v>
      </x:c>
      <x:c r="C8" s="33" t="n">
        <x:v>17.35</x:v>
      </x:c>
      <x:c r="D8" s="33" t="n">
        <x:f>ROUND(C8-B8,2)</x:f>
        <x:v>-1.61</x:v>
      </x:c>
      <x:c r="E8" s="35" t="n">
        <x:f>IF(B8=0,0,D8/B8)</x:f>
        <x:v>-0.084915611814346</x:v>
      </x:c>
      <x:c r="F8" s="33" t="n">
        <x:f>ROUND(D8*'Inputs'!$B$8,2)</x:f>
        <x:v>-1.22</x:v>
      </x:c>
    </x:row>
    <x:row r="9">
      <x:c r="A9" s="14" t="str">
        <x:v>Digital</x:v>
      </x:c>
      <x:c r="B9" s="33" t="n">
        <x:v>22.38</x:v>
      </x:c>
      <x:c r="C9" s="33" t="n">
        <x:v>21.26</x:v>
      </x:c>
      <x:c r="D9" s="33" t="n">
        <x:f>ROUND(C9-B9,2)</x:f>
        <x:v>-1.12</x:v>
      </x:c>
      <x:c r="E9" s="35" t="n">
        <x:f>IF(B9=0,0,D9/B9)</x:f>
        <x:v>-0.05004468275245756</x:v>
      </x:c>
      <x:c r="F9" s="33" t="n">
        <x:f>ROUND(D9*'Inputs'!$B$8,2)</x:f>
        <x:v>-0.85</x:v>
      </x:c>
    </x:row>
    <x:row r="10">
      <x:c r="A10" s="14" t="str">
        <x:v>Corporate</x:v>
      </x:c>
      <x:c r="B10" s="33" t="n">
        <x:v>25.8</x:v>
      </x:c>
      <x:c r="C10" s="33" t="n">
        <x:v>25.41</x:v>
      </x:c>
      <x:c r="D10" s="33" t="n">
        <x:f>ROUND(C10-B10,2)</x:f>
        <x:v>-0.39</x:v>
      </x:c>
      <x:c r="E10" s="35" t="n">
        <x:f>IF(B10=0,0,D10/B10)</x:f>
        <x:v>-0.015116279069767442</x:v>
      </x:c>
      <x:c r="F10" s="33" t="n">
        <x:f>ROUND(D10*'Inputs'!$B$8,2)</x:f>
        <x:v>-0.3</x:v>
      </x:c>
    </x:row>
    <x:row r="11">
      <x:c r="A11" s="27" t="str">
        <x:v>Total</x:v>
      </x:c>
      <x:c r="B11" s="34" t="n">
        <x:f>SUM(B5:B10)</x:f>
        <x:v>103.5</x:v>
      </x:c>
      <x:c r="C11" s="34" t="n">
        <x:f>SUM(C5:C10)</x:f>
        <x:v>98.63</x:v>
      </x:c>
      <x:c r="D11" s="34" t="n">
        <x:f>SUM(D5:D10)</x:f>
        <x:v>-4.87</x:v>
      </x:c>
      <x:c r="E11" s="36" t="n">
        <x:f>IF(B11=0,0,D11/B11)</x:f>
        <x:v>-0.04705314009661836</x:v>
      </x:c>
      <x:c r="F11" s="34" t="n">
        <x:f>SUM(F5:F10)</x:f>
        <x:v>-3.6999999999999997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0.18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Scenario Sensitivity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