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5c174c75f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04388972f84aed"/>
    <x:sheet xmlns:r="http://schemas.openxmlformats.org/officeDocument/2006/relationships" name="Inputs" sheetId="2" r:id="Ra339081a3f52418f"/>
    <x:sheet xmlns:r="http://schemas.openxmlformats.org/officeDocument/2006/relationships" name="Analysis" sheetId="3" r:id="Rf8beab174df645d5"/>
    <x:sheet xmlns:r="http://schemas.openxmlformats.org/officeDocument/2006/relationships" name="Checks" sheetId="4" r:id="R98074086a3a3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c26f0397c4c5f" /><Relationship Type="http://schemas.openxmlformats.org/officeDocument/2006/relationships/theme" Target="/xl/theme/theme1.xml" Id="R0dc3bc16cd1b4402" /><Relationship Type="http://schemas.openxmlformats.org/officeDocument/2006/relationships/sharedStrings" Target="/xl/sharedStrings.xml" Id="Rdd63f6d7ae234551" /><Relationship Type="http://schemas.openxmlformats.org/officeDocument/2006/relationships/worksheet" Target="/xl/worksheets/sheet1.xml" Id="Rd204388972f84aed" /><Relationship Type="http://schemas.openxmlformats.org/officeDocument/2006/relationships/worksheet" Target="/xl/worksheets/sheet2.xml" Id="Ra339081a3f52418f" /><Relationship Type="http://schemas.openxmlformats.org/officeDocument/2006/relationships/worksheet" Target="/xl/worksheets/sheet3.xml" Id="Rf8beab174df645d5" /><Relationship Type="http://schemas.openxmlformats.org/officeDocument/2006/relationships/worksheet" Target="/xl/worksheets/sheet4.xml" Id="R98074086a3a349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84702c7f1143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84702c7f1143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63bc80d39b49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KPI Baseline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Finance KPI baseline and target trajectory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54.949999999999996</x:v>
      </x:c>
      <x:c r="C6" s="45" t="n">
        <x:f>'Analysis'!D11</x:f>
        <x:v>-2.9699999999999998</x:v>
      </x:c>
      <x:c r="D6" s="46" t="n">
        <x:f>IF(B6=0,0,C6/B6)</x:f>
        <x:v>-0.054049135577797995</x:v>
      </x:c>
      <x:c r="E6" s="45" t="n">
        <x:f>'Analysis'!F11</x:f>
        <x:v>-2.13</x:v>
      </x:c>
      <x:c r="F6" s="46" t="n">
        <x:f>'Inputs'!B8</x:f>
        <x:v>0.72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KPI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0.16</x:v>
      </x:c>
      <x:c r="C11" s="33" t="n">
        <x:f>'Analysis'!F5</x:f>
        <x:v>0.12</x:v>
      </x:c>
      <x:c r="E11" t="str">
        <x:f>'Analysis'!A5</x:f>
        <x:v>Enterprise</x:v>
      </x:c>
      <x:c r="F11" s="48" t="n">
        <x:f>'Analysis'!D5</x:f>
        <x:v>0.16</x:v>
      </x:c>
      <x:c r="G11" s="48" t="n">
        <x:f>'Analysis'!F5</x:f>
        <x:v>0.12</x:v>
      </x:c>
    </x:row>
    <x:row r="12">
      <x:c r="A12" s="14" t="str">
        <x:f>'Analysis'!A6</x:f>
        <x:v>Commercial</x:v>
      </x:c>
      <x:c r="B12" s="33" t="n">
        <x:f>'Analysis'!D6</x:f>
        <x:v>-1.29</x:v>
      </x:c>
      <x:c r="C12" s="33" t="n">
        <x:f>'Analysis'!F6</x:f>
        <x:v>-0.93</x:v>
      </x:c>
      <x:c r="E12" t="str">
        <x:f>'Analysis'!A6</x:f>
        <x:v>Commercial</x:v>
      </x:c>
      <x:c r="F12" s="48" t="n">
        <x:f>'Analysis'!D6</x:f>
        <x:v>-1.29</x:v>
      </x:c>
      <x:c r="G12" s="48" t="n">
        <x:f>'Analysis'!F6</x:f>
        <x:v>-0.93</x:v>
      </x:c>
    </x:row>
    <x:row r="13">
      <x:c r="A13" s="14" t="str">
        <x:f>'Analysis'!A7</x:f>
        <x:v>Operations</x:v>
      </x:c>
      <x:c r="B13" s="33" t="n">
        <x:f>'Analysis'!D7</x:f>
        <x:v>-1.17</x:v>
      </x:c>
      <x:c r="C13" s="33" t="n">
        <x:f>'Analysis'!F7</x:f>
        <x:v>-0.84</x:v>
      </x:c>
      <x:c r="E13" t="str">
        <x:f>'Analysis'!A7</x:f>
        <x:v>Operations</x:v>
      </x:c>
      <x:c r="F13" s="48" t="n">
        <x:f>'Analysis'!D7</x:f>
        <x:v>-1.17</x:v>
      </x:c>
      <x:c r="G13" s="48" t="n">
        <x:f>'Analysis'!F7</x:f>
        <x:v>-0.84</x:v>
      </x:c>
    </x:row>
    <x:row r="14">
      <x:c r="A14" s="14" t="str">
        <x:f>'Analysis'!A8</x:f>
        <x:v>Shared Services</x:v>
      </x:c>
      <x:c r="B14" s="33" t="n">
        <x:f>'Analysis'!D8</x:f>
        <x:v>-0.84</x:v>
      </x:c>
      <x:c r="C14" s="33" t="n">
        <x:f>'Analysis'!F8</x:f>
        <x:v>-0.6</x:v>
      </x:c>
      <x:c r="E14" t="str">
        <x:f>'Analysis'!A8</x:f>
        <x:v>Shared Services</x:v>
      </x:c>
      <x:c r="F14" s="48" t="n">
        <x:f>'Analysis'!D8</x:f>
        <x:v>-0.84</x:v>
      </x:c>
      <x:c r="G14" s="48" t="n">
        <x:f>'Analysis'!F8</x:f>
        <x:v>-0.6</x:v>
      </x:c>
    </x:row>
    <x:row r="15">
      <x:c r="A15" s="14" t="str">
        <x:f>'Analysis'!A9</x:f>
        <x:v>Digital</x:v>
      </x:c>
      <x:c r="B15" s="33" t="n">
        <x:f>'Analysis'!D9</x:f>
        <x:v>-0.29</x:v>
      </x:c>
      <x:c r="C15" s="33" t="n">
        <x:f>'Analysis'!F9</x:f>
        <x:v>-0.21</x:v>
      </x:c>
      <x:c r="E15" t="str">
        <x:f>'Analysis'!A9</x:f>
        <x:v>Digital</x:v>
      </x:c>
      <x:c r="F15" s="48" t="n">
        <x:f>'Analysis'!D9</x:f>
        <x:v>-0.29</x:v>
      </x:c>
      <x:c r="G15" s="48" t="n">
        <x:f>'Analysis'!F9</x:f>
        <x:v>-0.21</x:v>
      </x:c>
    </x:row>
    <x:row r="16">
      <x:c r="A16" s="14" t="str">
        <x:f>'Analysis'!A10</x:f>
        <x:v>Corporate</x:v>
      </x:c>
      <x:c r="B16" s="33" t="n">
        <x:f>'Analysis'!D10</x:f>
        <x:v>0.46</x:v>
      </x:c>
      <x:c r="C16" s="33" t="n">
        <x:f>'Analysis'!F10</x:f>
        <x:v>0.33</x:v>
      </x:c>
      <x:c r="E16" t="str">
        <x:f>'Analysis'!A10</x:f>
        <x:v>Corporate</x:v>
      </x:c>
      <x:c r="F16" s="48" t="n">
        <x:f>'Analysis'!D10</x:f>
        <x:v>0.46</x:v>
      </x:c>
      <x:c r="G16" s="48" t="n">
        <x:f>'Analysis'!F10</x:f>
        <x:v>0.33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9763bc80d39b49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KPI Baseline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54.949999999999996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0.09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0.72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3.8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KPI Baseline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KPI</x:v>
      </x:c>
      <x:c r="B4" s="13" t="str">
        <x:v>Baseline</x:v>
      </x:c>
      <x:c r="C4" s="13" t="str">
        <x:v>Target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7.69</x:v>
      </x:c>
      <x:c r="C5" s="33" t="n">
        <x:v>7.85</x:v>
      </x:c>
      <x:c r="D5" s="33" t="n">
        <x:f>ROUND(C5-B5,2)</x:f>
        <x:v>0.16</x:v>
      </x:c>
      <x:c r="E5" s="35" t="n">
        <x:f>IF(B5=0,0,D5/B5)</x:f>
        <x:v>0.02080624187256177</x:v>
      </x:c>
      <x:c r="F5" s="33" t="n">
        <x:f>ROUND(D5*'Inputs'!$B$8,2)</x:f>
        <x:v>0.12</x:v>
      </x:c>
    </x:row>
    <x:row r="6">
      <x:c r="A6" s="14" t="str">
        <x:v>Commercial</x:v>
      </x:c>
      <x:c r="B6" s="33" t="n">
        <x:v>10.72</x:v>
      </x:c>
      <x:c r="C6" s="33" t="n">
        <x:v>9.43</x:v>
      </x:c>
      <x:c r="D6" s="33" t="n">
        <x:f>ROUND(C6-B6,2)</x:f>
        <x:v>-1.29</x:v>
      </x:c>
      <x:c r="E6" s="35" t="n">
        <x:f>IF(B6=0,0,D6/B6)</x:f>
        <x:v>-0.12033582089552239</x:v>
      </x:c>
      <x:c r="F6" s="33" t="n">
        <x:f>ROUND(D6*'Inputs'!$B$8,2)</x:f>
        <x:v>-0.93</x:v>
      </x:c>
    </x:row>
    <x:row r="7">
      <x:c r="A7" s="14" t="str">
        <x:v>Operations</x:v>
      </x:c>
      <x:c r="B7" s="33" t="n">
        <x:v>13.74</x:v>
      </x:c>
      <x:c r="C7" s="33" t="n">
        <x:v>12.57</x:v>
      </x:c>
      <x:c r="D7" s="33" t="n">
        <x:f>ROUND(C7-B7,2)</x:f>
        <x:v>-1.17</x:v>
      </x:c>
      <x:c r="E7" s="35" t="n">
        <x:f>IF(B7=0,0,D7/B7)</x:f>
        <x:v>-0.08515283842794759</x:v>
      </x:c>
      <x:c r="F7" s="33" t="n">
        <x:f>ROUND(D7*'Inputs'!$B$8,2)</x:f>
        <x:v>-0.84</x:v>
      </x:c>
    </x:row>
    <x:row r="8">
      <x:c r="A8" s="14" t="str">
        <x:v>Shared Services</x:v>
      </x:c>
      <x:c r="B8" s="33" t="n">
        <x:v>16.76</x:v>
      </x:c>
      <x:c r="C8" s="33" t="n">
        <x:v>15.92</x:v>
      </x:c>
      <x:c r="D8" s="33" t="n">
        <x:f>ROUND(C8-B8,2)</x:f>
        <x:v>-0.84</x:v>
      </x:c>
      <x:c r="E8" s="35" t="n">
        <x:f>IF(B8=0,0,D8/B8)</x:f>
        <x:v>-0.05011933174224343</x:v>
      </x:c>
      <x:c r="F8" s="33" t="n">
        <x:f>ROUND(D8*'Inputs'!$B$8,2)</x:f>
        <x:v>-0.6</x:v>
      </x:c>
    </x:row>
    <x:row r="9">
      <x:c r="A9" s="14" t="str">
        <x:v>Digital</x:v>
      </x:c>
      <x:c r="B9" s="33" t="n">
        <x:v>19.78</x:v>
      </x:c>
      <x:c r="C9" s="33" t="n">
        <x:v>19.49</x:v>
      </x:c>
      <x:c r="D9" s="33" t="n">
        <x:f>ROUND(C9-B9,2)</x:f>
        <x:v>-0.29</x:v>
      </x:c>
      <x:c r="E9" s="35" t="n">
        <x:f>IF(B9=0,0,D9/B9)</x:f>
        <x:v>-0.014661274014155712</x:v>
      </x:c>
      <x:c r="F9" s="33" t="n">
        <x:f>ROUND(D9*'Inputs'!$B$8,2)</x:f>
        <x:v>-0.21</x:v>
      </x:c>
    </x:row>
    <x:row r="10">
      <x:c r="A10" s="14" t="str">
        <x:v>Corporate</x:v>
      </x:c>
      <x:c r="B10" s="33" t="n">
        <x:v>22.8</x:v>
      </x:c>
      <x:c r="C10" s="33" t="n">
        <x:v>23.26</x:v>
      </x:c>
      <x:c r="D10" s="33" t="n">
        <x:f>ROUND(C10-B10,2)</x:f>
        <x:v>0.46</x:v>
      </x:c>
      <x:c r="E10" s="35" t="n">
        <x:f>IF(B10=0,0,D10/B10)</x:f>
        <x:v>0.02017543859649123</x:v>
      </x:c>
      <x:c r="F10" s="33" t="n">
        <x:f>ROUND(D10*'Inputs'!$B$8,2)</x:f>
        <x:v>0.33</x:v>
      </x:c>
    </x:row>
    <x:row r="11">
      <x:c r="A11" s="27" t="str">
        <x:v>Total</x:v>
      </x:c>
      <x:c r="B11" s="34" t="n">
        <x:f>SUM(B5:B10)</x:f>
        <x:v>91.49</x:v>
      </x:c>
      <x:c r="C11" s="34" t="n">
        <x:f>SUM(C5:C10)</x:f>
        <x:v>88.52000000000001</x:v>
      </x:c>
      <x:c r="D11" s="34" t="n">
        <x:f>SUM(D5:D10)</x:f>
        <x:v>-2.9699999999999998</x:v>
      </x:c>
      <x:c r="E11" s="36" t="n">
        <x:f>IF(B11=0,0,D11/B11)</x:f>
        <x:v>-0.03246256421466827</x:v>
      </x:c>
      <x:c r="F11" s="34" t="n">
        <x:f>SUM(F5:F10)</x:f>
        <x:v>-2.13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0.33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KPI Baseline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