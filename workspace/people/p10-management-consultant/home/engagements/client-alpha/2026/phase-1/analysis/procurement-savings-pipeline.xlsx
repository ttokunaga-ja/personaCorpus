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1f00c06b7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0ea4a455f94bf0"/>
    <x:sheet xmlns:r="http://schemas.openxmlformats.org/officeDocument/2006/relationships" name="Inputs" sheetId="2" r:id="R561ff68f19b64c3e"/>
    <x:sheet xmlns:r="http://schemas.openxmlformats.org/officeDocument/2006/relationships" name="Analysis" sheetId="3" r:id="R41e456b9fa9d452c"/>
    <x:sheet xmlns:r="http://schemas.openxmlformats.org/officeDocument/2006/relationships" name="Checks" sheetId="4" r:id="R2b85bfb51816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7cd1d91c04e00" /><Relationship Type="http://schemas.openxmlformats.org/officeDocument/2006/relationships/theme" Target="/xl/theme/theme1.xml" Id="Rd4b25d6defbd4606" /><Relationship Type="http://schemas.openxmlformats.org/officeDocument/2006/relationships/sharedStrings" Target="/xl/sharedStrings.xml" Id="Re7da2b4d41a64e51" /><Relationship Type="http://schemas.openxmlformats.org/officeDocument/2006/relationships/worksheet" Target="/xl/worksheets/sheet1.xml" Id="Rf00ea4a455f94bf0" /><Relationship Type="http://schemas.openxmlformats.org/officeDocument/2006/relationships/worksheet" Target="/xl/worksheets/sheet2.xml" Id="R561ff68f19b64c3e" /><Relationship Type="http://schemas.openxmlformats.org/officeDocument/2006/relationships/worksheet" Target="/xl/worksheets/sheet3.xml" Id="R41e456b9fa9d452c" /><Relationship Type="http://schemas.openxmlformats.org/officeDocument/2006/relationships/worksheet" Target="/xl/worksheets/sheet4.xml" Id="R2b85bfb518164c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b2f1918efe45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b2f1918efe45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fbbaed5cd142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Procurement Savings Pipeline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Procurement savings pipeline by category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57.65</x:v>
      </x:c>
      <x:c r="C6" s="45" t="n">
        <x:f>'Analysis'!D11</x:f>
        <x:v>-5.99</x:v>
      </x:c>
      <x:c r="D6" s="46" t="n">
        <x:f>IF(B6=0,0,C6/B6)</x:f>
        <x:v>-0.1039028620988725</x:v>
      </x:c>
      <x:c r="E6" s="45" t="n">
        <x:f>'Analysis'!F11</x:f>
        <x:v>-4.779999999999999</x:v>
      </x:c>
      <x:c r="F6" s="46" t="n">
        <x:f>'Inputs'!B8</x:f>
        <x:v>0.7999999999999999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Procurement category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-0.73</x:v>
      </x:c>
      <x:c r="C11" s="33" t="n">
        <x:f>'Analysis'!F5</x:f>
        <x:v>-0.58</x:v>
      </x:c>
      <x:c r="E11" t="str">
        <x:f>'Analysis'!A5</x:f>
        <x:v>Enterprise</x:v>
      </x:c>
      <x:c r="F11" s="48" t="n">
        <x:f>'Analysis'!D5</x:f>
        <x:v>-0.73</x:v>
      </x:c>
      <x:c r="G11" s="48" t="n">
        <x:f>'Analysis'!F5</x:f>
        <x:v>-0.58</x:v>
      </x:c>
    </x:row>
    <x:row r="12">
      <x:c r="A12" s="14" t="str">
        <x:f>'Analysis'!A6</x:f>
        <x:v>Commercial</x:v>
      </x:c>
      <x:c r="B12" s="33" t="n">
        <x:f>'Analysis'!D6</x:f>
        <x:v>-0.6</x:v>
      </x:c>
      <x:c r="C12" s="33" t="n">
        <x:f>'Analysis'!F6</x:f>
        <x:v>-0.48</x:v>
      </x:c>
      <x:c r="E12" t="str">
        <x:f>'Analysis'!A6</x:f>
        <x:v>Commercial</x:v>
      </x:c>
      <x:c r="F12" s="48" t="n">
        <x:f>'Analysis'!D6</x:f>
        <x:v>-0.6</x:v>
      </x:c>
      <x:c r="G12" s="48" t="n">
        <x:f>'Analysis'!F6</x:f>
        <x:v>-0.48</x:v>
      </x:c>
    </x:row>
    <x:row r="13">
      <x:c r="A13" s="14" t="str">
        <x:f>'Analysis'!A7</x:f>
        <x:v>Operations</x:v>
      </x:c>
      <x:c r="B13" s="33" t="n">
        <x:f>'Analysis'!D7</x:f>
        <x:v>-0.23</x:v>
      </x:c>
      <x:c r="C13" s="33" t="n">
        <x:f>'Analysis'!F7</x:f>
        <x:v>-0.18</x:v>
      </x:c>
      <x:c r="E13" t="str">
        <x:f>'Analysis'!A7</x:f>
        <x:v>Operations</x:v>
      </x:c>
      <x:c r="F13" s="48" t="n">
        <x:f>'Analysis'!D7</x:f>
        <x:v>-0.23</x:v>
      </x:c>
      <x:c r="G13" s="48" t="n">
        <x:f>'Analysis'!F7</x:f>
        <x:v>-0.18</x:v>
      </x:c>
    </x:row>
    <x:row r="14">
      <x:c r="A14" s="14" t="str">
        <x:f>'Analysis'!A8</x:f>
        <x:v>Shared Services</x:v>
      </x:c>
      <x:c r="B14" s="33" t="n">
        <x:f>'Analysis'!D8</x:f>
        <x:v>0.37</x:v>
      </x:c>
      <x:c r="C14" s="33" t="n">
        <x:f>'Analysis'!F8</x:f>
        <x:v>0.3</x:v>
      </x:c>
      <x:c r="E14" t="str">
        <x:f>'Analysis'!A8</x:f>
        <x:v>Shared Services</x:v>
      </x:c>
      <x:c r="F14" s="48" t="n">
        <x:f>'Analysis'!D8</x:f>
        <x:v>0.37</x:v>
      </x:c>
      <x:c r="G14" s="48" t="n">
        <x:f>'Analysis'!F8</x:f>
        <x:v>0.3</x:v>
      </x:c>
    </x:row>
    <x:row r="15">
      <x:c r="A15" s="14" t="str">
        <x:f>'Analysis'!A9</x:f>
        <x:v>Digital</x:v>
      </x:c>
      <x:c r="B15" s="33" t="n">
        <x:f>'Analysis'!D9</x:f>
        <x:v>-2.64</x:v>
      </x:c>
      <x:c r="C15" s="33" t="n">
        <x:f>'Analysis'!F9</x:f>
        <x:v>-2.11</x:v>
      </x:c>
      <x:c r="E15" t="str">
        <x:f>'Analysis'!A9</x:f>
        <x:v>Digital</x:v>
      </x:c>
      <x:c r="F15" s="48" t="n">
        <x:f>'Analysis'!D9</x:f>
        <x:v>-2.64</x:v>
      </x:c>
      <x:c r="G15" s="48" t="n">
        <x:f>'Analysis'!F9</x:f>
        <x:v>-2.11</x:v>
      </x:c>
    </x:row>
    <x:row r="16">
      <x:c r="A16" s="14" t="str">
        <x:f>'Analysis'!A10</x:f>
        <x:v>Corporate</x:v>
      </x:c>
      <x:c r="B16" s="33" t="n">
        <x:f>'Analysis'!D10</x:f>
        <x:v>-2.16</x:v>
      </x:c>
      <x:c r="C16" s="33" t="n">
        <x:f>'Analysis'!F10</x:f>
        <x:v>-1.73</x:v>
      </x:c>
      <x:c r="E16" t="str">
        <x:f>'Analysis'!A10</x:f>
        <x:v>Corporate</x:v>
      </x:c>
      <x:c r="F16" s="48" t="n">
        <x:f>'Analysis'!D10</x:f>
        <x:v>-2.16</x:v>
      </x:c>
      <x:c r="G16" s="48" t="n">
        <x:f>'Analysis'!F10</x:f>
        <x:v>-1.73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a6fbbaed5cd1429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Procurement Savings Pipeline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57.65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0.11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0.7999999999999999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2.75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Procurement Savings Pipeline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Procurement category</x:v>
      </x:c>
      <x:c r="B4" s="13" t="str">
        <x:v>Addressable spend ¥M</x:v>
      </x:c>
      <x:c r="C4" s="13" t="str">
        <x:v>Savings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8.56</x:v>
      </x:c>
      <x:c r="C5" s="33" t="n">
        <x:v>7.83</x:v>
      </x:c>
      <x:c r="D5" s="33" t="n">
        <x:f>ROUND(C5-B5,2)</x:f>
        <x:v>-0.73</x:v>
      </x:c>
      <x:c r="E5" s="35" t="n">
        <x:f>IF(B5=0,0,D5/B5)</x:f>
        <x:v>-0.0852803738317757</x:v>
      </x:c>
      <x:c r="F5" s="33" t="n">
        <x:f>ROUND(D5*'Inputs'!$B$8,2)</x:f>
        <x:v>-0.58</x:v>
      </x:c>
    </x:row>
    <x:row r="6">
      <x:c r="A6" s="14" t="str">
        <x:v>Commercial</x:v>
      </x:c>
      <x:c r="B6" s="33" t="n">
        <x:v>11.92</x:v>
      </x:c>
      <x:c r="C6" s="33" t="n">
        <x:v>11.32</x:v>
      </x:c>
      <x:c r="D6" s="33" t="n">
        <x:f>ROUND(C6-B6,2)</x:f>
        <x:v>-0.6</x:v>
      </x:c>
      <x:c r="E6" s="35" t="n">
        <x:f>IF(B6=0,0,D6/B6)</x:f>
        <x:v>-0.050335570469798654</x:v>
      </x:c>
      <x:c r="F6" s="33" t="n">
        <x:f>ROUND(D6*'Inputs'!$B$8,2)</x:f>
        <x:v>-0.48</x:v>
      </x:c>
    </x:row>
    <x:row r="7">
      <x:c r="A7" s="14" t="str">
        <x:v>Operations</x:v>
      </x:c>
      <x:c r="B7" s="33" t="n">
        <x:v>15.28</x:v>
      </x:c>
      <x:c r="C7" s="33" t="n">
        <x:v>15.05</x:v>
      </x:c>
      <x:c r="D7" s="33" t="n">
        <x:f>ROUND(C7-B7,2)</x:f>
        <x:v>-0.23</x:v>
      </x:c>
      <x:c r="E7" s="35" t="n">
        <x:f>IF(B7=0,0,D7/B7)</x:f>
        <x:v>-0.01505235602094241</x:v>
      </x:c>
      <x:c r="F7" s="33" t="n">
        <x:f>ROUND(D7*'Inputs'!$B$8,2)</x:f>
        <x:v>-0.18</x:v>
      </x:c>
    </x:row>
    <x:row r="8">
      <x:c r="A8" s="14" t="str">
        <x:v>Shared Services</x:v>
      </x:c>
      <x:c r="B8" s="33" t="n">
        <x:v>18.64</x:v>
      </x:c>
      <x:c r="C8" s="33" t="n">
        <x:v>19.01</x:v>
      </x:c>
      <x:c r="D8" s="33" t="n">
        <x:f>ROUND(C8-B8,2)</x:f>
        <x:v>0.37</x:v>
      </x:c>
      <x:c r="E8" s="35" t="n">
        <x:f>IF(B8=0,0,D8/B8)</x:f>
        <x:v>0.01984978540772532</x:v>
      </x:c>
      <x:c r="F8" s="33" t="n">
        <x:f>ROUND(D8*'Inputs'!$B$8,2)</x:f>
        <x:v>0.3</x:v>
      </x:c>
    </x:row>
    <x:row r="9">
      <x:c r="A9" s="14" t="str">
        <x:v>Digital</x:v>
      </x:c>
      <x:c r="B9" s="33" t="n">
        <x:v>22</x:v>
      </x:c>
      <x:c r="C9" s="33" t="n">
        <x:v>19.36</x:v>
      </x:c>
      <x:c r="D9" s="33" t="n">
        <x:f>ROUND(C9-B9,2)</x:f>
        <x:v>-2.64</x:v>
      </x:c>
      <x:c r="E9" s="35" t="n">
        <x:f>IF(B9=0,0,D9/B9)</x:f>
        <x:v>-0.12000000000000001</x:v>
      </x:c>
      <x:c r="F9" s="33" t="n">
        <x:f>ROUND(D9*'Inputs'!$B$8,2)</x:f>
        <x:v>-2.11</x:v>
      </x:c>
    </x:row>
    <x:row r="10">
      <x:c r="A10" s="14" t="str">
        <x:v>Corporate</x:v>
      </x:c>
      <x:c r="B10" s="33" t="n">
        <x:v>25.36</x:v>
      </x:c>
      <x:c r="C10" s="33" t="n">
        <x:v>23.2</x:v>
      </x:c>
      <x:c r="D10" s="33" t="n">
        <x:f>ROUND(C10-B10,2)</x:f>
        <x:v>-2.16</x:v>
      </x:c>
      <x:c r="E10" s="35" t="n">
        <x:f>IF(B10=0,0,D10/B10)</x:f>
        <x:v>-0.08517350157728708</x:v>
      </x:c>
      <x:c r="F10" s="33" t="n">
        <x:f>ROUND(D10*'Inputs'!$B$8,2)</x:f>
        <x:v>-1.73</x:v>
      </x:c>
    </x:row>
    <x:row r="11">
      <x:c r="A11" s="27" t="str">
        <x:v>Total</x:v>
      </x:c>
      <x:c r="B11" s="34" t="n">
        <x:f>SUM(B5:B10)</x:f>
        <x:v>101.76</x:v>
      </x:c>
      <x:c r="C11" s="34" t="n">
        <x:f>SUM(C5:C10)</x:f>
        <x:v>95.77000000000001</x:v>
      </x:c>
      <x:c r="D11" s="34" t="n">
        <x:f>SUM(D5:D10)</x:f>
        <x:v>-5.99</x:v>
      </x:c>
      <x:c r="E11" s="36" t="n">
        <x:f>IF(B11=0,0,D11/B11)</x:f>
        <x:v>-0.05886399371069182</x:v>
      </x:c>
      <x:c r="F11" s="34" t="n">
        <x:f>SUM(F5:F10)</x:f>
        <x:v>-4.779999999999999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0.3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Procurement Savings Pipeline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