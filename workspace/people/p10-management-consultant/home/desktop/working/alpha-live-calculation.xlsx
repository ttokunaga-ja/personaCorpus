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5981eb8e1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b23f65504849f3"/>
    <x:sheet xmlns:r="http://schemas.openxmlformats.org/officeDocument/2006/relationships" name="Inputs" sheetId="2" r:id="R67e3670085a04017"/>
    <x:sheet xmlns:r="http://schemas.openxmlformats.org/officeDocument/2006/relationships" name="Model" sheetId="3" r:id="Rd506143c2de3490a"/>
    <x:sheet xmlns:r="http://schemas.openxmlformats.org/officeDocument/2006/relationships" name="Checks" sheetId="4" r:id="R415484329b73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B8C6D1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top style="thin">
        <x:color rgb="FFB8C6D1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B8C6D1"/>
      </x:bottom>
    </x:border>
    <x:border>
      <x:left style="thin">
        <x:color rgb="FFD9E2F3"/>
      </x:left>
      <x:top style="thin">
        <x:color rgb="FFD9E2F3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left style="thin">
        <x:color rgb="FFD9E2F3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6D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d750906624daf" /><Relationship Type="http://schemas.openxmlformats.org/officeDocument/2006/relationships/theme" Target="/xl/theme/theme1.xml" Id="Rcc95a01cacef4621" /><Relationship Type="http://schemas.openxmlformats.org/officeDocument/2006/relationships/sharedStrings" Target="/xl/sharedStrings.xml" Id="R845dd5dfb9d44f2d" /><Relationship Type="http://schemas.openxmlformats.org/officeDocument/2006/relationships/worksheet" Target="/xl/worksheets/sheet1.xml" Id="R81b23f65504849f3" /><Relationship Type="http://schemas.openxmlformats.org/officeDocument/2006/relationships/worksheet" Target="/xl/worksheets/sheet2.xml" Id="R67e3670085a04017" /><Relationship Type="http://schemas.openxmlformats.org/officeDocument/2006/relationships/worksheet" Target="/xl/worksheets/sheet3.xml" Id="Rd506143c2de3490a" /><Relationship Type="http://schemas.openxmlformats.org/officeDocument/2006/relationships/worksheet" Target="/xl/worksheets/sheet4.xml" Id="R415484329b734b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783596a78441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vs forecast spend (¥M)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Planned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'Model'!$B$2:$B$7</c:f>
              <c:numCache>
                <c:formatCode>¥#,##0.0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Risk reserve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'Model'!$C$2:$C$7</c:f>
              <c:numCache>
                <c:formatCode>¥#,##0.0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Forecast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'Model'!$D$2:$D$7</c:f>
              <c:numCache>
                <c:formatCode>¥#,##0.0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Cumulative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'Model'!$E$2:$E$7</c:f>
              <c:numCache>
                <c:formatCode>¥#,##0.0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83596a78441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b6c49f33c4a4d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Client Alpha | Phase 1 live calculation | 13 Jul 2026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Portfolio link</x:v>
      </x:c>
      <x:c r="B3" s="14" t="str">
        <x:v>Summit Vale Advisory | Finance | ¥42.8M Portfolio Budget</x:v>
      </x:c>
      <x:c r="D3" s="13" t="str">
        <x:v>Decision</x:v>
      </x:c>
      <x:c r="E3" s="28" t="str">
        <x:v>Owner</x:v>
      </x:c>
      <x:c r="F3" s="14" t="str">
        <x:v>Due</x:v>
      </x:c>
    </x:row>
    <x:row r="4">
      <x:c r="A4" s="19" t="str">
        <x:v>Baseline spend (¥M)</x:v>
      </x:c>
      <x:c r="B4" s="23" t="n">
        <x:v>18</x:v>
      </x:c>
      <x:c r="D4" s="19" t="str">
        <x:v>Confirm workstream capacity</x:v>
      </x:c>
      <x:c r="E4" s="31" t="str">
        <x:v>Avery Calder</x:v>
      </x:c>
      <x:c r="F4" s="20" t="str">
        <x:v>2026-07-15</x:v>
      </x:c>
    </x:row>
    <x:row r="5">
      <x:c r="A5" s="19" t="str">
        <x:v>Approved change (¥M)</x:v>
      </x:c>
      <x:c r="B5" s="23" t="n">
        <x:v>1.44</x:v>
      </x:c>
      <x:c r="D5" s="19" t="str">
        <x:v>Validate finance controls</x:v>
      </x:c>
      <x:c r="E5" s="31" t="str">
        <x:v>Nina Solberg</x:v>
      </x:c>
      <x:c r="F5" s="20" t="str">
        <x:v>2026-07-16</x:v>
      </x:c>
    </x:row>
    <x:row r="6">
      <x:c r="A6" s="19" t="str">
        <x:v>Forecast spend (¥M)</x:v>
      </x:c>
      <x:c r="B6" s="23" t="n">
        <x:f>'Model'!B11</x:f>
        <x:v>19.32</x:v>
      </x:c>
      <x:c r="D6" s="19" t="str">
        <x:v>Resolve data dependency</x:v>
      </x:c>
      <x:c r="E6" s="31" t="str">
        <x:v>Theo Mercer</x:v>
      </x:c>
      <x:c r="F6" s="20" t="str">
        <x:v>2026-07-17</x:v>
      </x:c>
    </x:row>
    <x:row r="7">
      <x:c r="A7" s="21" t="str">
        <x:v>Variance to plan (¥M)</x:v>
      </x:c>
      <x:c r="B7" s="24" t="n">
        <x:f>B6-B5</x:f>
        <x:v>17.88</x:v>
      </x:c>
      <x:c r="D7" s="21" t="str">
        <x:v>Refresh steering brief</x:v>
      </x:c>
      <x:c r="E7" s="32" t="str">
        <x:v>Keiko Ward</x:v>
      </x:c>
      <x:c r="F7" s="22" t="str">
        <x:v>2026-07-20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3" t="str">
        <x:v>Driver</x:v>
      </x:c>
      <x:c r="B1" s="28" t="str">
        <x:v>Value</x:v>
      </x:c>
      <x:c r="C1" s="28" t="str">
        <x:v>Unit</x:v>
      </x:c>
      <x:c r="D1" s="14" t="str">
        <x:v>Owner</x:v>
      </x:c>
    </x:row>
    <x:row r="2">
      <x:c r="A2" s="19" t="str">
        <x:v>Base planned spend</x:v>
      </x:c>
      <x:c r="B2" s="33" t="n">
        <x:v>18</x:v>
      </x:c>
      <x:c r="C2" s="31" t="str">
        <x:v>¥M</x:v>
      </x:c>
      <x:c r="D2" s="20" t="str">
        <x:v>Nina Solberg</x:v>
      </x:c>
    </x:row>
    <x:row r="3">
      <x:c r="A3" s="19" t="str">
        <x:v>Weekly growth</x:v>
      </x:c>
      <x:c r="B3" s="34" t="n">
        <x:v>0.025</x:v>
      </x:c>
      <x:c r="C3" s="31" t="str">
        <x:v>%</x:v>
      </x:c>
      <x:c r="D3" s="20" t="str">
        <x:v>Theo Mercer</x:v>
      </x:c>
    </x:row>
    <x:row r="4">
      <x:c r="A4" s="19" t="str">
        <x:v>Contingency</x:v>
      </x:c>
      <x:c r="B4" s="34" t="n">
        <x:v>0.05</x:v>
      </x:c>
      <x:c r="C4" s="31" t="str">
        <x:v>%</x:v>
      </x:c>
      <x:c r="D4" s="20" t="str">
        <x:v>Avery Calder</x:v>
      </x:c>
    </x:row>
    <x:row r="5">
      <x:c r="A5" s="19" t="str">
        <x:v>Weeks remaining</x:v>
      </x:c>
      <x:c r="B5" s="31" t="n">
        <x:v>6</x:v>
      </x:c>
      <x:c r="C5" s="31" t="str">
        <x:v>weeks</x:v>
      </x:c>
      <x:c r="D5" s="20" t="str">
        <x:v>Keiko Ward</x:v>
      </x:c>
    </x:row>
    <x:row r="6">
      <x:c r="A6" s="21" t="str">
        <x:v>Portfolio ceiling</x:v>
      </x:c>
      <x:c r="B6" s="35" t="n">
        <x:v>42.8</x:v>
      </x:c>
      <x:c r="C6" s="32" t="str">
        <x:v>¥M</x:v>
      </x:c>
      <x:c r="D6" s="22" t="str">
        <x:v>Avery Calder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3" t="str">
        <x:v>Week</x:v>
      </x:c>
      <x:c r="B1" s="28" t="str">
        <x:v>Planned (¥M)</x:v>
      </x:c>
      <x:c r="C1" s="28" t="str">
        <x:v>Risk reserve (¥M)</x:v>
      </x:c>
      <x:c r="D1" s="28" t="str">
        <x:v>Forecast (¥M)</x:v>
      </x:c>
      <x:c r="E1" s="28" t="str">
        <x:v>Cumulative (¥M)</x:v>
      </x:c>
      <x:c r="F1" s="14" t="str">
        <x:v>Comment</x:v>
      </x:c>
    </x:row>
    <x:row r="2">
      <x:c r="A2" s="19" t="n">
        <x:v>1</x:v>
      </x:c>
      <x:c r="B2" s="33" t="n">
        <x:f>ROUND('Inputs'!$B$2/6,2)</x:f>
        <x:v>3</x:v>
      </x:c>
      <x:c r="C2" s="33" t="n">
        <x:f>ROUND(B2*'Inputs'!$B$4,2)</x:f>
        <x:v>0.15</x:v>
      </x:c>
      <x:c r="D2" s="33" t="n">
        <x:f>ROUND(B2*(1+'Inputs'!$B$3)+C2,2)</x:f>
        <x:v>3.22</x:v>
      </x:c>
      <x:c r="E2" s="33" t="n">
        <x:f>D2</x:f>
        <x:v>3.22</x:v>
      </x:c>
      <x:c r="F2" s="20" t="str">
        <x:v>Mobilize</x:v>
      </x:c>
    </x:row>
    <x:row r="3">
      <x:c r="A3" s="19" t="n">
        <x:v>2</x:v>
      </x:c>
      <x:c r="B3" s="33" t="n">
        <x:f>ROUND('Inputs'!$B$2/6,2)</x:f>
        <x:v>3</x:v>
      </x:c>
      <x:c r="C3" s="33" t="n">
        <x:f>ROUND(B3*'Inputs'!$B$4,2)</x:f>
        <x:v>0.15</x:v>
      </x:c>
      <x:c r="D3" s="33" t="n">
        <x:f>ROUND(B3*(1+'Inputs'!$B$3)+C3,2)</x:f>
        <x:v>3.22</x:v>
      </x:c>
      <x:c r="E3" s="33" t="n">
        <x:f>ROUND(E2+D3,2)</x:f>
        <x:v>6.44</x:v>
      </x:c>
      <x:c r="F3" s="20" t="str">
        <x:v>Validate</x:v>
      </x:c>
    </x:row>
    <x:row r="4">
      <x:c r="A4" s="19" t="n">
        <x:v>3</x:v>
      </x:c>
      <x:c r="B4" s="33" t="n">
        <x:f>ROUND('Inputs'!$B$2/6,2)</x:f>
        <x:v>3</x:v>
      </x:c>
      <x:c r="C4" s="33" t="n">
        <x:f>ROUND(B4*'Inputs'!$B$4,2)</x:f>
        <x:v>0.15</x:v>
      </x:c>
      <x:c r="D4" s="33" t="n">
        <x:f>ROUND(B4*(1+'Inputs'!$B$3)+C4,2)</x:f>
        <x:v>3.22</x:v>
      </x:c>
      <x:c r="E4" s="33" t="n">
        <x:f>ROUND(E3+D4,2)</x:f>
        <x:v>9.66</x:v>
      </x:c>
      <x:c r="F4" s="20" t="str">
        <x:v>Synthesize</x:v>
      </x:c>
    </x:row>
    <x:row r="5">
      <x:c r="A5" s="19" t="n">
        <x:v>4</x:v>
      </x:c>
      <x:c r="B5" s="33" t="n">
        <x:f>ROUND('Inputs'!$B$2/6,2)</x:f>
        <x:v>3</x:v>
      </x:c>
      <x:c r="C5" s="33" t="n">
        <x:f>ROUND(B5*'Inputs'!$B$4,2)</x:f>
        <x:v>0.15</x:v>
      </x:c>
      <x:c r="D5" s="33" t="n">
        <x:f>ROUND(B5*(1+'Inputs'!$B$3)+C5,2)</x:f>
        <x:v>3.22</x:v>
      </x:c>
      <x:c r="E5" s="33" t="n">
        <x:f>ROUND(E4+D5,2)</x:f>
        <x:v>12.88</x:v>
      </x:c>
      <x:c r="F5" s="20" t="str">
        <x:v>Steer</x:v>
      </x:c>
    </x:row>
    <x:row r="6">
      <x:c r="A6" s="19" t="n">
        <x:v>5</x:v>
      </x:c>
      <x:c r="B6" s="33" t="n">
        <x:f>ROUND('Inputs'!$B$2/6,2)</x:f>
        <x:v>3</x:v>
      </x:c>
      <x:c r="C6" s="33" t="n">
        <x:f>ROUND(B6*'Inputs'!$B$4,2)</x:f>
        <x:v>0.15</x:v>
      </x:c>
      <x:c r="D6" s="33" t="n">
        <x:f>ROUND(B6*(1+'Inputs'!$B$3)+C6,2)</x:f>
        <x:v>3.22</x:v>
      </x:c>
      <x:c r="E6" s="33" t="n">
        <x:f>ROUND(E5+D6,2)</x:f>
        <x:v>16.1</x:v>
      </x:c>
      <x:c r="F6" s="20" t="str">
        <x:v>Refine</x:v>
      </x:c>
    </x:row>
    <x:row r="7">
      <x:c r="A7" s="19" t="n">
        <x:v>6</x:v>
      </x:c>
      <x:c r="B7" s="33" t="n">
        <x:f>ROUND('Inputs'!$B$2/6,2)</x:f>
        <x:v>3</x:v>
      </x:c>
      <x:c r="C7" s="33" t="n">
        <x:f>ROUND(B7*'Inputs'!$B$4,2)</x:f>
        <x:v>0.15</x:v>
      </x:c>
      <x:c r="D7" s="33" t="n">
        <x:f>ROUND(B7*(1+'Inputs'!$B$3)+C7,2)</x:f>
        <x:v>3.22</x:v>
      </x:c>
      <x:c r="E7" s="33" t="n">
        <x:f>ROUND(E6+D7,2)</x:f>
        <x:v>19.32</x:v>
      </x:c>
      <x:c r="F7" s="20" t="str">
        <x:v>Close</x:v>
      </x:c>
    </x:row>
    <x:row r="8">
      <x:c r="A8" s="19" t="str"/>
      <x:c r="B8" s="31" t="str"/>
      <x:c r="C8" s="31" t="str"/>
      <x:c r="D8" s="31" t="str"/>
      <x:c r="E8" s="31" t="str"/>
      <x:c r="F8" s="20" t="str"/>
    </x:row>
    <x:row r="9">
      <x:c r="A9" s="36" t="str">
        <x:v>Metric</x:v>
      </x:c>
      <x:c r="B9" s="37" t="str">
        <x:v>Value</x:v>
      </x:c>
      <x:c r="C9" s="31" t="str"/>
      <x:c r="D9" s="31" t="str"/>
      <x:c r="E9" s="31" t="str"/>
      <x:c r="F9" s="20" t="str"/>
    </x:row>
    <x:row r="10">
      <x:c r="A10" s="19" t="str">
        <x:v>Base plan</x:v>
      </x:c>
      <x:c r="B10" s="33" t="n">
        <x:f>'Inputs'!$B$2</x:f>
        <x:v>18</x:v>
      </x:c>
      <x:c r="C10" s="31" t="str"/>
      <x:c r="D10" s="31" t="str"/>
      <x:c r="E10" s="31" t="str"/>
      <x:c r="F10" s="20" t="str"/>
    </x:row>
    <x:row r="11">
      <x:c r="A11" s="19" t="str">
        <x:v>Forecast spend</x:v>
      </x:c>
      <x:c r="B11" s="33" t="n">
        <x:f>ROUND(SUM(D2:D7),2)</x:f>
        <x:v>19.32</x:v>
      </x:c>
      <x:c r="C11" s="31" t="str"/>
      <x:c r="D11" s="31" t="str"/>
      <x:c r="E11" s="31" t="str"/>
      <x:c r="F11" s="20" t="str"/>
    </x:row>
    <x:row r="12">
      <x:c r="A12" s="21" t="str">
        <x:v>Variance</x:v>
      </x:c>
      <x:c r="B12" s="35" t="n">
        <x:f>ROUND(B11-B10,2)</x:f>
        <x:v>1.32</x:v>
      </x:c>
      <x:c r="C12" s="32" t="str"/>
      <x:c r="D12" s="32" t="str"/>
      <x:c r="E12" s="32" t="str"/>
      <x:c r="F12" s="22" t="str"/>
    </x:row>
  </x:sheetData>
  <x:pageMargins left="0.7" right="0.7" top="0.75" bottom="0.75" header="0.3" footer="0.3"/>
  <x:drawing xmlns:r="http://schemas.openxmlformats.org/officeDocument/2006/relationships" r:id="R6b6c49f33c4a4d3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Model checks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Check</x:v>
      </x:c>
      <x:c r="B3" s="28" t="str">
        <x:v>Result</x:v>
      </x:c>
      <x:c r="C3" s="14" t="str">
        <x:v>Note</x:v>
      </x:c>
    </x:row>
    <x:row r="4">
      <x:c r="A4" s="19" t="str">
        <x:v>Forecast arithmetic</x:v>
      </x:c>
      <x:c r="B4" s="31" t="str">
        <x:f>IF(ABS('Model'!E7-SUM('Model'!D2:D7))&lt;0.01,"PASS","FAIL")</x:f>
        <x:v>PASS</x:v>
      </x:c>
      <x:c r="C4" s="20" t="str">
        <x:v>Cumulative equals weekly forecast</x:v>
      </x:c>
    </x:row>
    <x:row r="5">
      <x:c r="A5" s="19" t="str">
        <x:v>Portfolio ceiling</x:v>
      </x:c>
      <x:c r="B5" s="31" t="str">
        <x:f>IF('Model'!B11&lt;='Inputs'!B6,"PASS","REVIEW")</x:f>
        <x:v>PASS</x:v>
      </x:c>
      <x:c r="C5" s="20" t="str">
        <x:v>Finance budget remains visible</x:v>
      </x:c>
    </x:row>
    <x:row r="6">
      <x:c r="A6" s="21" t="str">
        <x:v>Model status</x:v>
      </x:c>
      <x:c r="B6" s="32" t="str">
        <x:f>IF(COUNTIF(B4:B5,"FAIL")=0,"PASS","FAIL")</x:f>
        <x:v>PASS</x:v>
      </x:c>
      <x:c r="C6" s="22" t="str">
        <x:v>PASS requires all checks</x:v>
      </x:c>
    </x:row>
  </x:sheetData>
  <x:mergeCells>
    <x:mergeCell ref="A1:H1"/>
  </x:mergeCells>
  <x:conditionalFormatting sqref="B4:B6">
    <x:cfRule type="containsText" dxfId="0" priority="1" operator="containsText" text="PASS"/>
  </x:conditionalFormatting>
  <x:pageMargins left="0.7" right="0.7" top="0.75" bottom="0.75" header="0.3" footer="0.3"/>
</x:worksheet>
</file>