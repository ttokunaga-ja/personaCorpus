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9bbf6d0f6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Summary" sheetId="1" r:id="Re3a22bad2fc349a9"/>
    <x:sheet xmlns:r="http://schemas.openxmlformats.org/officeDocument/2006/relationships" name="Initiatives" sheetId="2" r:id="R289d7340cd5b44eb"/>
    <x:sheet xmlns:r="http://schemas.openxmlformats.org/officeDocument/2006/relationships" name="Risks" sheetId="3" r:id="R3e3f6694fcbb49a0"/>
    <x:sheet xmlns:r="http://schemas.openxmlformats.org/officeDocument/2006/relationships" name="Controls" sheetId="4" r:id="R572ce9b59d3a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B8C6D1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top style="thin">
        <x:color rgb="FFB8C6D1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B8C6D1"/>
      </x:bottom>
    </x:border>
    <x:border>
      <x:left style="thin">
        <x:color rgb="FFD9E2F3"/>
      </x:left>
      <x:top style="thin">
        <x:color rgb="FFD9E2F3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left style="thin">
        <x:color rgb="FFD9E2F3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6D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2" fillId="3" borderId="4" xfId="0" applyNumberFormat="1" applyFont="1" applyFill="1" applyBorder="1" applyAlignment="1">
      <x:alignment horizontal="center" wrapText="1"/>
    </x:xf>
    <x:xf numFmtId="200" fontId="0" fillId="0" borderId="6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9694af3ad41bd" /><Relationship Type="http://schemas.openxmlformats.org/officeDocument/2006/relationships/theme" Target="/xl/theme/theme1.xml" Id="R3107c0187af0491f" /><Relationship Type="http://schemas.openxmlformats.org/officeDocument/2006/relationships/sharedStrings" Target="/xl/sharedStrings.xml" Id="Rb10b80142eb540b2" /><Relationship Type="http://schemas.openxmlformats.org/officeDocument/2006/relationships/worksheet" Target="/xl/worksheets/sheet1.xml" Id="Re3a22bad2fc349a9" /><Relationship Type="http://schemas.openxmlformats.org/officeDocument/2006/relationships/worksheet" Target="/xl/worksheets/sheet2.xml" Id="R289d7340cd5b44eb" /><Relationship Type="http://schemas.openxmlformats.org/officeDocument/2006/relationships/worksheet" Target="/xl/worksheets/sheet3.xml" Id="R3e3f6694fcbb49a0" /><Relationship Type="http://schemas.openxmlformats.org/officeDocument/2006/relationships/worksheet" Target="/xl/worksheets/sheet4.xml" Id="R572ce9b59d3a4c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0ed64ff0024a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Approved vs forecast by initiative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Phase</c:v>
          </c:tx>
          <c:cat>
            <c:strRef>
              <c:f>'Initiatives'!$A$2:$A$6</c:f>
              <c:strCache>
                <c:ptCount val="0"/>
              </c:strCache>
            </c:strRef>
          </c:cat>
          <c:val>
            <c:numRef>
              <c:f>'Initiatives'!$B$2:$B$6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Owner</c:v>
          </c:tx>
          <c:cat>
            <c:strRef>
              <c:f>'Initiatives'!$A$2:$A$6</c:f>
              <c:strCache>
                <c:ptCount val="0"/>
              </c:strCache>
            </c:strRef>
          </c:cat>
          <c:val>
            <c:numRef>
              <c:f>'Initiatives'!$C$2:$C$6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Status</c:v>
          </c:tx>
          <c:cat>
            <c:strRef>
              <c:f>'Initiatives'!$A$2:$A$6</c:f>
              <c:strCache>
                <c:ptCount val="0"/>
              </c:strCache>
            </c:strRef>
          </c:cat>
          <c:val>
            <c:numRef>
              <c:f>'Initiatives'!$D$2:$D$6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Approved ¥M</c:v>
          </c:tx>
          <c:cat>
            <c:strRef>
              <c:f>'Initiatives'!$A$2:$A$6</c:f>
              <c:strCache>
                <c:ptCount val="0"/>
              </c:strCache>
            </c:strRef>
          </c:cat>
          <c:val>
            <c:numRef>
              <c:f>'Initiatives'!$E$2:$E$6</c:f>
              <c:numCache>
                <c:formatCode>¥#,##0.0</c:formatCode>
                <c:ptCount val="0"/>
              </c:numCache>
            </c:numRef>
          </c:val>
        </c:ser>
        <c:ser>
          <c:idx val="4"/>
          <c:order val="4"/>
          <c:tx>
            <c:v>Forecast ¥M</c:v>
          </c:tx>
          <c:cat>
            <c:strRef>
              <c:f>'Initiatives'!$A$2:$A$6</c:f>
              <c:strCache>
                <c:ptCount val="0"/>
              </c:strCache>
            </c:strRef>
          </c:cat>
          <c:val>
            <c:numRef>
              <c:f>'Initiatives'!$F$2:$F$6</c:f>
              <c:numCache>
                <c:formatCode>¥#,##0.0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0ed64ff0024a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1d4c4f4285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Summit Vale Advisory | consolidated initiative tracker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Portfolio budget (¥M)</x:v>
      </x:c>
      <x:c r="B3" s="23" t="n">
        <x:v>42.8</x:v>
      </x:c>
      <x:c r="D3" s="13" t="str">
        <x:v>Focus</x:v>
      </x:c>
      <x:c r="E3" s="28" t="str">
        <x:v>Lead</x:v>
      </x:c>
      <x:c r="F3" s="14" t="str">
        <x:v>Next gate</x:v>
      </x:c>
    </x:row>
    <x:row r="4">
      <x:c r="A4" s="19" t="str">
        <x:v>Committed (¥M)</x:v>
      </x:c>
      <x:c r="B4" s="24" t="n">
        <x:f>ROUND(SUM('Initiatives'!E2:E6),1)</x:f>
        <x:v>42.8</x:v>
      </x:c>
      <x:c r="D4" s="19" t="str">
        <x:v>Client Alpha Phase 1</x:v>
      </x:c>
      <x:c r="E4" s="31" t="str">
        <x:v>Avery Calder</x:v>
      </x:c>
      <x:c r="F4" s="20" t="str">
        <x:v>15 Jul</x:v>
      </x:c>
    </x:row>
    <x:row r="5">
      <x:c r="A5" s="19" t="str">
        <x:v>Forecast (¥M)</x:v>
      </x:c>
      <x:c r="B5" s="24" t="n">
        <x:f>ROUND(SUM('Initiatives'!F2:F6),1)</x:f>
        <x:v>42.6</x:v>
      </x:c>
      <x:c r="D5" s="19" t="str">
        <x:v>Client Beta Phase 2</x:v>
      </x:c>
      <x:c r="E5" s="31" t="str">
        <x:v>Nina Solberg</x:v>
      </x:c>
      <x:c r="F5" s="20" t="str">
        <x:v>17 Jul</x:v>
      </x:c>
    </x:row>
    <x:row r="6">
      <x:c r="A6" s="19" t="str">
        <x:v>Remaining (¥M)</x:v>
      </x:c>
      <x:c r="B6" s="24" t="n">
        <x:f>ROUND(B3-B5,1)</x:f>
        <x:v>0.2</x:v>
      </x:c>
      <x:c r="D6" s="19" t="str">
        <x:v>Finance integration</x:v>
      </x:c>
      <x:c r="E6" s="31" t="str">
        <x:v>Theo Mercer</x:v>
      </x:c>
      <x:c r="F6" s="20" t="str">
        <x:v>18 Jul</x:v>
      </x:c>
    </x:row>
    <x:row r="7">
      <x:c r="A7" s="21" t="str">
        <x:v>Model status</x:v>
      </x:c>
      <x:c r="B7" s="22" t="str">
        <x:f>'Controls'!B5</x:f>
        <x:v>PASS</x:v>
      </x:c>
      <x:c r="D7" s="21" t="str">
        <x:v>Portfolio control</x:v>
      </x:c>
      <x:c r="E7" s="32" t="str">
        <x:v>Keiko Ward</x:v>
      </x:c>
      <x:c r="F7" s="22" t="str">
        <x:v>20 Jul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3" t="str">
        <x:v>Initiative</x:v>
      </x:c>
      <x:c r="B1" s="28" t="str">
        <x:v>Phase</x:v>
      </x:c>
      <x:c r="C1" s="28" t="str">
        <x:v>Owner</x:v>
      </x:c>
      <x:c r="D1" s="28" t="str">
        <x:v>Status</x:v>
      </x:c>
      <x:c r="E1" s="28" t="str">
        <x:v>Approved ¥M</x:v>
      </x:c>
      <x:c r="F1" s="28" t="str">
        <x:v>Forecast ¥M</x:v>
      </x:c>
      <x:c r="G1" s="28" t="str">
        <x:v>Variance ¥M</x:v>
      </x:c>
      <x:c r="H1" s="14" t="str">
        <x:v>Next gate</x:v>
      </x:c>
    </x:row>
    <x:row r="2">
      <x:c r="A2" s="19" t="str">
        <x:v>Client Alpha</x:v>
      </x:c>
      <x:c r="B2" s="31" t="str">
        <x:v>Phase 1</x:v>
      </x:c>
      <x:c r="C2" s="31" t="str">
        <x:v>Avery Calder</x:v>
      </x:c>
      <x:c r="D2" s="31" t="str">
        <x:v>In progress</x:v>
      </x:c>
      <x:c r="E2" s="33" t="n">
        <x:v>18</x:v>
      </x:c>
      <x:c r="F2" s="33" t="n">
        <x:v>18.7</x:v>
      </x:c>
      <x:c r="G2" s="33" t="n">
        <x:f>F2-E2</x:f>
        <x:v>0.6999999999999993</x:v>
      </x:c>
      <x:c r="H2" s="20" t="str">
        <x:v>Synthesis review</x:v>
      </x:c>
    </x:row>
    <x:row r="3">
      <x:c r="A3" s="19" t="str">
        <x:v>Client Beta</x:v>
      </x:c>
      <x:c r="B3" s="31" t="str">
        <x:v>Phase 2</x:v>
      </x:c>
      <x:c r="C3" s="31" t="str">
        <x:v>Nina Solberg</x:v>
      </x:c>
      <x:c r="D3" s="31" t="str">
        <x:v>In progress</x:v>
      </x:c>
      <x:c r="E3" s="33" t="n">
        <x:v>12.6</x:v>
      </x:c>
      <x:c r="F3" s="33" t="n">
        <x:v>12.1</x:v>
      </x:c>
      <x:c r="G3" s="33" t="n">
        <x:f>F3-E3</x:f>
        <x:v>-0.5</x:v>
      </x:c>
      <x:c r="H3" s="20" t="str">
        <x:v>Hypothesis test</x:v>
      </x:c>
    </x:row>
    <x:row r="4">
      <x:c r="A4" s="19" t="str">
        <x:v>Finance controls</x:v>
      </x:c>
      <x:c r="B4" s="31" t="str">
        <x:v>Portfolio</x:v>
      </x:c>
      <x:c r="C4" s="31" t="str">
        <x:v>Theo Mercer</x:v>
      </x:c>
      <x:c r="D4" s="31" t="str">
        <x:v>At risk</x:v>
      </x:c>
      <x:c r="E4" s="33" t="n">
        <x:v>5</x:v>
      </x:c>
      <x:c r="F4" s="33" t="n">
        <x:v>5.4</x:v>
      </x:c>
      <x:c r="G4" s="33" t="n">
        <x:f>F4-E4</x:f>
        <x:v>0.40000000000000036</x:v>
      </x:c>
      <x:c r="H4" s="20" t="str">
        <x:v>Control design</x:v>
      </x:c>
    </x:row>
    <x:row r="5">
      <x:c r="A5" s="19" t="str">
        <x:v>Staffing</x:v>
      </x:c>
      <x:c r="B5" s="31" t="str">
        <x:v>Portfolio</x:v>
      </x:c>
      <x:c r="C5" s="31" t="str">
        <x:v>Keiko Ward</x:v>
      </x:c>
      <x:c r="D5" s="31" t="str">
        <x:v>In progress</x:v>
      </x:c>
      <x:c r="E5" s="33" t="n">
        <x:v>4.2</x:v>
      </x:c>
      <x:c r="F5" s="33" t="n">
        <x:v>4</x:v>
      </x:c>
      <x:c r="G5" s="33" t="n">
        <x:f>F5-E5</x:f>
        <x:v>-0.20000000000000018</x:v>
      </x:c>
      <x:c r="H5" s="20" t="str">
        <x:v>Weekly plan</x:v>
      </x:c>
    </x:row>
    <x:row r="6">
      <x:c r="A6" s="21" t="str">
        <x:v>Contingency</x:v>
      </x:c>
      <x:c r="B6" s="32" t="str">
        <x:v>Portfolio</x:v>
      </x:c>
      <x:c r="C6" s="32" t="str">
        <x:v>Avery Calder</x:v>
      </x:c>
      <x:c r="D6" s="32" t="str">
        <x:v>Planned</x:v>
      </x:c>
      <x:c r="E6" s="34" t="n">
        <x:v>3</x:v>
      </x:c>
      <x:c r="F6" s="34" t="n">
        <x:v>2.4</x:v>
      </x:c>
      <x:c r="G6" s="34" t="n">
        <x:f>F6-E6</x:f>
        <x:v>-0.6000000000000001</x:v>
      </x:c>
      <x:c r="H6" s="22" t="str">
        <x:v>Steerco</x:v>
      </x:c>
    </x:row>
  </x:sheetData>
  <x:dataValidations count="1">
    <x:dataValidation type="list" sqref="D2:D6">
      <x:formula1>"Planned,In progress,At risk,Complete"</x:formula1>
    </x:dataValidation>
  </x:dataValidations>
  <x:pageMargins left="0.7" right="0.7" top="0.75" bottom="0.75" header="0.3" footer="0.3"/>
  <x:drawing xmlns:r="http://schemas.openxmlformats.org/officeDocument/2006/relationships" r:id="R251d4c4f42854ff4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3" t="str">
        <x:v>Risk</x:v>
      </x:c>
      <x:c r="B1" s="28" t="str">
        <x:v>Likelihood</x:v>
      </x:c>
      <x:c r="C1" s="28" t="str">
        <x:v>Impact</x:v>
      </x:c>
      <x:c r="D1" s="28" t="str">
        <x:v>Owner</x:v>
      </x:c>
      <x:c r="E1" s="28" t="str">
        <x:v>Mitigation</x:v>
      </x:c>
      <x:c r="F1" s="14" t="str">
        <x:v>Status</x:v>
      </x:c>
    </x:row>
    <x:row r="2">
      <x:c r="A2" s="19" t="str">
        <x:v>Data reconciliation delay</x:v>
      </x:c>
      <x:c r="B2" s="31" t="str">
        <x:v>Medium</x:v>
      </x:c>
      <x:c r="C2" s="31" t="str">
        <x:v>High</x:v>
      </x:c>
      <x:c r="D2" s="31" t="str">
        <x:v>Theo Mercer</x:v>
      </x:c>
      <x:c r="E2" s="31" t="str">
        <x:v>Daily reconciliation</x:v>
      </x:c>
      <x:c r="F2" s="20" t="str">
        <x:v>Open</x:v>
      </x:c>
    </x:row>
    <x:row r="3">
      <x:c r="A3" s="19" t="str">
        <x:v>Decision latency</x:v>
      </x:c>
      <x:c r="B3" s="31" t="str">
        <x:v>Medium</x:v>
      </x:c>
      <x:c r="C3" s="31" t="str">
        <x:v>Medium</x:v>
      </x:c>
      <x:c r="D3" s="31" t="str">
        <x:v>Avery Calder</x:v>
      </x:c>
      <x:c r="E3" s="31" t="str">
        <x:v>Pre-wire gates</x:v>
      </x:c>
      <x:c r="F3" s="20" t="str">
        <x:v>Open</x:v>
      </x:c>
    </x:row>
    <x:row r="4">
      <x:c r="A4" s="19" t="str">
        <x:v>Capacity overlap</x:v>
      </x:c>
      <x:c r="B4" s="31" t="str">
        <x:v>Low</x:v>
      </x:c>
      <x:c r="C4" s="31" t="str">
        <x:v>High</x:v>
      </x:c>
      <x:c r="D4" s="31" t="str">
        <x:v>Keiko Ward</x:v>
      </x:c>
      <x:c r="E4" s="31" t="str">
        <x:v>Hold capacity</x:v>
      </x:c>
      <x:c r="F4" s="20" t="str">
        <x:v>Monitored</x:v>
      </x:c>
    </x:row>
    <x:row r="5">
      <x:c r="A5" s="21" t="str">
        <x:v>Scope drift</x:v>
      </x:c>
      <x:c r="B5" s="32" t="str">
        <x:v>Medium</x:v>
      </x:c>
      <x:c r="C5" s="32" t="str">
        <x:v>Medium</x:v>
      </x:c>
      <x:c r="D5" s="32" t="str">
        <x:v>Nina Solberg</x:v>
      </x:c>
      <x:c r="E5" s="32" t="str">
        <x:v>Question log</x:v>
      </x:c>
      <x:c r="F5" s="22" t="str">
        <x:v>Open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3" t="str">
        <x:v>Control</x:v>
      </x:c>
      <x:c r="B1" s="28" t="str">
        <x:v>Result</x:v>
      </x:c>
      <x:c r="C1" s="14" t="str">
        <x:v>Note</x:v>
      </x:c>
    </x:row>
    <x:row r="2">
      <x:c r="A2" s="19" t="str">
        <x:v>Approved total tie</x:v>
      </x:c>
      <x:c r="B2" s="31" t="str">
        <x:f>IF(ABS(SUM('Initiatives'!E2:E6)-42.8)&lt;0.01,"PASS","FAIL")</x:f>
        <x:v>PASS</x:v>
      </x:c>
      <x:c r="C2" s="20" t="str">
        <x:v>Initiatives match portfolio ceiling</x:v>
      </x:c>
    </x:row>
    <x:row r="3">
      <x:c r="A3" s="19" t="str">
        <x:v>Forecast total tie</x:v>
      </x:c>
      <x:c r="B3" s="31" t="str">
        <x:f>IF(ABS(SUM('Initiatives'!F2:F6)-'Portfolio Summary'!B5)&lt;0.01,"PASS","FAIL")</x:f>
        <x:v>PASS</x:v>
      </x:c>
      <x:c r="C3" s="20" t="str">
        <x:v>Dashboard matches initiative forecast</x:v>
      </x:c>
    </x:row>
    <x:row r="4">
      <x:c r="A4" s="19" t="str">
        <x:v>No negative remaining</x:v>
      </x:c>
      <x:c r="B4" s="31" t="str">
        <x:f>IF('Portfolio Summary'!B6&gt;=0,"PASS","FAIL")</x:f>
        <x:v>PASS</x:v>
      </x:c>
      <x:c r="C4" s="20" t="str">
        <x:v>Portfolio headroom is non-negative</x:v>
      </x:c>
    </x:row>
    <x:row r="5">
      <x:c r="A5" s="19" t="str">
        <x:v>Model status</x:v>
      </x:c>
      <x:c r="B5" s="31" t="str">
        <x:f>IF(COUNTIF(B2:B4,"FAIL")=0,"PASS","FAIL")</x:f>
        <x:v>PASS</x:v>
      </x:c>
      <x:c r="C5" s="20" t="str">
        <x:v>PASS required</x:v>
      </x:c>
    </x:row>
    <x:row r="6">
      <x:c r="A6" s="21"/>
      <x:c r="B6" s="32"/>
      <x:c r="C6" s="22"/>
    </x:row>
  </x:sheetData>
  <x:pageMargins left="0.7" right="0.7" top="0.75" bottom="0.75" header="0.3" footer="0.3"/>
</x:worksheet>
</file>