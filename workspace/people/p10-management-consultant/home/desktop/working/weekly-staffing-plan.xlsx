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6f3b47068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lan" sheetId="1" r:id="Rf845295c0cb4463b"/>
    <x:sheet xmlns:r="http://schemas.openxmlformats.org/officeDocument/2006/relationships" name="Capacity" sheetId="2" r:id="Rc8202db9894f4946"/>
    <x:sheet xmlns:r="http://schemas.openxmlformats.org/officeDocument/2006/relationships" name="Allocation" sheetId="3" r:id="Rf350aedd3c394621"/>
    <x:sheet xmlns:r="http://schemas.openxmlformats.org/officeDocument/2006/relationships" name="Checks" sheetId="4" r:id="Rbe5e42068937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B8C6D1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top style="thin">
        <x:color rgb="FFB8C6D1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B8C6D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6D1"/>
      </x:bottom>
    </x:border>
    <x:border>
      <x:left style="thin">
        <x:color rgb="FFD9E2F3"/>
      </x:left>
      <x:top style="thin">
        <x:color rgb="FFD9E2F3"/>
      </x:top>
      <x:bottom style="thin">
        <x:color rgb="FFB8C6D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48d90b7124255" /><Relationship Type="http://schemas.openxmlformats.org/officeDocument/2006/relationships/theme" Target="/xl/theme/theme1.xml" Id="Rc199a6e70a5d4ee1" /><Relationship Type="http://schemas.openxmlformats.org/officeDocument/2006/relationships/sharedStrings" Target="/xl/sharedStrings.xml" Id="R82e74b8ebb9042f1" /><Relationship Type="http://schemas.openxmlformats.org/officeDocument/2006/relationships/worksheet" Target="/xl/worksheets/sheet1.xml" Id="Rf845295c0cb4463b" /><Relationship Type="http://schemas.openxmlformats.org/officeDocument/2006/relationships/worksheet" Target="/xl/worksheets/sheet2.xml" Id="Rc8202db9894f4946" /><Relationship Type="http://schemas.openxmlformats.org/officeDocument/2006/relationships/worksheet" Target="/xl/worksheets/sheet3.xml" Id="Rf350aedd3c394621" /><Relationship Type="http://schemas.openxmlformats.org/officeDocument/2006/relationships/worksheet" Target="/xl/worksheets/sheet4.xml" Id="Rbe5e420689374b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1eff0abf5842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allocation (days)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Client Alpha P1</c:v>
          </c:tx>
          <c:cat>
            <c:strRef>
              <c:f>'Allocation'!$A$2:$A$5</c:f>
              <c:strCache>
                <c:ptCount val="0"/>
              </c:strCache>
            </c:strRef>
          </c:cat>
          <c:val>
            <c:numRef>
              <c:f>'Allocation'!$B$2:$B$5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Client Beta P2</c:v>
          </c:tx>
          <c:cat>
            <c:strRef>
              <c:f>'Allocation'!$A$2:$A$5</c:f>
              <c:strCache>
                <c:ptCount val="0"/>
              </c:strCache>
            </c:strRef>
          </c:cat>
          <c:val>
            <c:numRef>
              <c:f>'Allocation'!$C$2:$C$5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Portfolio</c:v>
          </c:tx>
          <c:cat>
            <c:strRef>
              <c:f>'Allocation'!$A$2:$A$5</c:f>
              <c:strCache>
                <c:ptCount val="0"/>
              </c:strCache>
            </c:strRef>
          </c:cat>
          <c:val>
            <c:numRef>
              <c:f>'Allocation'!$D$2:$D$5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eff0abf5842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ec4844c5323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Summit Vale Advisory | weekly staffing plan | week of 13 Jul 2026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Person</x:v>
      </x:c>
      <x:c r="B3" s="17" t="str">
        <x:v>Client Alpha P1</x:v>
      </x:c>
      <x:c r="C3" s="17" t="str">
        <x:v>Client Beta P2</x:v>
      </x:c>
      <x:c r="D3" s="17" t="str">
        <x:v>Portfolio</x:v>
      </x:c>
      <x:c r="E3" s="18" t="str">
        <x:v>Total</x:v>
      </x:c>
    </x:row>
    <x:row r="4">
      <x:c r="A4" s="25" t="str">
        <x:v>Avery Calder</x:v>
      </x:c>
      <x:c r="B4" s="31" t="n">
        <x:f>'Allocation'!B2</x:f>
        <x:v>3</x:v>
      </x:c>
      <x:c r="C4" s="31" t="n">
        <x:f>'Allocation'!C2</x:f>
        <x:v>1</x:v>
      </x:c>
      <x:c r="D4" s="31" t="n">
        <x:f>'Allocation'!D2</x:f>
        <x:v>1</x:v>
      </x:c>
      <x:c r="E4" s="32" t="n">
        <x:f>'Allocation'!E2</x:f>
        <x:v>5</x:v>
      </x:c>
    </x:row>
    <x:row r="5">
      <x:c r="A5" s="25" t="str">
        <x:v>Nina Solberg</x:v>
      </x:c>
      <x:c r="B5" s="31" t="n">
        <x:f>'Allocation'!B3</x:f>
        <x:v>2</x:v>
      </x:c>
      <x:c r="C5" s="31" t="n">
        <x:f>'Allocation'!C3</x:f>
        <x:v>2</x:v>
      </x:c>
      <x:c r="D5" s="31" t="n">
        <x:f>'Allocation'!D3</x:f>
        <x:v>1</x:v>
      </x:c>
      <x:c r="E5" s="32" t="n">
        <x:f>'Allocation'!E3</x:f>
        <x:v>5</x:v>
      </x:c>
    </x:row>
    <x:row r="6">
      <x:c r="A6" s="25" t="str">
        <x:v>Theo Mercer</x:v>
      </x:c>
      <x:c r="B6" s="31" t="n">
        <x:f>'Allocation'!B4</x:f>
        <x:v>2</x:v>
      </x:c>
      <x:c r="C6" s="31" t="n">
        <x:f>'Allocation'!C4</x:f>
        <x:v>2</x:v>
      </x:c>
      <x:c r="D6" s="31" t="n">
        <x:f>'Allocation'!D4</x:f>
        <x:v>1</x:v>
      </x:c>
      <x:c r="E6" s="32" t="n">
        <x:f>'Allocation'!E4</x:f>
        <x:v>5</x:v>
      </x:c>
    </x:row>
    <x:row r="7">
      <x:c r="A7" s="28" t="str">
        <x:v>Keiko Ward</x:v>
      </x:c>
      <x:c r="B7" s="33" t="n">
        <x:f>'Allocation'!B5</x:f>
        <x:v>1.5</x:v>
      </x:c>
      <x:c r="C7" s="33" t="n">
        <x:f>'Allocation'!C5</x:f>
        <x:v>1</x:v>
      </x:c>
      <x:c r="D7" s="33" t="n">
        <x:f>'Allocation'!D5</x:f>
        <x:v>1.5</x:v>
      </x:c>
      <x:c r="E7" s="34" t="n">
        <x:f>'Allocation'!E5</x:f>
        <x:v>4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6" t="str">
        <x:v>Person</x:v>
      </x:c>
      <x:c r="B1" s="17" t="str">
        <x:v>Available days</x:v>
      </x:c>
      <x:c r="C1" s="17" t="str">
        <x:v>Committed days</x:v>
      </x:c>
      <x:c r="D1" s="18" t="str">
        <x:v>Headroom</x:v>
      </x:c>
    </x:row>
    <x:row r="2">
      <x:c r="A2" s="25" t="str">
        <x:v>Avery Calder</x:v>
      </x:c>
      <x:c r="B2" s="26" t="n">
        <x:v>5</x:v>
      </x:c>
      <x:c r="C2" s="26" t="n">
        <x:f>'Allocation'!E2</x:f>
        <x:v>5</x:v>
      </x:c>
      <x:c r="D2" s="27" t="n">
        <x:f>B2-C2</x:f>
        <x:v>0</x:v>
      </x:c>
    </x:row>
    <x:row r="3">
      <x:c r="A3" s="25" t="str">
        <x:v>Nina Solberg</x:v>
      </x:c>
      <x:c r="B3" s="26" t="n">
        <x:v>5</x:v>
      </x:c>
      <x:c r="C3" s="26" t="n">
        <x:f>'Allocation'!E3</x:f>
        <x:v>5</x:v>
      </x:c>
      <x:c r="D3" s="27" t="n">
        <x:f>B3-C3</x:f>
        <x:v>0</x:v>
      </x:c>
    </x:row>
    <x:row r="4">
      <x:c r="A4" s="25" t="str">
        <x:v>Theo Mercer</x:v>
      </x:c>
      <x:c r="B4" s="26" t="n">
        <x:v>5</x:v>
      </x:c>
      <x:c r="C4" s="26" t="n">
        <x:f>'Allocation'!E4</x:f>
        <x:v>5</x:v>
      </x:c>
      <x:c r="D4" s="27" t="n">
        <x:f>B4-C4</x:f>
        <x:v>0</x:v>
      </x:c>
    </x:row>
    <x:row r="5">
      <x:c r="A5" s="28" t="str">
        <x:v>Keiko Ward</x:v>
      </x:c>
      <x:c r="B5" s="29" t="n">
        <x:v>4</x:v>
      </x:c>
      <x:c r="C5" s="29" t="n">
        <x:f>'Allocation'!E5</x:f>
        <x:v>4</x:v>
      </x:c>
      <x:c r="D5" s="30" t="n">
        <x:f>B5-C5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6" t="str">
        <x:v>Person</x:v>
      </x:c>
      <x:c r="B1" s="17" t="str">
        <x:v>Client Alpha P1</x:v>
      </x:c>
      <x:c r="C1" s="17" t="str">
        <x:v>Client Beta P2</x:v>
      </x:c>
      <x:c r="D1" s="17" t="str">
        <x:v>Portfolio</x:v>
      </x:c>
      <x:c r="E1" s="18" t="str">
        <x:v>Total</x:v>
      </x:c>
    </x:row>
    <x:row r="2">
      <x:c r="A2" s="25" t="str">
        <x:v>Avery Calder</x:v>
      </x:c>
      <x:c r="B2" s="26" t="n">
        <x:v>3</x:v>
      </x:c>
      <x:c r="C2" s="26" t="n">
        <x:v>1</x:v>
      </x:c>
      <x:c r="D2" s="26" t="n">
        <x:v>1</x:v>
      </x:c>
      <x:c r="E2" s="27" t="n">
        <x:f>SUM(B2:D2)</x:f>
        <x:v>5</x:v>
      </x:c>
    </x:row>
    <x:row r="3">
      <x:c r="A3" s="25" t="str">
        <x:v>Nina Solberg</x:v>
      </x:c>
      <x:c r="B3" s="26" t="n">
        <x:v>2</x:v>
      </x:c>
      <x:c r="C3" s="26" t="n">
        <x:v>2</x:v>
      </x:c>
      <x:c r="D3" s="26" t="n">
        <x:v>1</x:v>
      </x:c>
      <x:c r="E3" s="27" t="n">
        <x:f>SUM(B3:D3)</x:f>
        <x:v>5</x:v>
      </x:c>
    </x:row>
    <x:row r="4">
      <x:c r="A4" s="25" t="str">
        <x:v>Theo Mercer</x:v>
      </x:c>
      <x:c r="B4" s="26" t="n">
        <x:v>2</x:v>
      </x:c>
      <x:c r="C4" s="26" t="n">
        <x:v>2</x:v>
      </x:c>
      <x:c r="D4" s="26" t="n">
        <x:v>1</x:v>
      </x:c>
      <x:c r="E4" s="27" t="n">
        <x:f>SUM(B4:D4)</x:f>
        <x:v>5</x:v>
      </x:c>
    </x:row>
    <x:row r="5">
      <x:c r="A5" s="28" t="str">
        <x:v>Keiko Ward</x:v>
      </x:c>
      <x:c r="B5" s="29" t="n">
        <x:v>1.5</x:v>
      </x:c>
      <x:c r="C5" s="29" t="n">
        <x:v>1</x:v>
      </x:c>
      <x:c r="D5" s="29" t="n">
        <x:v>1.5</x:v>
      </x:c>
      <x:c r="E5" s="30" t="n">
        <x:f>SUM(B5:D5)</x:f>
        <x:v>4</x:v>
      </x:c>
    </x:row>
  </x:sheetData>
  <x:pageMargins left="0.7" right="0.7" top="0.75" bottom="0.75" header="0.3" footer="0.3"/>
  <x:drawing xmlns:r="http://schemas.openxmlformats.org/officeDocument/2006/relationships" r:id="R7ec4844c532345b9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6" t="str">
        <x:v>Check</x:v>
      </x:c>
      <x:c r="B1" s="17" t="str">
        <x:v>Result</x:v>
      </x:c>
      <x:c r="C1" s="18" t="str">
        <x:v>Action</x:v>
      </x:c>
    </x:row>
    <x:row r="2">
      <x:c r="A2" s="25" t="str">
        <x:v>Capacity within availability</x:v>
      </x:c>
      <x:c r="B2" s="26" t="str">
        <x:f>IF(MIN('Capacity'!D2:D5)&gt;=0,"PASS","FAIL")</x:f>
        <x:v>PASS</x:v>
      </x:c>
      <x:c r="C2" s="27" t="str">
        <x:v>Rebalance if FAIL</x:v>
      </x:c>
    </x:row>
    <x:row r="3">
      <x:c r="A3" s="25" t="str">
        <x:v>Alpha coverage &gt;= 8 days</x:v>
      </x:c>
      <x:c r="B3" s="26" t="str">
        <x:f>IF(SUM('Allocation'!B2:B5)&gt;=8,"PASS","FAIL")</x:f>
        <x:v>PASS</x:v>
      </x:c>
      <x:c r="C3" s="27" t="str">
        <x:v>Confirm synthesis pace</x:v>
      </x:c>
    </x:row>
    <x:row r="4">
      <x:c r="A4" s="25" t="str">
        <x:v>Model status</x:v>
      </x:c>
      <x:c r="B4" s="26" t="str">
        <x:f>IF(COUNTIF(B2:B3,"FAIL")=0,"PASS","FAIL")</x:f>
        <x:v>PASS</x:v>
      </x:c>
      <x:c r="C4" s="27" t="str">
        <x:v>PASS required</x:v>
      </x:c>
    </x:row>
    <x:row r="5">
      <x:c r="A5" s="28" t="str">
        <x:v>Portfolio budget reference</x:v>
      </x:c>
      <x:c r="B5" s="29" t="str">
        <x:v>¥42.8M</x:v>
      </x:c>
      <x:c r="C5" s="30" t="str">
        <x:v>Finance anchor</x:v>
      </x:c>
    </x:row>
  </x:sheetData>
  <x:pageMargins left="0.7" right="0.7" top="0.75" bottom="0.75" header="0.3" footer="0.3"/>
</x:worksheet>
</file>