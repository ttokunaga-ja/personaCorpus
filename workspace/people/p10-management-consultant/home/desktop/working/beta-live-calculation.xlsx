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6612024c1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e3e5c753784d50"/>
    <x:sheet xmlns:r="http://schemas.openxmlformats.org/officeDocument/2006/relationships" name="Inputs" sheetId="2" r:id="Rb84774b488f84771"/>
    <x:sheet xmlns:r="http://schemas.openxmlformats.org/officeDocument/2006/relationships" name="Model" sheetId="3" r:id="Rca7c2bd5699c4392"/>
    <x:sheet xmlns:r="http://schemas.openxmlformats.org/officeDocument/2006/relationships" name="Checks" sheetId="4" r:id="R467d960adccb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"/>
    <x:numFmt numFmtId="201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</x:fills>
  <x:borders count="13">
    <x:border/>
    <x:border>
      <x:left style="thin">
        <x:color rgb="FFB8C6D1"/>
      </x:left>
      <x:top style="thin">
        <x:color rgb="FFB8C6D1"/>
      </x:top>
      <x:bottom style="thin">
        <x:color rgb="FFB8C6D1"/>
      </x:bottom>
    </x:border>
    <x:border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B8C6D1"/>
      </x:left>
      <x:right style="thin">
        <x:color rgb="FFD9E2F3"/>
      </x:right>
      <x:top style="thin">
        <x:color rgb="FFB8C6D1"/>
      </x:top>
      <x:bottom style="thin">
        <x:color rgb="FFD9E2F3"/>
      </x:bottom>
    </x:border>
    <x:border>
      <x:left style="thin">
        <x:color rgb="FFD9E2F3"/>
      </x:left>
      <x:top style="thin">
        <x:color rgb="FFB8C6D1"/>
      </x:top>
      <x:bottom style="thin">
        <x:color rgb="FFD9E2F3"/>
      </x:bottom>
    </x:border>
    <x:border>
      <x:left style="thin">
        <x:color rgb="FFB8C6D1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B8C6D1"/>
      </x:left>
      <x:right style="thin">
        <x:color rgb="FFD9E2F3"/>
      </x:right>
      <x:top style="thin">
        <x:color rgb="FFD9E2F3"/>
      </x:top>
      <x:bottom style="thin">
        <x:color rgb="FFB8C6D1"/>
      </x:bottom>
    </x:border>
    <x:border>
      <x:left style="thin">
        <x:color rgb="FFD9E2F3"/>
      </x:left>
      <x:top style="thin">
        <x:color rgb="FFD9E2F3"/>
      </x:top>
      <x:bottom style="thin">
        <x:color rgb="FFB8C6D1"/>
      </x:bottom>
    </x:border>
    <x:border>
      <x:top style="thin">
        <x:color rgb="FFB8C6D1"/>
      </x:top>
      <x:bottom style="thin">
        <x:color rgb="FFB8C6D1"/>
      </x:bottom>
    </x:border>
    <x:border>
      <x:left style="thin">
        <x:color rgb="FFD9E2F3"/>
      </x:left>
      <x:right style="thin">
        <x:color rgb="FFD9E2F3"/>
      </x:right>
      <x:top style="thin">
        <x:color rgb="FFB8C6D1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B8C6D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146c816ee4040" /><Relationship Type="http://schemas.openxmlformats.org/officeDocument/2006/relationships/theme" Target="/xl/theme/theme1.xml" Id="R39c385446f1b4599" /><Relationship Type="http://schemas.openxmlformats.org/officeDocument/2006/relationships/sharedStrings" Target="/xl/sharedStrings.xml" Id="Re656e94b67f14678" /><Relationship Type="http://schemas.openxmlformats.org/officeDocument/2006/relationships/worksheet" Target="/xl/worksheets/sheet1.xml" Id="Rf1e3e5c753784d50" /><Relationship Type="http://schemas.openxmlformats.org/officeDocument/2006/relationships/worksheet" Target="/xl/worksheets/sheet2.xml" Id="Rb84774b488f84771" /><Relationship Type="http://schemas.openxmlformats.org/officeDocument/2006/relationships/worksheet" Target="/xl/worksheets/sheet3.xml" Id="Rca7c2bd5699c4392" /><Relationship Type="http://schemas.openxmlformats.org/officeDocument/2006/relationships/worksheet" Target="/xl/worksheets/sheet4.xml" Id="R467d960adccb44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44816f914042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vs forecast spend (¥M)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Planned (¥M)</c:v>
          </c:tx>
          <c:marker>
            <c:symbol val="none"/>
          </c:marker>
          <c:cat>
            <c:strRef>
              <c:f>'Model'!$A$2:$A$7</c:f>
              <c:strCache>
                <c:ptCount val="0"/>
              </c:strCache>
            </c:strRef>
          </c:cat>
          <c:val>
            <c:numRef>
              <c:f>'Model'!$B$2:$B$7</c:f>
              <c:numCache>
                <c:formatCode>¥#,##0.0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Risk reserve (¥M)</c:v>
          </c:tx>
          <c:marker>
            <c:symbol val="none"/>
          </c:marker>
          <c:cat>
            <c:strRef>
              <c:f>'Model'!$A$2:$A$7</c:f>
              <c:strCache>
                <c:ptCount val="0"/>
              </c:strCache>
            </c:strRef>
          </c:cat>
          <c:val>
            <c:numRef>
              <c:f>'Model'!$C$2:$C$7</c:f>
              <c:numCache>
                <c:formatCode>¥#,##0.0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Forecast (¥M)</c:v>
          </c:tx>
          <c:marker>
            <c:symbol val="none"/>
          </c:marker>
          <c:cat>
            <c:strRef>
              <c:f>'Model'!$A$2:$A$7</c:f>
              <c:strCache>
                <c:ptCount val="0"/>
              </c:strCache>
            </c:strRef>
          </c:cat>
          <c:val>
            <c:numRef>
              <c:f>'Model'!$D$2:$D$7</c:f>
              <c:numCache>
                <c:formatCode>¥#,##0.0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Cumulative (¥M)</c:v>
          </c:tx>
          <c:marker>
            <c:symbol val="none"/>
          </c:marker>
          <c:cat>
            <c:strRef>
              <c:f>'Model'!$A$2:$A$7</c:f>
              <c:strCache>
                <c:ptCount val="0"/>
              </c:strCache>
            </c:strRef>
          </c:cat>
          <c:val>
            <c:numRef>
              <c:f>'Model'!$E$2:$E$7</c:f>
              <c:numCache>
                <c:formatCode>¥#,##0.0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44816f914042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62af3b433bf4a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Client Beta | Phase 2 live calculation | 13 Jul 2026</x:v>
      </x:c>
      <x:c r="B1" s="4"/>
      <x:c r="C1" s="4"/>
      <x:c r="D1" s="4"/>
      <x:c r="E1" s="4"/>
      <x:c r="F1" s="4"/>
      <x:c r="G1" s="4"/>
      <x:c r="H1" s="4"/>
    </x:row>
    <x:row r="3">
      <x:c r="A3" s="13" t="str">
        <x:v>Portfolio link</x:v>
      </x:c>
      <x:c r="B3" s="14" t="str">
        <x:v>Summit Vale Advisory | Finance | ¥42.8M Portfolio Budget</x:v>
      </x:c>
      <x:c r="D3" s="13" t="str">
        <x:v>Decision</x:v>
      </x:c>
      <x:c r="E3" s="28" t="str">
        <x:v>Owner</x:v>
      </x:c>
      <x:c r="F3" s="14" t="str">
        <x:v>Due</x:v>
      </x:c>
    </x:row>
    <x:row r="4">
      <x:c r="A4" s="19" t="str">
        <x:v>Baseline spend (¥M)</x:v>
      </x:c>
      <x:c r="B4" s="23" t="n">
        <x:v>12.6</x:v>
      </x:c>
      <x:c r="D4" s="19" t="str">
        <x:v>Confirm workstream capacity</x:v>
      </x:c>
      <x:c r="E4" s="31" t="str">
        <x:v>Avery Calder</x:v>
      </x:c>
      <x:c r="F4" s="20" t="str">
        <x:v>2026-07-15</x:v>
      </x:c>
    </x:row>
    <x:row r="5">
      <x:c r="A5" s="19" t="str">
        <x:v>Approved change (¥M)</x:v>
      </x:c>
      <x:c r="B5" s="23" t="n">
        <x:v>1.008</x:v>
      </x:c>
      <x:c r="D5" s="19" t="str">
        <x:v>Validate finance controls</x:v>
      </x:c>
      <x:c r="E5" s="31" t="str">
        <x:v>Nina Solberg</x:v>
      </x:c>
      <x:c r="F5" s="20" t="str">
        <x:v>2026-07-16</x:v>
      </x:c>
    </x:row>
    <x:row r="6">
      <x:c r="A6" s="19" t="str">
        <x:v>Forecast spend (¥M)</x:v>
      </x:c>
      <x:c r="B6" s="23" t="n">
        <x:f>'Model'!B11</x:f>
        <x:v>13.62</x:v>
      </x:c>
      <x:c r="D6" s="19" t="str">
        <x:v>Resolve data dependency</x:v>
      </x:c>
      <x:c r="E6" s="31" t="str">
        <x:v>Theo Mercer</x:v>
      </x:c>
      <x:c r="F6" s="20" t="str">
        <x:v>2026-07-17</x:v>
      </x:c>
    </x:row>
    <x:row r="7">
      <x:c r="A7" s="21" t="str">
        <x:v>Variance to plan (¥M)</x:v>
      </x:c>
      <x:c r="B7" s="24" t="n">
        <x:f>B6-B5</x:f>
        <x:v>12.611999999999998</x:v>
      </x:c>
      <x:c r="D7" s="21" t="str">
        <x:v>Refresh steering brief</x:v>
      </x:c>
      <x:c r="E7" s="32" t="str">
        <x:v>Keiko Ward</x:v>
      </x:c>
      <x:c r="F7" s="22" t="str">
        <x:v>2026-07-20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3" t="str">
        <x:v>Driver</x:v>
      </x:c>
      <x:c r="B1" s="28" t="str">
        <x:v>Value</x:v>
      </x:c>
      <x:c r="C1" s="28" t="str">
        <x:v>Unit</x:v>
      </x:c>
      <x:c r="D1" s="14" t="str">
        <x:v>Owner</x:v>
      </x:c>
    </x:row>
    <x:row r="2">
      <x:c r="A2" s="19" t="str">
        <x:v>Base planned spend</x:v>
      </x:c>
      <x:c r="B2" s="33" t="n">
        <x:v>12.6</x:v>
      </x:c>
      <x:c r="C2" s="31" t="str">
        <x:v>¥M</x:v>
      </x:c>
      <x:c r="D2" s="20" t="str">
        <x:v>Nina Solberg</x:v>
      </x:c>
    </x:row>
    <x:row r="3">
      <x:c r="A3" s="19" t="str">
        <x:v>Weekly growth</x:v>
      </x:c>
      <x:c r="B3" s="34" t="n">
        <x:v>0.03</x:v>
      </x:c>
      <x:c r="C3" s="31" t="str">
        <x:v>%</x:v>
      </x:c>
      <x:c r="D3" s="20" t="str">
        <x:v>Theo Mercer</x:v>
      </x:c>
    </x:row>
    <x:row r="4">
      <x:c r="A4" s="19" t="str">
        <x:v>Contingency</x:v>
      </x:c>
      <x:c r="B4" s="34" t="n">
        <x:v>0.05</x:v>
      </x:c>
      <x:c r="C4" s="31" t="str">
        <x:v>%</x:v>
      </x:c>
      <x:c r="D4" s="20" t="str">
        <x:v>Avery Calder</x:v>
      </x:c>
    </x:row>
    <x:row r="5">
      <x:c r="A5" s="19" t="str">
        <x:v>Weeks remaining</x:v>
      </x:c>
      <x:c r="B5" s="31" t="n">
        <x:v>6</x:v>
      </x:c>
      <x:c r="C5" s="31" t="str">
        <x:v>weeks</x:v>
      </x:c>
      <x:c r="D5" s="20" t="str">
        <x:v>Keiko Ward</x:v>
      </x:c>
    </x:row>
    <x:row r="6">
      <x:c r="A6" s="21" t="str">
        <x:v>Portfolio ceiling</x:v>
      </x:c>
      <x:c r="B6" s="35" t="n">
        <x:v>42.8</x:v>
      </x:c>
      <x:c r="C6" s="32" t="str">
        <x:v>¥M</x:v>
      </x:c>
      <x:c r="D6" s="22" t="str">
        <x:v>Avery Calder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3" t="str">
        <x:v>Week</x:v>
      </x:c>
      <x:c r="B1" s="28" t="str">
        <x:v>Planned (¥M)</x:v>
      </x:c>
      <x:c r="C1" s="28" t="str">
        <x:v>Risk reserve (¥M)</x:v>
      </x:c>
      <x:c r="D1" s="28" t="str">
        <x:v>Forecast (¥M)</x:v>
      </x:c>
      <x:c r="E1" s="28" t="str">
        <x:v>Cumulative (¥M)</x:v>
      </x:c>
      <x:c r="F1" s="14" t="str">
        <x:v>Comment</x:v>
      </x:c>
    </x:row>
    <x:row r="2">
      <x:c r="A2" s="19" t="n">
        <x:v>1</x:v>
      </x:c>
      <x:c r="B2" s="33" t="n">
        <x:f>ROUND('Inputs'!$B$2/6,2)</x:f>
        <x:v>2.1</x:v>
      </x:c>
      <x:c r="C2" s="33" t="n">
        <x:f>ROUND(B2*'Inputs'!$B$4,2)</x:f>
        <x:v>0.11</x:v>
      </x:c>
      <x:c r="D2" s="33" t="n">
        <x:f>ROUND(B2*(1+'Inputs'!$B$3)+C2,2)</x:f>
        <x:v>2.27</x:v>
      </x:c>
      <x:c r="E2" s="33" t="n">
        <x:f>D2</x:f>
        <x:v>2.27</x:v>
      </x:c>
      <x:c r="F2" s="20" t="str">
        <x:v>Mobilize</x:v>
      </x:c>
    </x:row>
    <x:row r="3">
      <x:c r="A3" s="19" t="n">
        <x:v>2</x:v>
      </x:c>
      <x:c r="B3" s="33" t="n">
        <x:f>ROUND('Inputs'!$B$2/6,2)</x:f>
        <x:v>2.1</x:v>
      </x:c>
      <x:c r="C3" s="33" t="n">
        <x:f>ROUND(B3*'Inputs'!$B$4,2)</x:f>
        <x:v>0.11</x:v>
      </x:c>
      <x:c r="D3" s="33" t="n">
        <x:f>ROUND(B3*(1+'Inputs'!$B$3)+C3,2)</x:f>
        <x:v>2.27</x:v>
      </x:c>
      <x:c r="E3" s="33" t="n">
        <x:f>ROUND(E2+D3,2)</x:f>
        <x:v>4.54</x:v>
      </x:c>
      <x:c r="F3" s="20" t="str">
        <x:v>Validate</x:v>
      </x:c>
    </x:row>
    <x:row r="4">
      <x:c r="A4" s="19" t="n">
        <x:v>3</x:v>
      </x:c>
      <x:c r="B4" s="33" t="n">
        <x:f>ROUND('Inputs'!$B$2/6,2)</x:f>
        <x:v>2.1</x:v>
      </x:c>
      <x:c r="C4" s="33" t="n">
        <x:f>ROUND(B4*'Inputs'!$B$4,2)</x:f>
        <x:v>0.11</x:v>
      </x:c>
      <x:c r="D4" s="33" t="n">
        <x:f>ROUND(B4*(1+'Inputs'!$B$3)+C4,2)</x:f>
        <x:v>2.27</x:v>
      </x:c>
      <x:c r="E4" s="33" t="n">
        <x:f>ROUND(E3+D4,2)</x:f>
        <x:v>6.81</x:v>
      </x:c>
      <x:c r="F4" s="20" t="str">
        <x:v>Synthesize</x:v>
      </x:c>
    </x:row>
    <x:row r="5">
      <x:c r="A5" s="19" t="n">
        <x:v>4</x:v>
      </x:c>
      <x:c r="B5" s="33" t="n">
        <x:f>ROUND('Inputs'!$B$2/6,2)</x:f>
        <x:v>2.1</x:v>
      </x:c>
      <x:c r="C5" s="33" t="n">
        <x:f>ROUND(B5*'Inputs'!$B$4,2)</x:f>
        <x:v>0.11</x:v>
      </x:c>
      <x:c r="D5" s="33" t="n">
        <x:f>ROUND(B5*(1+'Inputs'!$B$3)+C5,2)</x:f>
        <x:v>2.27</x:v>
      </x:c>
      <x:c r="E5" s="33" t="n">
        <x:f>ROUND(E4+D5,2)</x:f>
        <x:v>9.08</x:v>
      </x:c>
      <x:c r="F5" s="20" t="str">
        <x:v>Steer</x:v>
      </x:c>
    </x:row>
    <x:row r="6">
      <x:c r="A6" s="19" t="n">
        <x:v>5</x:v>
      </x:c>
      <x:c r="B6" s="33" t="n">
        <x:f>ROUND('Inputs'!$B$2/6,2)</x:f>
        <x:v>2.1</x:v>
      </x:c>
      <x:c r="C6" s="33" t="n">
        <x:f>ROUND(B6*'Inputs'!$B$4,2)</x:f>
        <x:v>0.11</x:v>
      </x:c>
      <x:c r="D6" s="33" t="n">
        <x:f>ROUND(B6*(1+'Inputs'!$B$3)+C6,2)</x:f>
        <x:v>2.27</x:v>
      </x:c>
      <x:c r="E6" s="33" t="n">
        <x:f>ROUND(E5+D6,2)</x:f>
        <x:v>11.35</x:v>
      </x:c>
      <x:c r="F6" s="20" t="str">
        <x:v>Refine</x:v>
      </x:c>
    </x:row>
    <x:row r="7">
      <x:c r="A7" s="19" t="n">
        <x:v>6</x:v>
      </x:c>
      <x:c r="B7" s="33" t="n">
        <x:f>ROUND('Inputs'!$B$2/6,2)</x:f>
        <x:v>2.1</x:v>
      </x:c>
      <x:c r="C7" s="33" t="n">
        <x:f>ROUND(B7*'Inputs'!$B$4,2)</x:f>
        <x:v>0.11</x:v>
      </x:c>
      <x:c r="D7" s="33" t="n">
        <x:f>ROUND(B7*(1+'Inputs'!$B$3)+C7,2)</x:f>
        <x:v>2.27</x:v>
      </x:c>
      <x:c r="E7" s="33" t="n">
        <x:f>ROUND(E6+D7,2)</x:f>
        <x:v>13.62</x:v>
      </x:c>
      <x:c r="F7" s="20" t="str">
        <x:v>Close</x:v>
      </x:c>
    </x:row>
    <x:row r="8">
      <x:c r="A8" s="19" t="str"/>
      <x:c r="B8" s="31" t="str"/>
      <x:c r="C8" s="31" t="str"/>
      <x:c r="D8" s="31" t="str"/>
      <x:c r="E8" s="31" t="str"/>
      <x:c r="F8" s="20" t="str"/>
    </x:row>
    <x:row r="9">
      <x:c r="A9" s="36" t="str">
        <x:v>Metric</x:v>
      </x:c>
      <x:c r="B9" s="37" t="str">
        <x:v>Value</x:v>
      </x:c>
      <x:c r="C9" s="31" t="str"/>
      <x:c r="D9" s="31" t="str"/>
      <x:c r="E9" s="31" t="str"/>
      <x:c r="F9" s="20" t="str"/>
    </x:row>
    <x:row r="10">
      <x:c r="A10" s="19" t="str">
        <x:v>Base plan</x:v>
      </x:c>
      <x:c r="B10" s="33" t="n">
        <x:f>'Inputs'!$B$2</x:f>
        <x:v>12.6</x:v>
      </x:c>
      <x:c r="C10" s="31" t="str"/>
      <x:c r="D10" s="31" t="str"/>
      <x:c r="E10" s="31" t="str"/>
      <x:c r="F10" s="20" t="str"/>
    </x:row>
    <x:row r="11">
      <x:c r="A11" s="19" t="str">
        <x:v>Forecast spend</x:v>
      </x:c>
      <x:c r="B11" s="33" t="n">
        <x:f>ROUND(SUM(D2:D7),2)</x:f>
        <x:v>13.62</x:v>
      </x:c>
      <x:c r="C11" s="31" t="str"/>
      <x:c r="D11" s="31" t="str"/>
      <x:c r="E11" s="31" t="str"/>
      <x:c r="F11" s="20" t="str"/>
    </x:row>
    <x:row r="12">
      <x:c r="A12" s="21" t="str">
        <x:v>Variance</x:v>
      </x:c>
      <x:c r="B12" s="35" t="n">
        <x:f>ROUND(B11-B10,2)</x:f>
        <x:v>1.02</x:v>
      </x:c>
      <x:c r="C12" s="32" t="str"/>
      <x:c r="D12" s="32" t="str"/>
      <x:c r="E12" s="32" t="str"/>
      <x:c r="F12" s="22" t="str"/>
    </x:row>
  </x:sheetData>
  <x:pageMargins left="0.7" right="0.7" top="0.75" bottom="0.75" header="0.3" footer="0.3"/>
  <x:drawing xmlns:r="http://schemas.openxmlformats.org/officeDocument/2006/relationships" r:id="Rd62af3b433bf4a0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Model checks</x:v>
      </x:c>
      <x:c r="B1" s="4"/>
      <x:c r="C1" s="4"/>
      <x:c r="D1" s="4"/>
      <x:c r="E1" s="4"/>
      <x:c r="F1" s="4"/>
      <x:c r="G1" s="4"/>
      <x:c r="H1" s="4"/>
    </x:row>
    <x:row r="3">
      <x:c r="A3" s="13" t="str">
        <x:v>Check</x:v>
      </x:c>
      <x:c r="B3" s="28" t="str">
        <x:v>Result</x:v>
      </x:c>
      <x:c r="C3" s="14" t="str">
        <x:v>Note</x:v>
      </x:c>
    </x:row>
    <x:row r="4">
      <x:c r="A4" s="19" t="str">
        <x:v>Forecast arithmetic</x:v>
      </x:c>
      <x:c r="B4" s="31" t="str">
        <x:f>IF(ABS('Model'!E7-SUM('Model'!D2:D7))&lt;0.01,"PASS","FAIL")</x:f>
        <x:v>PASS</x:v>
      </x:c>
      <x:c r="C4" s="20" t="str">
        <x:v>Cumulative equals weekly forecast</x:v>
      </x:c>
    </x:row>
    <x:row r="5">
      <x:c r="A5" s="19" t="str">
        <x:v>Portfolio ceiling</x:v>
      </x:c>
      <x:c r="B5" s="31" t="str">
        <x:f>IF('Model'!B11&lt;='Inputs'!B6,"PASS","REVIEW")</x:f>
        <x:v>PASS</x:v>
      </x:c>
      <x:c r="C5" s="20" t="str">
        <x:v>Finance budget remains visible</x:v>
      </x:c>
    </x:row>
    <x:row r="6">
      <x:c r="A6" s="21" t="str">
        <x:v>Model status</x:v>
      </x:c>
      <x:c r="B6" s="32" t="str">
        <x:f>IF(COUNTIF(B4:B5,"FAIL")=0,"PASS","FAIL")</x:f>
        <x:v>PASS</x:v>
      </x:c>
      <x:c r="C6" s="22" t="str">
        <x:v>PASS requires all checks</x:v>
      </x:c>
    </x:row>
  </x:sheetData>
  <x:mergeCells>
    <x:mergeCell ref="A1:H1"/>
  </x:mergeCells>
  <x:conditionalFormatting sqref="B4:B6">
    <x:cfRule type="containsText" dxfId="0" priority="1" operator="containsText" text="PASS"/>
  </x:conditionalFormatting>
  <x:pageMargins left="0.7" right="0.7" top="0.75" bottom="0.75" header="0.3" footer="0.3"/>
</x:worksheet>
</file>