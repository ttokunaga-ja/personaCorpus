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ase Data" sheetId="2" state="visible" r:id="rId4"/>
    <sheet name="Note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<sst xmlns="http://schemas.openxmlformats.org/spreadsheetml/2006/main" count="40" uniqueCount="37">
  <si>
    <t xml:space="preserve">Story Alpha / Beta Comparison</t>
  </si>
  <si>
    <t xml:space="preserve">Measure</t>
  </si>
  <si>
    <t xml:space="preserve">Alpha</t>
  </si>
  <si>
    <t xml:space="preserve">Beta</t>
  </si>
  <si>
    <t xml:space="preserve">Record quantity</t>
  </si>
  <si>
    <t xml:space="preserve">Fictional Civic Credits</t>
  </si>
  <si>
    <t xml:space="preserve">Page count</t>
  </si>
  <si>
    <t xml:space="preserve">Record-date gap (days)</t>
  </si>
  <si>
    <t xml:space="preserve">Comparative reference</t>
  </si>
  <si>
    <t xml:space="preserve">Interpretive boundary</t>
  </si>
  <si>
    <t xml:space="preserve">The values compare synthetic records and requests. Differences do not establish wrongdoing, causation, or intent.</t>
  </si>
  <si>
    <t xml:space="preserve">Synthetic Case Data</t>
  </si>
  <si>
    <t xml:space="preserve">Case</t>
  </si>
  <si>
    <t xml:space="preserve">Record ID</t>
  </si>
  <si>
    <t xml:space="preserve">Item label</t>
  </si>
  <si>
    <t xml:space="preserve">Quantity</t>
  </si>
  <si>
    <t xml:space="preserve">Record date</t>
  </si>
  <si>
    <t xml:space="preserve">FOIA request</t>
  </si>
  <si>
    <t xml:space="preserve">Pages</t>
  </si>
  <si>
    <t xml:space="preserve">Source role ID</t>
  </si>
  <si>
    <t xml:space="preserve">CL-A17-2026-04</t>
  </si>
  <si>
    <t xml:space="preserve">kits</t>
  </si>
  <si>
    <t xml:space="preserve">CL-SA26-FOIA-17</t>
  </si>
  <si>
    <t xml:space="preserve">Source Alpha-01</t>
  </si>
  <si>
    <t xml:space="preserve">CL-B09-2026-11</t>
  </si>
  <si>
    <t xml:space="preserve">units</t>
  </si>
  <si>
    <t xml:space="preserve">CL-SB26-FOIA-17</t>
  </si>
  <si>
    <t xml:space="preserve">Source Beta-01</t>
  </si>
  <si>
    <t xml:space="preserve">Method and Source Boundaries</t>
  </si>
  <si>
    <t xml:space="preserve">Topic</t>
  </si>
  <si>
    <t xml:space="preserve">Note</t>
  </si>
  <si>
    <t xml:space="preserve">Verification</t>
  </si>
  <si>
    <t xml:space="preserve">Both cases verified 2026-08-19; desk date is 2026-08-22.</t>
  </si>
  <si>
    <t xml:space="preserve">Sources</t>
  </si>
  <si>
    <t xml:space="preserve">Use only Source Alpha and Source Beta role IDs in this synthetic example.</t>
  </si>
  <si>
    <t xml:space="preserve">Finding boundary</t>
  </si>
  <si>
    <t xml:space="preserve">A gap or variance is an observation only, not a wrongdoing finding.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</si>
</sst>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* #,##0.00_-;\-* #,##0.00_-;_-* \-??_-;_-@_-"/>
    <numFmt numFmtId="166" formatCode="_-* #,##0_-;\-* #,##0_-;_-* \-_-;_-@_-"/>
    <numFmt numFmtId="167" formatCode="_-\¥* #,##0.00_-;&quot;-¥&quot;* #,##0.00_-;_-\¥* \-??_-;_-@_-"/>
    <numFmt numFmtId="168" formatCode="_-\¥* #,##0_-;&quot;-¥&quot;* #,##0_-;_-\¥* \-_-;_-@_-"/>
    <numFmt numFmtId="169" formatCode="0%"/>
    <numFmt numFmtId="170" formatCode="#,##0"/>
    <numFmt numFmtId="171" formatCode="#,##0&quot; Civic Credits&quot;"/>
    <numFmt numFmtId="172" formatCode="yyyy\-mm\-dd"/>
  </numFmts>
  <fonts count="9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Noto Sans JP"/>
      <family val="0"/>
      <charset val="1"/>
    </font>
    <font>
      <sz val="11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0F766E"/>
        <bgColor rgb="FF008080"/>
      </patternFill>
    </fill>
    <fill>
      <patternFill patternType="solid">
        <fgColor rgb="FFEAF3F8"/>
        <bgColor rgb="FFFFFFFF"/>
      </patternFill>
    </fill>
    <fill>
      <patternFill patternType="solid">
        <fgColor rgb="FFFFF7D6"/>
        <bgColor rgb="FFFF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B8C7D1"/>
      </left>
      <right/>
      <top style="thin">
        <color rgb="FFB8C7D1"/>
      </top>
      <bottom/>
      <diagonal/>
    </border>
    <border diagonalUp="false" diagonalDown="false">
      <left/>
      <right/>
      <top style="thin">
        <color rgb="FFB8C7D1"/>
      </top>
      <bottom/>
      <diagonal/>
    </border>
    <border diagonalUp="false" diagonalDown="false">
      <left/>
      <right style="thin">
        <color rgb="FFB8C7D1"/>
      </right>
      <top style="thin">
        <color rgb="FFB8C7D1"/>
      </top>
      <bottom/>
      <diagonal/>
    </border>
    <border diagonalUp="false" diagonalDown="false">
      <left style="thin">
        <color rgb="FFB8C7D1"/>
      </left>
      <right/>
      <top/>
      <bottom/>
      <diagonal/>
    </border>
    <border diagonalUp="false" diagonalDown="false">
      <left/>
      <right style="thin">
        <color rgb="FFB8C7D1"/>
      </right>
      <top/>
      <bottom/>
      <diagonal/>
    </border>
    <border diagonalUp="false" diagonalDown="false">
      <left style="thin">
        <color rgb="FFB8C7D1"/>
      </left>
      <right/>
      <top/>
      <bottom style="thin">
        <color rgb="FFB8C7D1"/>
      </bottom>
      <diagonal/>
    </border>
    <border diagonalUp="false" diagonalDown="false">
      <left/>
      <right/>
      <top/>
      <bottom style="thin">
        <color rgb="FFB8C7D1"/>
      </bottom>
      <diagonal/>
    </border>
    <border diagonalUp="false" diagonalDown="false">
      <left/>
      <right style="thin">
        <color rgb="FFB8C7D1"/>
      </right>
      <top/>
      <bottom style="thin">
        <color rgb="FFB8C7D1"/>
      </bottom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2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3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2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2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5" xfId="2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2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5" xfId="2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6" xfId="2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7" xfId="2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8" xfId="2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2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25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5" borderId="4" xfId="2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2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5" borderId="0" xfId="2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5" borderId="0" xfId="2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6" fillId="5" borderId="0" xfId="2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5" xfId="2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6" xfId="2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7" xfId="2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5" borderId="7" xfId="2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5" borderId="7" xfId="2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6" fillId="5" borderId="7" xfId="2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8" xfId="2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5" xfId="25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8" xfId="25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Normal 1" xfId="25"/>
    <cellStyle name="Percent" xfId="26"/>
  </cellStyles>
  <dxfs count="4">
    <dxf>
      <fill>
        <patternFill patternType="solid">
          <fgColor rgb="FF17324D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B8C7D1"/>
      <rgbColor rgb="FF808080"/>
      <rgbColor rgb="FF9999FF"/>
      <rgbColor rgb="FF993366"/>
      <rgbColor rgb="FFFFF7D6"/>
      <rgbColor rgb="FFEAF3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toryCaseTable" displayName="StoryCaseTable" ref="A4:I6" headerRowCount="1" totalsRowCount="0" totalsRowShown="0">
  <tableColumns count="9">
    <tableColumn id="1" name="Case"/>
    <tableColumn id="2" name="Record ID"/>
    <tableColumn id="3" name="Item label"/>
    <tableColumn id="4" name="Quantity"/>
    <tableColumn id="5" name="Fictional Civic Credits"/>
    <tableColumn id="6" name="Record date"/>
    <tableColumn id="7" name="FOIA request"/>
    <tableColumn id="8" name="Pages"/>
    <tableColumn id="9" name="Source role ID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26.34"/>
    <col collapsed="false" customWidth="true" hidden="false" outlineLevel="0" max="3" min="2" style="0" width="20.69"/>
    <col collapsed="false" customWidth="true" hidden="false" outlineLevel="0" max="6" min="4" style="0" width="11.29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3" t="s">
        <v>2</v>
      </c>
      <c r="C3" s="4" t="s">
        <v>3</v>
      </c>
    </row>
    <row r="4" customFormat="false" ht="15" hidden="false" customHeight="false" outlineLevel="0" collapsed="false">
      <c r="A4" s="5" t="s">
        <v>4</v>
      </c>
      <c r="B4" s="6" t="n">
        <f aca="false">'Case Data'!$D$5</f>
        <v>240</v>
      </c>
      <c r="C4" s="7" t="n">
        <f aca="false">'Case Data'!$D$6</f>
        <v>96</v>
      </c>
    </row>
    <row r="5" customFormat="false" ht="15" hidden="false" customHeight="false" outlineLevel="0" collapsed="false">
      <c r="A5" s="5" t="s">
        <v>5</v>
      </c>
      <c r="B5" s="8" t="n">
        <f aca="false">'Case Data'!$E$5</f>
        <v>1248000</v>
      </c>
      <c r="C5" s="9" t="n">
        <f aca="false">'Case Data'!$E$6</f>
        <v>684000</v>
      </c>
    </row>
    <row r="6" customFormat="false" ht="15" hidden="false" customHeight="false" outlineLevel="0" collapsed="false">
      <c r="A6" s="5" t="s">
        <v>6</v>
      </c>
      <c r="B6" s="6" t="n">
        <f aca="false">'Case Data'!$H$5</f>
        <v>48</v>
      </c>
      <c r="C6" s="7" t="n">
        <f aca="false">'Case Data'!$H$6</f>
        <v>31</v>
      </c>
    </row>
    <row r="7" customFormat="false" ht="15" hidden="false" customHeight="false" outlineLevel="0" collapsed="false">
      <c r="A7" s="10" t="s">
        <v>7</v>
      </c>
      <c r="B7" s="11" t="n">
        <f aca="false">ABS('Case Data'!$F$5-'Case Data'!$F$6)</f>
        <v>15</v>
      </c>
      <c r="C7" s="12" t="s">
        <v>8</v>
      </c>
    </row>
    <row r="10" customFormat="false" ht="15" hidden="false" customHeight="false" outlineLevel="0" collapsed="false">
      <c r="A10" s="13" t="s">
        <v>9</v>
      </c>
      <c r="B10" s="13"/>
      <c r="C10" s="13"/>
      <c r="D10" s="13"/>
      <c r="E10" s="13"/>
      <c r="F10" s="13"/>
    </row>
    <row r="11" customFormat="false" ht="15" hidden="false" customHeight="true" outlineLevel="0" collapsed="false">
      <c r="A11" s="14" t="s">
        <v>10</v>
      </c>
      <c r="B11" s="14"/>
      <c r="C11" s="14"/>
      <c r="D11" s="14"/>
      <c r="E11" s="14"/>
      <c r="F11" s="14"/>
    </row>
  </sheetData>
  <mergeCells count="3">
    <mergeCell ref="A1:F1"/>
    <mergeCell ref="A10:F10"/>
    <mergeCell ref="A11:F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1.29"/>
    <col collapsed="false" customWidth="true" hidden="false" outlineLevel="0" max="2" min="2" style="0" width="16.93"/>
    <col collapsed="false" customWidth="true" hidden="false" outlineLevel="0" max="3" min="3" style="0" width="13.17"/>
    <col collapsed="false" customWidth="true" hidden="false" outlineLevel="0" max="4" min="4" style="0" width="11.29"/>
    <col collapsed="false" customWidth="true" hidden="false" outlineLevel="0" max="5" min="5" style="0" width="22.58"/>
    <col collapsed="false" customWidth="true" hidden="false" outlineLevel="0" max="6" min="6" style="0" width="13.17"/>
    <col collapsed="false" customWidth="true" hidden="false" outlineLevel="0" max="7" min="7" style="0" width="20.69"/>
    <col collapsed="false" customWidth="true" hidden="false" outlineLevel="0" max="8" min="8" style="0" width="9.41"/>
    <col collapsed="false" customWidth="true" hidden="false" outlineLevel="0" max="9" min="9" style="0" width="15.05"/>
  </cols>
  <sheetData>
    <row r="1" customFormat="false" ht="28" hidden="false" customHeight="true" outlineLevel="0" collapsed="false">
      <c r="A1" s="1" t="s">
        <v>11</v>
      </c>
      <c r="B1" s="1"/>
      <c r="C1" s="1"/>
      <c r="D1" s="1"/>
      <c r="E1" s="1"/>
      <c r="F1" s="1"/>
      <c r="G1" s="1"/>
      <c r="H1" s="1"/>
      <c r="I1" s="1"/>
    </row>
    <row r="4" customFormat="false" ht="15" hidden="false" customHeight="false" outlineLevel="0" collapsed="false">
      <c r="A4" s="2" t="s">
        <v>12</v>
      </c>
      <c r="B4" s="3" t="s">
        <v>13</v>
      </c>
      <c r="C4" s="3" t="s">
        <v>14</v>
      </c>
      <c r="D4" s="3" t="s">
        <v>15</v>
      </c>
      <c r="E4" s="3" t="s">
        <v>5</v>
      </c>
      <c r="F4" s="3" t="s">
        <v>16</v>
      </c>
      <c r="G4" s="3" t="s">
        <v>17</v>
      </c>
      <c r="H4" s="3" t="s">
        <v>18</v>
      </c>
      <c r="I4" s="4" t="s">
        <v>19</v>
      </c>
    </row>
    <row r="5" customFormat="false" ht="15" hidden="false" customHeight="false" outlineLevel="0" collapsed="false">
      <c r="A5" s="15" t="s">
        <v>2</v>
      </c>
      <c r="B5" s="16" t="s">
        <v>20</v>
      </c>
      <c r="C5" s="16" t="s">
        <v>21</v>
      </c>
      <c r="D5" s="17" t="n">
        <v>240</v>
      </c>
      <c r="E5" s="18" t="n">
        <v>1248000</v>
      </c>
      <c r="F5" s="19" t="n">
        <v>46176</v>
      </c>
      <c r="G5" s="16" t="s">
        <v>22</v>
      </c>
      <c r="H5" s="17" t="n">
        <v>48</v>
      </c>
      <c r="I5" s="20" t="s">
        <v>23</v>
      </c>
    </row>
    <row r="6" customFormat="false" ht="15" hidden="false" customHeight="false" outlineLevel="0" collapsed="false">
      <c r="A6" s="21" t="s">
        <v>3</v>
      </c>
      <c r="B6" s="22" t="s">
        <v>24</v>
      </c>
      <c r="C6" s="22" t="s">
        <v>25</v>
      </c>
      <c r="D6" s="23" t="n">
        <v>96</v>
      </c>
      <c r="E6" s="24" t="n">
        <v>684000</v>
      </c>
      <c r="F6" s="25" t="n">
        <v>46191</v>
      </c>
      <c r="G6" s="22" t="s">
        <v>26</v>
      </c>
      <c r="H6" s="23" t="n">
        <v>31</v>
      </c>
      <c r="I6" s="26" t="s">
        <v>27</v>
      </c>
    </row>
  </sheetData>
  <mergeCells count="1">
    <mergeCell ref="A1:I1"/>
  </mergeCells>
  <dataValidations count="1">
    <dataValidation allowBlank="false" errorStyle="stop" operator="between" showDropDown="false" showErrorMessage="false" showInputMessage="false" sqref="A5:A6" type="list">
      <formula1>"Alpha,Beta"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20.69"/>
    <col collapsed="false" customWidth="true" hidden="false" outlineLevel="0" max="2" min="2" style="0" width="67.73"/>
    <col collapsed="false" customWidth="true" hidden="false" outlineLevel="0" max="4" min="3" style="0" width="11.29"/>
  </cols>
  <sheetData>
    <row r="1" customFormat="false" ht="28" hidden="false" customHeight="true" outlineLevel="0" collapsed="false">
      <c r="A1" s="1" t="s">
        <v>28</v>
      </c>
      <c r="B1" s="1"/>
      <c r="C1" s="1"/>
      <c r="D1" s="1"/>
    </row>
    <row r="3" customFormat="false" ht="15" hidden="false" customHeight="false" outlineLevel="0" collapsed="false">
      <c r="A3" s="2" t="s">
        <v>29</v>
      </c>
      <c r="B3" s="4" t="s">
        <v>30</v>
      </c>
    </row>
    <row r="4" customFormat="false" ht="15" hidden="false" customHeight="false" outlineLevel="0" collapsed="false">
      <c r="A4" s="5" t="s">
        <v>31</v>
      </c>
      <c r="B4" s="27" t="s">
        <v>32</v>
      </c>
    </row>
    <row r="5" customFormat="false" ht="15" hidden="false" customHeight="false" outlineLevel="0" collapsed="false">
      <c r="A5" s="5" t="s">
        <v>33</v>
      </c>
      <c r="B5" s="27" t="s">
        <v>34</v>
      </c>
    </row>
    <row r="6" customFormat="false" ht="15" hidden="false" customHeight="false" outlineLevel="0" collapsed="false">
      <c r="A6" s="10" t="s">
        <v>35</v>
      </c>
      <c r="B6" s="28" t="s">
        <v>36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