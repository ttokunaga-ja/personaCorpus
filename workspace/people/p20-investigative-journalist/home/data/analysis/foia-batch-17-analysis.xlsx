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Requests" sheetId="2" state="visible" r:id="rId4"/>
    <sheet name="Assumptio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<sst xmlns="http://schemas.openxmlformats.org/spreadsheetml/2006/main" count="34" uniqueCount="32">
  <si>
    <t xml:space="preserve">FOIA Batch 17 Analysis — Civic Ledger</t>
  </si>
  <si>
    <t xml:space="preserve">Metric</t>
  </si>
  <si>
    <t xml:space="preserve">Formula-driven value</t>
  </si>
  <si>
    <t xml:space="preserve">Requests</t>
  </si>
  <si>
    <t xml:space="preserve">Total pages</t>
  </si>
  <si>
    <t xml:space="preserve">Average response days</t>
  </si>
  <si>
    <t xml:space="preserve">Verified date</t>
  </si>
  <si>
    <t xml:space="preserve">Editorial reading</t>
  </si>
  <si>
    <t xml:space="preserve">Status</t>
  </si>
  <si>
    <t xml:space="preserve">Both requests are logged and verified; timing differences are descriptive only.</t>
  </si>
  <si>
    <t xml:space="preserve">Caution</t>
  </si>
  <si>
    <t xml:space="preserve">This workbook does not determine wrongdoing or intent.</t>
  </si>
  <si>
    <t xml:space="preserve">FOIA Request Register</t>
  </si>
  <si>
    <t xml:space="preserve">Request ID</t>
  </si>
  <si>
    <t xml:space="preserve">Story</t>
  </si>
  <si>
    <t xml:space="preserve">Received</t>
  </si>
  <si>
    <t xml:space="preserve">Verified</t>
  </si>
  <si>
    <t xml:space="preserve">Records date</t>
  </si>
  <si>
    <t xml:space="preserve">Pages</t>
  </si>
  <si>
    <t xml:space="preserve">Desk date</t>
  </si>
  <si>
    <t xml:space="preserve">Response days</t>
  </si>
  <si>
    <t xml:space="preserve">CL-SA26-FOIA-17</t>
  </si>
  <si>
    <t xml:space="preserve">Story Alpha</t>
  </si>
  <si>
    <t xml:space="preserve">CL-SB26-FOIA-17</t>
  </si>
  <si>
    <t xml:space="preserve">Story Beta</t>
  </si>
  <si>
    <t xml:space="preserve">Anchors and Method</t>
  </si>
  <si>
    <t xml:space="preserve">Anchor</t>
  </si>
  <si>
    <t xml:space="preserve">Value</t>
  </si>
  <si>
    <t xml:space="preserve">Method</t>
  </si>
  <si>
    <t xml:space="preserve">Calendar-day difference between request received and verified dates.</t>
  </si>
  <si>
    <t xml:space="preserve">Scope</t>
  </si>
  <si>
    <t xml:space="preserve">Synthetic Civic Ledger examples; gaps remain non-findings.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</si>
</sst>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yyyy\-mm\-dd"/>
  </numFmts>
  <fonts count="9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0F766E"/>
        <bgColor rgb="FF008080"/>
      </patternFill>
    </fill>
    <fill>
      <patternFill patternType="solid">
        <fgColor rgb="FFEAF3F8"/>
        <bgColor rgb="FFFFFFFF"/>
      </patternFill>
    </fill>
    <fill>
      <patternFill patternType="solid">
        <fgColor rgb="FFFFF7D6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8C7D1"/>
      </left>
      <right/>
      <top style="thin">
        <color rgb="FFB8C7D1"/>
      </top>
      <bottom/>
      <diagonal/>
    </border>
    <border diagonalUp="false" diagonalDown="false">
      <left/>
      <right style="thin">
        <color rgb="FFB8C7D1"/>
      </right>
      <top style="thin">
        <color rgb="FFB8C7D1"/>
      </top>
      <bottom/>
      <diagonal/>
    </border>
    <border diagonalUp="false" diagonalDown="false">
      <left style="thin">
        <color rgb="FFB8C7D1"/>
      </left>
      <right/>
      <top/>
      <bottom/>
      <diagonal/>
    </border>
    <border diagonalUp="false" diagonalDown="false">
      <left/>
      <right style="thin">
        <color rgb="FFB8C7D1"/>
      </right>
      <top/>
      <bottom/>
      <diagonal/>
    </border>
    <border diagonalUp="false" diagonalDown="false">
      <left style="thin">
        <color rgb="FFB8C7D1"/>
      </left>
      <right/>
      <top/>
      <bottom style="thin">
        <color rgb="FFB8C7D1"/>
      </bottom>
      <diagonal/>
    </border>
    <border diagonalUp="false" diagonalDown="false">
      <left/>
      <right style="thin">
        <color rgb="FFB8C7D1"/>
      </right>
      <top/>
      <bottom style="thin">
        <color rgb="FFB8C7D1"/>
      </bottom>
      <diagonal/>
    </border>
    <border diagonalUp="false" diagonalDown="false">
      <left/>
      <right/>
      <top style="thin">
        <color rgb="FFB8C7D1"/>
      </top>
      <bottom/>
      <diagonal/>
    </border>
    <border diagonalUp="false" diagonalDown="false">
      <left/>
      <right/>
      <top/>
      <bottom style="thin">
        <color rgb="FFB8C7D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17324D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B8C7D1"/>
      <rgbColor rgb="FF808080"/>
      <rgbColor rgb="FF9999FF"/>
      <rgbColor rgb="FF993366"/>
      <rgbColor rgb="FFFFF7D6"/>
      <rgbColor rgb="FFEA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iaRequestsTable" displayName="FoiaRequestsTable" ref="A4:H6" headerRowCount="1" totalsRowCount="0" totalsRowShown="0">
  <tableColumns count="8">
    <tableColumn id="1" name="Request ID"/>
    <tableColumn id="2" name="Story"/>
    <tableColumn id="3" name="Received"/>
    <tableColumn id="4" name="Verified"/>
    <tableColumn id="5" name="Records date"/>
    <tableColumn id="6" name="Pages"/>
    <tableColumn id="7" name="Desk date"/>
    <tableColumn id="8" name="Response day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22.58"/>
    <col collapsed="false" customWidth="true" hidden="false" outlineLevel="0" max="2" min="2" style="0" width="52.68"/>
    <col collapsed="false" customWidth="true" hidden="false" outlineLevel="0" max="6" min="3" style="0" width="13.17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5" t="n">
        <f aca="false">COUNTA(Requests!$A$5:$A$6)</f>
        <v>2</v>
      </c>
    </row>
    <row r="5" customFormat="false" ht="15" hidden="false" customHeight="false" outlineLevel="0" collapsed="false">
      <c r="A5" s="4" t="s">
        <v>4</v>
      </c>
      <c r="B5" s="5" t="n">
        <f aca="false">SUM(Requests!$F$5:$F$6)</f>
        <v>79</v>
      </c>
    </row>
    <row r="6" customFormat="false" ht="15" hidden="false" customHeight="false" outlineLevel="0" collapsed="false">
      <c r="A6" s="4" t="s">
        <v>5</v>
      </c>
      <c r="B6" s="6" t="n">
        <f aca="false">AVERAGE(Requests!$H$5:$H$6)</f>
        <v>4.5</v>
      </c>
    </row>
    <row r="7" customFormat="false" ht="15" hidden="false" customHeight="false" outlineLevel="0" collapsed="false">
      <c r="A7" s="7" t="s">
        <v>6</v>
      </c>
      <c r="B7" s="8" t="n">
        <f aca="false">Assumptions!$B$4</f>
        <v>46253</v>
      </c>
    </row>
    <row r="10" customFormat="false" ht="15" hidden="false" customHeight="false" outlineLevel="0" collapsed="false">
      <c r="A10" s="9" t="s">
        <v>7</v>
      </c>
      <c r="B10" s="9"/>
      <c r="C10" s="9"/>
      <c r="D10" s="9"/>
      <c r="E10" s="9"/>
      <c r="F10" s="9"/>
    </row>
    <row r="11" customFormat="false" ht="15" hidden="false" customHeight="false" outlineLevel="0" collapsed="false">
      <c r="A11" s="10" t="s">
        <v>8</v>
      </c>
      <c r="B11" s="11" t="s">
        <v>9</v>
      </c>
      <c r="C11" s="11"/>
      <c r="D11" s="11"/>
      <c r="E11" s="11"/>
      <c r="F11" s="11"/>
    </row>
    <row r="12" customFormat="false" ht="15" hidden="false" customHeight="false" outlineLevel="0" collapsed="false">
      <c r="A12" s="10" t="s">
        <v>10</v>
      </c>
      <c r="B12" s="11" t="s">
        <v>11</v>
      </c>
      <c r="C12" s="11"/>
      <c r="D12" s="11"/>
      <c r="E12" s="11"/>
      <c r="F12" s="11"/>
    </row>
  </sheetData>
  <mergeCells count="4">
    <mergeCell ref="A1:F1"/>
    <mergeCell ref="A10:F10"/>
    <mergeCell ref="B11:F11"/>
    <mergeCell ref="B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20.69"/>
    <col collapsed="false" customWidth="true" hidden="false" outlineLevel="0" max="2" min="2" style="0" width="15.05"/>
    <col collapsed="false" customWidth="true" hidden="false" outlineLevel="0" max="5" min="3" style="0" width="13.17"/>
    <col collapsed="false" customWidth="true" hidden="false" outlineLevel="0" max="6" min="6" style="0" width="9.41"/>
    <col collapsed="false" customWidth="true" hidden="false" outlineLevel="0" max="8" min="7" style="0" width="13.17"/>
  </cols>
  <sheetData>
    <row r="1" customFormat="false" ht="28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</row>
    <row r="4" customFormat="false" ht="15" hidden="false" customHeight="false" outlineLevel="0" collapsed="false">
      <c r="A4" s="2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3" t="s">
        <v>20</v>
      </c>
    </row>
    <row r="5" customFormat="false" ht="15" hidden="false" customHeight="false" outlineLevel="0" collapsed="false">
      <c r="A5" s="13" t="s">
        <v>21</v>
      </c>
      <c r="B5" s="14" t="s">
        <v>22</v>
      </c>
      <c r="C5" s="15" t="n">
        <v>46248</v>
      </c>
      <c r="D5" s="15" t="n">
        <v>46253</v>
      </c>
      <c r="E5" s="15" t="n">
        <v>46176</v>
      </c>
      <c r="F5" s="16" t="n">
        <v>48</v>
      </c>
      <c r="G5" s="15" t="n">
        <v>46256</v>
      </c>
      <c r="H5" s="5" t="n">
        <f aca="false">D5-C5</f>
        <v>5</v>
      </c>
    </row>
    <row r="6" customFormat="false" ht="15" hidden="false" customHeight="false" outlineLevel="0" collapsed="false">
      <c r="A6" s="17" t="s">
        <v>23</v>
      </c>
      <c r="B6" s="18" t="s">
        <v>24</v>
      </c>
      <c r="C6" s="19" t="n">
        <v>46249</v>
      </c>
      <c r="D6" s="19" t="n">
        <v>46253</v>
      </c>
      <c r="E6" s="19" t="n">
        <v>46191</v>
      </c>
      <c r="F6" s="20" t="n">
        <v>31</v>
      </c>
      <c r="G6" s="19" t="n">
        <v>46256</v>
      </c>
      <c r="H6" s="21" t="n">
        <f aca="false">D6-C6</f>
        <v>4</v>
      </c>
    </row>
  </sheetData>
  <mergeCells count="1">
    <mergeCell ref="A1:H1"/>
  </mergeCells>
  <dataValidations count="1">
    <dataValidation allowBlank="false" errorStyle="stop" operator="between" showDropDown="false" showErrorMessage="false" showInputMessage="false" sqref="B5:B6" type="list">
      <formula1>"Story Alpha,Story Beta"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20.69"/>
    <col collapsed="false" customWidth="true" hidden="false" outlineLevel="0" max="2" min="2" style="0" width="62.08"/>
    <col collapsed="false" customWidth="true" hidden="false" outlineLevel="0" max="4" min="3" style="0" width="11.29"/>
  </cols>
  <sheetData>
    <row r="1" customFormat="false" ht="28" hidden="false" customHeight="true" outlineLevel="0" collapsed="false">
      <c r="A1" s="1" t="s">
        <v>25</v>
      </c>
      <c r="B1" s="1"/>
      <c r="C1" s="1"/>
      <c r="D1" s="1"/>
    </row>
    <row r="3" customFormat="false" ht="15" hidden="false" customHeight="false" outlineLevel="0" collapsed="false">
      <c r="A3" s="2" t="s">
        <v>26</v>
      </c>
      <c r="B3" s="3" t="s">
        <v>27</v>
      </c>
    </row>
    <row r="4" customFormat="false" ht="15" hidden="false" customHeight="false" outlineLevel="0" collapsed="false">
      <c r="A4" s="4" t="s">
        <v>6</v>
      </c>
      <c r="B4" s="22" t="n">
        <v>46253</v>
      </c>
    </row>
    <row r="5" customFormat="false" ht="15" hidden="false" customHeight="false" outlineLevel="0" collapsed="false">
      <c r="A5" s="4" t="s">
        <v>19</v>
      </c>
      <c r="B5" s="22" t="n">
        <v>46256</v>
      </c>
    </row>
    <row r="6" customFormat="false" ht="15" hidden="false" customHeight="false" outlineLevel="0" collapsed="false">
      <c r="A6" s="4" t="s">
        <v>28</v>
      </c>
      <c r="B6" s="23" t="s">
        <v>29</v>
      </c>
    </row>
    <row r="7" customFormat="false" ht="15" hidden="false" customHeight="false" outlineLevel="0" collapsed="false">
      <c r="A7" s="7" t="s">
        <v>30</v>
      </c>
      <c r="B7" s="24" t="s">
        <v>31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