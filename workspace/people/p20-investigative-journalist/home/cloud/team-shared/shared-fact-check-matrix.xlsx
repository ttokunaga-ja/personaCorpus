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b3f315f4d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08a8620bfa46de"/>
    <x:sheet xmlns:r="http://schemas.openxmlformats.org/officeDocument/2006/relationships" name="Inputs" sheetId="2" r:id="R5606843b5d21429c"/>
    <x:sheet xmlns:r="http://schemas.openxmlformats.org/officeDocument/2006/relationships" name="Fact Matrix" sheetId="3" r:id="R4a6d5c79c3d3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4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horizontal="right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5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74e87ec304847" /><Relationship Type="http://schemas.openxmlformats.org/officeDocument/2006/relationships/theme" Target="/xl/theme/theme1.xml" Id="Re055870ac67b4daf" /><Relationship Type="http://schemas.openxmlformats.org/officeDocument/2006/relationships/sharedStrings" Target="/xl/sharedStrings.xml" Id="R33300eeeec004d28" /><Relationship Type="http://schemas.openxmlformats.org/officeDocument/2006/relationships/worksheet" Target="/xl/worksheets/sheet1.xml" Id="R5208a8620bfa46de" /><Relationship Type="http://schemas.openxmlformats.org/officeDocument/2006/relationships/worksheet" Target="/xl/worksheets/sheet2.xml" Id="R5606843b5d21429c" /><Relationship Type="http://schemas.openxmlformats.org/officeDocument/2006/relationships/worksheet" Target="/xl/worksheets/sheet3.xml" Id="R4a6d5c79c3d3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8" hidden="0" customWidth="1"/>
    <x:col min="5" max="5" width="20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27" t="str">
        <x:v>Civic Ledger | Shared Fact-Check Summary</x:v>
      </x:c>
      <x:c r="B1" s="28"/>
      <x:c r="C1" s="28"/>
      <x:c r="D1" s="28"/>
      <x:c r="E1" s="28"/>
      <x:c r="F1" s="28"/>
      <x:c r="G1" s="28"/>
      <x:c r="H1" s="29"/>
    </x:row>
    <x:row r="2">
      <x:c r="A2" s="30"/>
      <x:c r="B2" s="31"/>
      <x:c r="C2" s="31"/>
      <x:c r="D2" s="31"/>
      <x:c r="E2" s="31"/>
      <x:c r="F2" s="31"/>
      <x:c r="G2" s="31"/>
      <x:c r="H2" s="32"/>
    </x:row>
    <x:row r="3">
      <x:c r="A3" s="33" t="str">
        <x:v>Publisher</x:v>
      </x:c>
      <x:c r="B3" s="31" t="str">
        <x:f>'Inputs'!B3</x:f>
        <x:v>Civic Ledger</x:v>
      </x:c>
      <x:c r="C3" s="31"/>
      <x:c r="D3" s="12" t="str">
        <x:v>Records</x:v>
      </x:c>
      <x:c r="E3" s="26" t="n">
        <x:f>COUNTA('Inputs'!B11:B12)</x:f>
        <x:v>2</x:v>
      </x:c>
      <x:c r="F3" s="31"/>
      <x:c r="G3" s="31"/>
      <x:c r="H3" s="32"/>
    </x:row>
    <x:row r="4">
      <x:c r="A4" s="33" t="str">
        <x:v>Package</x:v>
      </x:c>
      <x:c r="B4" s="31" t="str">
        <x:f>'Inputs'!B4</x:f>
        <x:v>Story Alpha/Beta 2026</x:v>
      </x:c>
      <x:c r="C4" s="31"/>
      <x:c r="D4" s="12" t="str">
        <x:v>Verified records</x:v>
      </x:c>
      <x:c r="E4" s="26" t="n">
        <x:f>COUNTIF('Inputs'!G11:G12,"verified")</x:f>
        <x:v>2</x:v>
      </x:c>
      <x:c r="F4" s="31"/>
      <x:c r="G4" s="31"/>
      <x:c r="H4" s="32"/>
    </x:row>
    <x:row r="5">
      <x:c r="A5" s="33" t="str">
        <x:v>Record date</x:v>
      </x:c>
      <x:c r="B5" s="1" t="n">
        <x:f>'Inputs'!B5</x:f>
        <x:v>46256</x:v>
      </x:c>
      <x:c r="C5" s="31"/>
      <x:c r="D5" s="12" t="str">
        <x:v>Total quantity</x:v>
      </x:c>
      <x:c r="E5" s="26" t="n">
        <x:f>SUM('Inputs'!D11:D12)</x:f>
        <x:v>336</x:v>
      </x:c>
      <x:c r="F5" s="31"/>
      <x:c r="G5" s="31"/>
      <x:c r="H5" s="32"/>
    </x:row>
    <x:row r="6">
      <x:c r="A6" s="33" t="str">
        <x:v>Batch</x:v>
      </x:c>
      <x:c r="B6" s="31" t="str">
        <x:f>'Inputs'!B6</x:f>
        <x:v>FOIA batch 17</x:v>
      </x:c>
      <x:c r="C6" s="31"/>
      <x:c r="D6" s="12" t="str">
        <x:v>Total fictional Civic Credits</x:v>
      </x:c>
      <x:c r="E6" s="26" t="n">
        <x:f>SUM('Inputs'!F11:F12)</x:f>
        <x:v>1932000</x:v>
      </x:c>
      <x:c r="F6" s="31"/>
      <x:c r="G6" s="31"/>
      <x:c r="H6" s="32"/>
    </x:row>
    <x:row r="7">
      <x:c r="A7" s="33" t="str">
        <x:v>Verified date</x:v>
      </x:c>
      <x:c r="B7" s="1" t="n">
        <x:f>'Inputs'!B7</x:f>
        <x:v>46253</x:v>
      </x:c>
      <x:c r="C7" s="31"/>
      <x:c r="D7" s="31"/>
      <x:c r="E7" s="31"/>
      <x:c r="F7" s="31"/>
      <x:c r="G7" s="31"/>
      <x:c r="H7" s="32"/>
    </x:row>
    <x:row r="8">
      <x:c r="A8" s="30"/>
      <x:c r="B8" s="31"/>
      <x:c r="C8" s="31"/>
      <x:c r="D8" s="31"/>
      <x:c r="E8" s="31"/>
      <x:c r="F8" s="31"/>
      <x:c r="G8" s="31"/>
      <x:c r="H8" s="32"/>
    </x:row>
    <x:row r="9">
      <x:c r="A9" s="30"/>
      <x:c r="B9" s="31"/>
      <x:c r="C9" s="31"/>
      <x:c r="D9" s="31"/>
      <x:c r="E9" s="31"/>
      <x:c r="F9" s="31"/>
      <x:c r="G9" s="31"/>
      <x:c r="H9" s="32"/>
    </x:row>
    <x:row r="10">
      <x:c r="A10" s="34" t="str">
        <x:v>Open note: quote/date gaps remain unresolved; they are documentation gaps, not wrongdoing.</x:v>
      </x:c>
      <x:c r="B10" s="35"/>
      <x:c r="C10" s="35"/>
      <x:c r="D10" s="35"/>
      <x:c r="E10" s="35"/>
      <x:c r="F10" s="35"/>
      <x:c r="G10" s="35"/>
      <x:c r="H10" s="36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13" t="str">
        <x:v>Civic Ledger | Shared Fact Inputs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Publisher</x:v>
      </x:c>
      <x:c r="B3" s="14" t="str">
        <x:v>Civic Ledger</x:v>
      </x:c>
      <x:c r="C3" s="14"/>
      <x:c r="D3" s="14"/>
      <x:c r="E3" s="14"/>
      <x:c r="F3" s="14"/>
      <x:c r="G3" s="14"/>
      <x:c r="H3" s="14"/>
    </x:row>
    <x:row r="4">
      <x:c r="A4" s="15" t="str">
        <x:v>Package</x:v>
      </x:c>
      <x:c r="B4" s="14" t="str">
        <x:v>Story Alpha/Beta 2026</x:v>
      </x:c>
      <x:c r="C4" s="14"/>
      <x:c r="D4" s="14"/>
      <x:c r="E4" s="14"/>
      <x:c r="F4" s="14"/>
      <x:c r="G4" s="14"/>
      <x:c r="H4" s="14"/>
    </x:row>
    <x:row r="5">
      <x:c r="A5" s="15" t="str">
        <x:v>Record date</x:v>
      </x:c>
      <x:c r="B5" s="16" t="n">
        <x:v>46256</x:v>
      </x:c>
      <x:c r="C5" s="14"/>
      <x:c r="D5" s="14"/>
      <x:c r="E5" s="14"/>
      <x:c r="F5" s="14"/>
      <x:c r="G5" s="14"/>
      <x:c r="H5" s="14"/>
    </x:row>
    <x:row r="6">
      <x:c r="A6" s="15" t="str">
        <x:v>Batch</x:v>
      </x:c>
      <x:c r="B6" s="14" t="str">
        <x:v>FOIA batch 17</x:v>
      </x:c>
      <x:c r="C6" s="14"/>
      <x:c r="D6" s="14"/>
      <x:c r="E6" s="14"/>
      <x:c r="F6" s="14"/>
      <x:c r="G6" s="14"/>
      <x:c r="H6" s="14"/>
    </x:row>
    <x:row r="7">
      <x:c r="A7" s="15" t="str">
        <x:v>Verified date</x:v>
      </x:c>
      <x:c r="B7" s="16" t="n">
        <x:v>46253</x:v>
      </x:c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7" t="str">
        <x:v>Story</x:v>
      </x:c>
      <x:c r="B10" s="17" t="str">
        <x:v>Record ID</x:v>
      </x:c>
      <x:c r="C10" s="17" t="str">
        <x:v>Measure</x:v>
      </x:c>
      <x:c r="D10" s="17" t="str">
        <x:v>Quantity</x:v>
      </x:c>
      <x:c r="E10" s="17" t="str">
        <x:v>Credit unit</x:v>
      </x:c>
      <x:c r="F10" s="17" t="str">
        <x:v>Fictional Civic Credits</x:v>
      </x:c>
      <x:c r="G10" s="17" t="str">
        <x:v>Review state</x:v>
      </x:c>
      <x:c r="H10" s="17" t="str">
        <x:v>Gap status</x:v>
      </x:c>
    </x:row>
    <x:row r="11">
      <x:c r="A11" s="18" t="str">
        <x:v>Story Alpha</x:v>
      </x:c>
      <x:c r="B11" s="18" t="str">
        <x:v>CL-A17-2026-04</x:v>
      </x:c>
      <x:c r="C11" s="18" t="str">
        <x:v>kits</x:v>
      </x:c>
      <x:c r="D11" s="19" t="n">
        <x:v>240</x:v>
      </x:c>
      <x:c r="E11" s="19" t="n">
        <x:v>5200</x:v>
      </x:c>
      <x:c r="F11" s="19" t="n">
        <x:f>D11*E11</x:f>
        <x:v>1248000</x:v>
      </x:c>
      <x:c r="G11" s="18" t="str">
        <x:v>verified</x:v>
      </x:c>
      <x:c r="H11" s="18" t="str">
        <x:v>quote/date gaps unresolved</x:v>
      </x:c>
    </x:row>
    <x:row r="12">
      <x:c r="A12" s="18" t="str">
        <x:v>Story Beta</x:v>
      </x:c>
      <x:c r="B12" s="18" t="str">
        <x:v>CL-B09-2026-11</x:v>
      </x:c>
      <x:c r="C12" s="18" t="str">
        <x:v>units</x:v>
      </x:c>
      <x:c r="D12" s="19" t="n">
        <x:v>96</x:v>
      </x:c>
      <x:c r="E12" s="19" t="n">
        <x:v>7125</x:v>
      </x:c>
      <x:c r="F12" s="19" t="n">
        <x:f>D12*E12</x:f>
        <x:v>684000</x:v>
      </x:c>
      <x:c r="G12" s="18" t="str">
        <x:v>verified</x:v>
      </x:c>
      <x:c r="H12" s="18" t="str">
        <x:v>quote/date gaps unresolved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9" hidden="0" customWidth="1"/>
    <x:col min="8" max="8" width="22" hidden="0" customWidth="1"/>
  </x:cols>
  <x:sheetData>
    <x:row r="1">
      <x:c r="A1" s="9" t="str">
        <x:v>Civic Ledger | Shared Fact-Check Matrix</x:v>
      </x:c>
      <x:c r="B1" s="9"/>
      <x:c r="C1" s="9"/>
      <x:c r="D1" s="9"/>
      <x:c r="E1" s="9"/>
      <x:c r="F1" s="9"/>
      <x:c r="G1" s="9"/>
      <x:c r="H1" s="9"/>
    </x:row>
    <x:row r="3">
      <x:c r="A3" s="7" t="str">
        <x:v>Story</x:v>
      </x:c>
      <x:c r="B3" s="7" t="str">
        <x:v>Record ID</x:v>
      </x:c>
      <x:c r="C3" s="7" t="str">
        <x:v>Measure</x:v>
      </x:c>
      <x:c r="D3" s="7" t="str">
        <x:v>Quantity</x:v>
      </x:c>
      <x:c r="E3" s="7" t="str">
        <x:v>Credits</x:v>
      </x:c>
      <x:c r="F3" s="7" t="str">
        <x:v>Evidence state</x:v>
      </x:c>
      <x:c r="G3" s="7" t="str">
        <x:v>Gap status</x:v>
      </x:c>
      <x:c r="H3" s="7" t="str">
        <x:v>Matrix status</x:v>
      </x:c>
    </x:row>
    <x:row r="4">
      <x:c r="A4" s="3" t="str">
        <x:f>'Inputs'!A11</x:f>
        <x:v>Story Alpha</x:v>
      </x:c>
      <x:c r="B4" s="3" t="str">
        <x:f>'Inputs'!B11</x:f>
        <x:v>CL-A17-2026-04</x:v>
      </x:c>
      <x:c r="C4" s="3" t="str">
        <x:f>'Inputs'!C11</x:f>
        <x:v>kits</x:v>
      </x:c>
      <x:c r="D4" s="4" t="n">
        <x:f>'Inputs'!D11</x:f>
        <x:v>240</x:v>
      </x:c>
      <x:c r="E4" s="4" t="n">
        <x:f>'Inputs'!F11</x:f>
        <x:v>1248000</x:v>
      </x:c>
      <x:c r="F4" s="3" t="str">
        <x:f>'Inputs'!G11</x:f>
        <x:v>verified</x:v>
      </x:c>
      <x:c r="G4" s="3" t="str">
        <x:f>'Inputs'!H11</x:f>
        <x:v>quote/date gaps unresolved</x:v>
      </x:c>
      <x:c r="H4" s="3" t="str">
        <x:f>IF(F4="verified","verified with open gap","review")</x:f>
        <x:v>verified with open gap</x:v>
      </x:c>
    </x:row>
    <x:row r="5">
      <x:c r="A5" s="3" t="str">
        <x:f>'Inputs'!A12</x:f>
        <x:v>Story Beta</x:v>
      </x:c>
      <x:c r="B5" s="3" t="str">
        <x:f>'Inputs'!B12</x:f>
        <x:v>CL-B09-2026-11</x:v>
      </x:c>
      <x:c r="C5" s="3" t="str">
        <x:f>'Inputs'!C12</x:f>
        <x:v>units</x:v>
      </x:c>
      <x:c r="D5" s="4" t="n">
        <x:f>'Inputs'!D12</x:f>
        <x:v>96</x:v>
      </x:c>
      <x:c r="E5" s="4" t="n">
        <x:f>'Inputs'!F12</x:f>
        <x:v>684000</x:v>
      </x:c>
      <x:c r="F5" s="3" t="str">
        <x:f>'Inputs'!G12</x:f>
        <x:v>verified</x:v>
      </x:c>
      <x:c r="G5" s="3" t="str">
        <x:f>'Inputs'!H12</x:f>
        <x:v>quote/date gaps unresolved</x:v>
      </x:c>
      <x:c r="H5" s="3" t="str">
        <x:f>IF(F5="verified","verified with open gap","review")</x:f>
        <x:v>verified with open gap</x:v>
      </x:c>
    </x:row>
    <x:row r="7">
      <x:c r="A7" s="40" t="str">
        <x:v>Control</x:v>
      </x:c>
      <x:c r="B7" s="40" t="str">
        <x:v>Expected</x:v>
      </x:c>
      <x:c r="C7" s="40" t="str">
        <x:v>Calculated</x:v>
      </x:c>
      <x:c r="D7" s="40" t="str">
        <x:v>Result</x:v>
      </x:c>
    </x:row>
    <x:row r="8">
      <x:c r="A8" s="3" t="str">
        <x:v>Record count</x:v>
      </x:c>
      <x:c r="B8" s="4" t="n">
        <x:v>2</x:v>
      </x:c>
      <x:c r="C8" s="4" t="n">
        <x:f>COUNTA(B4:B5)</x:f>
        <x:v>2</x:v>
      </x:c>
      <x:c r="D8" s="3" t="str">
        <x:f>IF(B8=C8,"match","check")</x:f>
        <x:v>match</x:v>
      </x:c>
    </x:row>
    <x:row r="9">
      <x:c r="A9" s="3" t="str">
        <x:v>Total quantity</x:v>
      </x:c>
      <x:c r="B9" s="4" t="n">
        <x:v>336</x:v>
      </x:c>
      <x:c r="C9" s="4" t="n">
        <x:f>SUM(D4:D5)</x:f>
        <x:v>336</x:v>
      </x:c>
      <x:c r="D9" s="3" t="str">
        <x:f>IF(B9=C9,"match","check")</x:f>
        <x:v>match</x:v>
      </x:c>
    </x:row>
    <x:row r="10">
      <x:c r="A10" s="3" t="str">
        <x:v>Total credits</x:v>
      </x:c>
      <x:c r="B10" s="4" t="n">
        <x:v>1932000</x:v>
      </x:c>
      <x:c r="C10" s="4" t="n">
        <x:f>SUM(E4:E5)</x:f>
        <x:v>1932000</x:v>
      </x:c>
      <x:c r="D10" s="3" t="str">
        <x:f>IF(B10=C10,"match","check")</x:f>
        <x:v>match</x:v>
      </x:c>
    </x:row>
    <x:row r="12">
      <x:c r="A12" s="25" t="str">
        <x:v>Verification anchor: Civic Ledger / Story Alpha/Beta 2026 / 2026-08-22 / FOIA batch 17 / verified 2026-08-19</x:v>
      </x:c>
      <x:c r="B12" s="25"/>
      <x:c r="C12" s="25"/>
      <x:c r="D12" s="25"/>
      <x:c r="E12" s="25"/>
      <x:c r="F12" s="25"/>
      <x:c r="G12" s="25"/>
      <x:c r="H12" s="25"/>
    </x:row>
  </x:sheetData>
  <x:mergeCells>
    <x:mergeCell ref="A1:H1"/>
    <x:mergeCell ref="A12:H12"/>
  </x:mergeCells>
  <x:pageMargins left="0.7" right="0.7" top="0.75" bottom="0.75" header="0.3" footer="0.3"/>
</x:worksheet>
</file>