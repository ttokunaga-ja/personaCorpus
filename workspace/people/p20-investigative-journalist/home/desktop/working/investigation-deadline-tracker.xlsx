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25e394cad6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adline Tracker" sheetId="1" r:id="Rcfc677e105194b62"/>
    <x:sheet xmlns:r="http://schemas.openxmlformats.org/officeDocument/2006/relationships" name="Reference Data" sheetId="2" r:id="Rf5e8c7281e7540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83B59"/>
      <x:name val="Carlito"/>
    </x:font>
    <x:font>
      <x:sz val="11"/>
      <x:color rgb="FF6A4B00"/>
      <x:name val="Carlito"/>
    </x:font>
    <x:font>
      <x:b/>
      <x:sz val="11"/>
      <x:color rgb="FFFFFFFF"/>
      <x:name val="Carlito"/>
    </x:font>
    <x:font>
      <x:i/>
      <x:sz val="11"/>
      <x:color rgb="FF6A4B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9"/>
      </x:patternFill>
    </x:fill>
    <x:fill>
      <x:patternFill patternType="solid">
        <x:fgColor rgb="FFEAF2F8"/>
      </x:patternFill>
    </x:fill>
    <x:fill>
      <x:patternFill patternType="solid">
        <x:fgColor rgb="FFFFF4D6"/>
      </x:patternFill>
    </x:fill>
  </x:fills>
  <x:borders count="2">
    <x:border/>
    <x:border>
      <x:left style="thin">
        <x:color rgb="FFD5DEE6"/>
      </x:left>
      <x:right style="thin">
        <x:color rgb="FFD5DEE6"/>
      </x:right>
      <x:top style="thin">
        <x:color rgb="FFD5DEE6"/>
      </x:top>
      <x:bottom style="thin">
        <x:color rgb="FFD5DEE6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2" fillId="3" borderId="1" xfId="0" applyNumberFormat="1" applyFont="1" applyFill="1" applyBorder="1"/>
    <x:xf numFmtId="202" fontId="0" fillId="0" borderId="1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9F1D1D"/>
      </x:font>
      <x:fill>
        <x:patternFill patternType="solid">
          <x:bgColor rgb="FFFDE8E8"/>
        </x:patternFill>
      </x:fill>
    </x:dxf>
    <x:dxf>
      <x:font>
        <x:b/>
        <x:color rgb="FF196C2E"/>
      </x:font>
      <x:fill>
        <x:patternFill patternType="solid">
          <x:bgColor rgb="FFE5F5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32f08947ab45df" /><Relationship Type="http://schemas.openxmlformats.org/officeDocument/2006/relationships/theme" Target="/xl/theme/theme1.xml" Id="R7d21a60434dc4598" /><Relationship Type="http://schemas.openxmlformats.org/officeDocument/2006/relationships/sharedStrings" Target="/xl/sharedStrings.xml" Id="Rcf82cbdf74df4676" /><Relationship Type="http://schemas.openxmlformats.org/officeDocument/2006/relationships/worksheet" Target="/xl/worksheets/sheet1.xml" Id="Rcfc677e105194b62" /><Relationship Type="http://schemas.openxmlformats.org/officeDocument/2006/relationships/worksheet" Target="/xl/worksheets/sheet2.xml" Id="Rf5e8c7281e7540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1.670000076293945" hidden="0" customWidth="1"/>
    <x:col min="3" max="3" width="10" hidden="0" customWidth="1"/>
    <x:col min="4" max="4" width="8.670000076293945" hidden="0" customWidth="1"/>
    <x:col min="5" max="5" width="14.220000267028809" hidden="0" customWidth="1"/>
    <x:col min="6" max="6" width="27.780000686645508" hidden="0" customWidth="1"/>
    <x:col min="7" max="7" width="11.670000076293945" hidden="0" customWidth="1"/>
    <x:col min="8" max="8" width="19.440000534057617" hidden="0" customWidth="1"/>
  </x:cols>
  <x:sheetData>
    <x:row r="1" ht="30" customHeight="1">
      <x:c r="A1" s="4" t="str">
        <x:v>Civic Ledger | Investigation Deadline Tracker</x:v>
      </x:c>
      <x:c r="B1" s="4"/>
      <x:c r="C1" s="4"/>
      <x:c r="D1" s="4"/>
      <x:c r="E1" s="4"/>
      <x:c r="F1" s="4"/>
      <x:c r="G1" s="4"/>
      <x:c r="H1" s="4"/>
    </x:row>
    <x:row r="2">
      <x:c r="A2" s="6" t="str">
        <x:v>Reporting date</x:v>
      </x:c>
      <x:c r="B2" s="7" t="n">
        <x:v>46256</x:v>
      </x:c>
      <x:c r="D2" t="str">
        <x:v>Open items</x:v>
      </x:c>
      <x:c r="E2" t="n">
        <x:f>COUNTIF($G$6:$G$9,"Open")</x:f>
        <x:v>2</x:v>
      </x:c>
      <x:c r="G2" s="10" t="str">
        <x:v>Guardrail</x:v>
      </x:c>
      <x:c r="H2" s="10" t="str">
        <x:v>Gaps are not proof of wrongdoing.</x:v>
      </x:c>
    </x:row>
    <x:row r="4">
      <x:c r="A4" s="13" t="str">
        <x:v>Item</x:v>
      </x:c>
      <x:c r="B4" s="13" t="str">
        <x:v>Story</x:v>
      </x:c>
      <x:c r="C4" s="13" t="str">
        <x:v>Due date</x:v>
      </x:c>
      <x:c r="D4" s="13" t="str">
        <x:v>Days left</x:v>
      </x:c>
      <x:c r="E4" s="13" t="str">
        <x:v>Reference</x:v>
      </x:c>
      <x:c r="F4" s="13" t="str">
        <x:v>Evidence</x:v>
      </x:c>
      <x:c r="G4" s="13" t="str">
        <x:v>Review state</x:v>
      </x:c>
      <x:c r="H4" s="13" t="str">
        <x:v>Editorial next step</x:v>
      </x:c>
    </x:row>
    <x:row r="5" ht="42" customHeight="1">
      <x:c r="A5" s="22" t="str">
        <x:v>FOIA routing</x:v>
      </x:c>
      <x:c r="B5" s="22" t="str">
        <x:v>Story Alpha</x:v>
      </x:c>
      <x:c r="C5" s="23" t="n">
        <x:v>46257</x:v>
      </x:c>
      <x:c r="D5" s="24" t="n">
        <x:f>C5-$B$2</x:f>
        <x:v>1</x:v>
      </x:c>
      <x:c r="E5" s="22" t="str">
        <x:v>CL-A17-2026-04</x:v>
      </x:c>
      <x:c r="F5" s="22" t="str">
        <x:v>240 kits | 1,248,000 fictional Civic Credits</x:v>
      </x:c>
      <x:c r="G5" s="22" t="str">
        <x:v>Documented</x:v>
      </x:c>
      <x:c r="H5" s="22" t="str">
        <x:v>Reconcile routing labels</x:v>
      </x:c>
    </x:row>
    <x:row r="6" ht="42" customHeight="1">
      <x:c r="A6" s="22" t="str">
        <x:v>Context wording</x:v>
      </x:c>
      <x:c r="B6" s="22" t="str">
        <x:v>Story Alpha</x:v>
      </x:c>
      <x:c r="C6" s="23" t="n">
        <x:v>46258</x:v>
      </x:c>
      <x:c r="D6" s="24" t="n">
        <x:f>C6-$B$2</x:f>
        <x:v>2</x:v>
      </x:c>
      <x:c r="E6" s="22" t="str">
        <x:v>CL-A17-2026-04</x:v>
      </x:c>
      <x:c r="F6" s="22" t="str">
        <x:v>Open context gap</x:v>
      </x:c>
      <x:c r="G6" s="22" t="str">
        <x:v>Open</x:v>
      </x:c>
      <x:c r="H6" s="22" t="str">
        <x:v>Keep language bounded</x:v>
      </x:c>
    </x:row>
    <x:row r="7" ht="42" customHeight="1">
      <x:c r="A7" s="22" t="str">
        <x:v>Desk review</x:v>
      </x:c>
      <x:c r="B7" s="22" t="str">
        <x:v>Story Beta</x:v>
      </x:c>
      <x:c r="C7" s="23" t="n">
        <x:v>46257</x:v>
      </x:c>
      <x:c r="D7" s="24" t="n">
        <x:f>C7-$B$2</x:f>
        <x:v>1</x:v>
      </x:c>
      <x:c r="E7" s="22" t="str">
        <x:v>CL-B09-2026-11</x:v>
      </x:c>
      <x:c r="F7" s="22" t="str">
        <x:v>96 units | 684,000 fictional Civic Credits</x:v>
      </x:c>
      <x:c r="G7" s="22" t="str">
        <x:v>Documented</x:v>
      </x:c>
      <x:c r="H7" s="22" t="str">
        <x:v>Confirm desk review</x:v>
      </x:c>
    </x:row>
    <x:row r="8" ht="42" customHeight="1">
      <x:c r="A8" s="22" t="str">
        <x:v>Open questions</x:v>
      </x:c>
      <x:c r="B8" s="22" t="str">
        <x:v>Story Beta</x:v>
      </x:c>
      <x:c r="C8" s="23" t="n">
        <x:v>46259</x:v>
      </x:c>
      <x:c r="D8" s="24" t="n">
        <x:f>C8-$B$2</x:f>
        <x:v>3</x:v>
      </x:c>
      <x:c r="E8" s="22" t="str">
        <x:v>CL-B09-2026-11</x:v>
      </x:c>
      <x:c r="F8" s="22" t="str">
        <x:v>Open routing gap</x:v>
      </x:c>
      <x:c r="G8" s="22" t="str">
        <x:v>Open</x:v>
      </x:c>
      <x:c r="H8" s="22" t="str">
        <x:v>Flag, do not infer</x:v>
      </x:c>
    </x:row>
  </x:sheetData>
  <x:mergeCells>
    <x:mergeCell ref="A1:H1"/>
  </x:mergeCells>
  <x:conditionalFormatting sqref="G5:G8">
    <x:cfRule type="containsText" dxfId="0" priority="1" operator="containsText" text="Open"/>
    <x:cfRule type="containsText" dxfId="1" priority="2" operator="containsText" text="Documente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16.670000076293945" hidden="0" customWidth="1"/>
    <x:col min="3" max="3" width="10" hidden="0" customWidth="1"/>
    <x:col min="4" max="4" width="20" hidden="0" customWidth="1"/>
    <x:col min="5" max="5" width="11.670000076293945" hidden="0" customWidth="1"/>
  </x:cols>
  <x:sheetData>
    <x:row r="1">
      <x:c r="A1" s="2" t="str">
        <x:v>Civic Ledger | Reference Data</x:v>
      </x:c>
      <x:c r="B1" s="2"/>
      <x:c r="C1" s="2"/>
      <x:c r="D1" s="2"/>
      <x:c r="E1" s="2"/>
    </x:row>
    <x:row r="3">
      <x:c r="A3" s="26" t="str">
        <x:v>Story</x:v>
      </x:c>
      <x:c r="B3" s="26" t="str">
        <x:v>Reference</x:v>
      </x:c>
      <x:c r="C3" s="26" t="str">
        <x:v>Quantity</x:v>
      </x:c>
      <x:c r="D3" s="26" t="str">
        <x:v>Fictional Civic Credits</x:v>
      </x:c>
      <x:c r="E3" s="26" t="str">
        <x:v>Verified date</x:v>
      </x:c>
    </x:row>
    <x:row r="4">
      <x:c r="A4" s="16" t="str">
        <x:v>Story Alpha</x:v>
      </x:c>
      <x:c r="B4" s="16" t="str">
        <x:v>CL-A17-2026-04</x:v>
      </x:c>
      <x:c r="C4" s="16" t="n">
        <x:v>240</x:v>
      </x:c>
      <x:c r="D4" s="27" t="n">
        <x:v>1248000</x:v>
      </x:c>
      <x:c r="E4" s="17" t="n">
        <x:v>46253</x:v>
      </x:c>
    </x:row>
    <x:row r="5">
      <x:c r="A5" s="16" t="str">
        <x:v>Story Beta</x:v>
      </x:c>
      <x:c r="B5" s="16" t="str">
        <x:v>CL-B09-2026-11</x:v>
      </x:c>
      <x:c r="C5" s="16" t="n">
        <x:v>96</x:v>
      </x:c>
      <x:c r="D5" s="27" t="n">
        <x:v>684000</x:v>
      </x:c>
      <x:c r="E5" s="17" t="n">
        <x:v>46253</x:v>
      </x:c>
    </x:row>
    <x:row r="7">
      <x:c r="A7" s="28" t="str">
        <x:v>All quantities and credits in this workbook are synthetic.</x:v>
      </x:c>
      <x:c r="B7" s="28"/>
      <x:c r="C7" s="28"/>
      <x:c r="D7" s="28"/>
      <x:c r="E7" s="28"/>
    </x:row>
  </x:sheetData>
  <x:mergeCells>
    <x:mergeCell ref="A1:E1"/>
    <x:mergeCell ref="A7:E7"/>
  </x:mergeCells>
  <x:pageMargins left="0.7" right="0.7" top="0.75" bottom="0.75" header="0.3" footer="0.3"/>
</x:worksheet>
</file>