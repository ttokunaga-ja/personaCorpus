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e99e8cee1043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Register" sheetId="1" r:id="R168b53aee6eb4c39"/>
    <x:sheet xmlns:r="http://schemas.openxmlformats.org/officeDocument/2006/relationships" name="QA v2 Traceability" sheetId="2" r:id="Redc7972915f64d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9">
    <x:font>
      <x:sz val="11"/>
      <x:name val="Carlito"/>
    </x:font>
    <x:font>
      <x:b/>
      <x:sz val="14"/>
      <x:color rgb="FFFFFFFF"/>
      <x:name val="Carlito"/>
    </x:font>
    <x:font>
      <x:i/>
      <x:sz val="10"/>
      <x:color rgb="FF555555"/>
      <x:name val="Carlito"/>
    </x:font>
    <x:font>
      <x:i/>
      <x:sz val="9"/>
      <x:color rgb="FF555555"/>
      <x:name val="Carlito"/>
    </x:font>
    <x:font>
      <x:b/>
      <x:sz val="11"/>
      <x:color rgb="FF0B2545"/>
      <x:name val="Carlito"/>
    </x:font>
    <x:font>
      <x:i/>
      <x:sz val="11"/>
      <x:color rgb="FF555555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F4F6F9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4">
    <x:border/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4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8" borderId="13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2" fontId="0" fillId="0" borderId="13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left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1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3f972f6a4d4526" /><Relationship Type="http://schemas.openxmlformats.org/officeDocument/2006/relationships/theme" Target="/xl/theme/theme1.xml" Id="R3c153ba729204c21" /><Relationship Type="http://schemas.openxmlformats.org/officeDocument/2006/relationships/sharedStrings" Target="/xl/sharedStrings.xml" Id="Rf285a6a38c8e4be9" /><Relationship Type="http://schemas.openxmlformats.org/officeDocument/2006/relationships/worksheet" Target="/xl/worksheets/sheet1.xml" Id="R168b53aee6eb4c39" /><Relationship Type="http://schemas.openxmlformats.org/officeDocument/2006/relationships/worksheet" Target="/xl/worksheets/sheet2.xml" Id="Redc7972915f64d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18" hidden="0" customWidth="1"/>
    <x:col min="6" max="6" width="34" hidden="0" customWidth="1"/>
  </x:cols>
  <x:sheetData>
    <x:row r="1" ht="28" customHeight="1">
      <x:c r="A1" s="4" t="str">
        <x:v>Cobalt Harbor Systems | exception linkage control workbook</x:v>
      </x:c>
      <x:c r="B1" s="4"/>
      <x:c r="C1" s="4"/>
      <x:c r="D1" s="4"/>
      <x:c r="E1" s="4"/>
      <x:c r="F1" s="4"/>
    </x:row>
    <x:row r="2" ht="30" customHeight="1">
      <x:c r="A2" s="6" t="str">
        <x:v>Artifact review date/period: 2026-07-14 | Source dependency date/period: Governance planning period from 2026-07-01 through 2026-09-30.</x:v>
      </x:c>
      <x:c r="B2" s="6"/>
      <x:c r="C2" s="6"/>
      <x:c r="D2" s="6"/>
      <x:c r="E2" s="6"/>
      <x:c r="F2" s="6"/>
    </x:row>
    <x:row r="3">
      <x:c r="A3" s="7" t="str">
        <x:v>Source: 2026-q3-working-notes-checksum-check-evidence-metrics-tsv-s002618.tsv | exception linkage | synthetic-only, no Kio claim</x:v>
      </x:c>
      <x:c r="B3" s="7"/>
      <x:c r="C3" s="7"/>
      <x:c r="D3" s="7"/>
      <x:c r="E3" s="7"/>
      <x:c r="F3" s="7"/>
    </x:row>
    <x:row r="4">
      <x:c r="A4" s="16" t="str">
        <x:v>Review item</x:v>
      </x:c>
      <x:c r="B4" s="17" t="str">
        <x:v>Planned fact</x:v>
      </x:c>
      <x:c r="C4" s="17" t="str">
        <x:v>Observed value</x:v>
      </x:c>
      <x:c r="D4" s="17" t="str">
        <x:v>Status</x:v>
      </x:c>
      <x:c r="E4" s="17" t="str">
        <x:v>Owner</x:v>
      </x:c>
      <x:c r="F4" s="18" t="str">
        <x:v>Review note</x:v>
      </x:c>
    </x:row>
    <x:row r="5">
      <x:c r="A5" s="37" t="str">
        <x:v>org.cobalt-harbor</x:v>
      </x:c>
      <x:c r="B5" s="38" t="str">
        <x:v>Cobalt Harbor Systems (CHS) is a fictional organization operating a managed logistics and harbor-operations platform.</x:v>
      </x:c>
      <x:c r="C5" s="38" t="str">
        <x:v>Cobalt Harbor Systems (CHS) is a fictional organization operating a managed logistics and harbor-operations platform.</x:v>
      </x:c>
      <x:c r="D5" s="38" t="str">
        <x:v>Aligned</x:v>
      </x:c>
      <x:c r="E5" s="38" t="str">
        <x:v>Security GRC</x:v>
      </x:c>
      <x:c r="F5" s="39" t="str">
        <x:v>Direct dependency field 1; exception linkage review</x:v>
      </x:c>
    </x:row>
    <x:row r="6">
      <x:c r="A6" s="40" t="str">
        <x:v>team.grc</x:v>
      </x:c>
      <x:c r="B6" s="41" t="str">
        <x:v>Security GRC owns the AC-27 evidence register, risk treatment tracking, and audit-request coordination.</x:v>
      </x:c>
      <x:c r="C6" s="41" t="str">
        <x:v>Security GRC owns the AC-27 evidence register, risk treatment tracking, and audit-request coordination.</x:v>
      </x:c>
      <x:c r="D6" s="41" t="str">
        <x:v>Aligned</x:v>
      </x:c>
      <x:c r="E6" s="41" t="str">
        <x:v>Control owner</x:v>
      </x:c>
      <x:c r="F6" s="42" t="str">
        <x:v>Direct dependency field 2; exception linkage review</x:v>
      </x:c>
    </x:row>
    <x:row r="7">
      <x:c r="A7" s="43" t="str">
        <x:v>period.2026-q3</x:v>
      </x:c>
      <x:c r="B7" s="44" t="str">
        <x:v>Governance planning period from 2026-07-01 through 2026-09-30.</x:v>
      </x:c>
      <x:c r="C7" s="44" t="str">
        <x:v>Governance planning period from 2026-07-01 through 2026-09-30.</x:v>
      </x:c>
      <x:c r="D7" s="44" t="str">
        <x:v>Aligned</x:v>
      </x:c>
      <x:c r="E7" s="44" t="str">
        <x:v>Control owner</x:v>
      </x:c>
      <x:c r="F7" s="45" t="str">
        <x:v>Direct dependency field 3; exception linkage review</x:v>
      </x:c>
    </x:row>
    <x:row r="12">
      <x:c r="A12" s="53" t="str">
        <x:v>Metric</x:v>
      </x:c>
      <x:c r="B12" s="53" t="str">
        <x:v>Value</x:v>
      </x:c>
      <x:c r="C12" s="53" t="str">
        <x:v>Check</x:v>
      </x:c>
    </x:row>
    <x:row r="13">
      <x:c r="A13" s="23" t="str">
        <x:v>Source fields</x:v>
      </x:c>
      <x:c r="B13" s="54" t="n">
        <x:v>3</x:v>
      </x:c>
      <x:c r="C13" s="23" t="n">
        <x:f>B13</x:f>
        <x:v>3</x:v>
      </x:c>
    </x:row>
    <x:row r="14">
      <x:c r="A14" s="23" t="str">
        <x:v>Fields reviewed</x:v>
      </x:c>
      <x:c r="B14" s="54" t="n">
        <x:v>3</x:v>
      </x:c>
      <x:c r="C14" s="23" t="n">
        <x:f>B14</x:f>
        <x:v>3</x:v>
      </x:c>
    </x:row>
    <x:row r="15">
      <x:c r="A15" s="23" t="str">
        <x:v>Review completeness</x:v>
      </x:c>
      <x:c r="B15" s="55" t="n">
        <x:f>B14/B13</x:f>
        <x:v>1</x:v>
      </x:c>
      <x:c r="C15" s="55" t="n">
        <x:f>B15</x:f>
        <x:v>1</x:v>
      </x:c>
    </x:row>
    <x:row r="16">
      <x:c r="A16" s="23" t="str">
        <x:v>Decision</x:v>
      </x:c>
      <x:c r="B16" s="23" t="str">
        <x:v>Link exception boundary</x:v>
      </x:c>
      <x:c r="C16" s="23"/>
    </x:row>
    <x:row r="17" ht="32" customHeight="1">
      <x:c r="A17" s="58" t="str">
        <x:v>Synthetic governance record. This workbook contains no credentials, real personal data, live-source data, or claim of Kio indexing, history, chunks, search quality, or performance.</x:v>
      </x:c>
      <x:c r="B17" s="58"/>
      <x:c r="C17" s="58"/>
      <x:c r="D17" s="58"/>
      <x:c r="E17" s="58"/>
      <x:c r="F17" s="58"/>
    </x:row>
  </x:sheetData>
  <x:mergeCells>
    <x:mergeCell ref="A1:F1"/>
    <x:mergeCell ref="A2:F2"/>
    <x:mergeCell ref="A3:F3"/>
    <x:mergeCell ref="A17:F17"/>
  </x:mergeCells>
  <x:dataValidations count="1">
    <x:dataValidation type="list" sqref="D5:D7">
      <x:formula1>"Aligned,Reviewed,Confirmed,Accepted"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62" t="str">
        <x:v>QA v2 Traceability — Assurance Review</x:v>
      </x:c>
      <x:c r="B1" s="62"/>
      <x:c r="C1" s="62"/>
      <x:c r="D1" s="62"/>
      <x:c r="E1" s="62"/>
      <x:c r="F1" s="62"/>
      <x:c r="G1" s="62"/>
    </x:row>
    <x:row r="3" ht="32" customHeight="1">
      <x:c r="A3" s="66" t="str">
        <x:v>Purpose: record the assurance reasoning added during QA v2 for Working Notes Checksum Check.</x:v>
      </x:c>
      <x:c r="B3" s="66"/>
      <x:c r="C3" s="66"/>
      <x:c r="D3" s="66"/>
      <x:c r="E3" s="66"/>
      <x:c r="F3" s="66"/>
      <x:c r="G3" s="66"/>
    </x:row>
    <x:row r="5" ht="44" customHeight="1">
      <x:c r="A5" s="73" t="str">
        <x:v>Assurance question</x:v>
      </x:c>
      <x:c r="B5" s="74" t="str">
        <x:v>Does Cobalt Harbor have documented evidence that working notes checksum check addresses RISK-031 before the 2026-07-14 review decision?</x:v>
      </x:c>
      <x:c r="C5" s="72"/>
      <x:c r="D5" s="72"/>
      <x:c r="E5" s="72"/>
      <x:c r="F5" s="72"/>
      <x:c r="G5" s="72"/>
    </x:row>
    <x:row r="6" ht="44" customHeight="1">
      <x:c r="A6" s="73" t="str">
        <x:v>Organization</x:v>
      </x:c>
      <x:c r="B6" s="74" t="str">
        <x:v>Cobalt Harbor is the accountable organization for this assurance record.</x:v>
      </x:c>
      <x:c r="C6" s="72"/>
      <x:c r="D6" s="72"/>
      <x:c r="E6" s="72"/>
      <x:c r="F6" s="72"/>
      <x:c r="G6" s="72"/>
    </x:row>
    <x:row r="7" ht="44" customHeight="1">
      <x:c r="A7" s="73" t="str">
        <x:v>Risk reference</x:v>
      </x:c>
      <x:c r="B7" s="74" t="str">
        <x:v>RISK-031 is assessed here as a control-evidence integrity risk requiring documented review.</x:v>
      </x:c>
      <x:c r="C7" s="72"/>
      <x:c r="D7" s="72"/>
      <x:c r="E7" s="72"/>
      <x:c r="F7" s="72"/>
      <x:c r="G7" s="72"/>
    </x:row>
    <x:row r="8" ht="44" customHeight="1">
      <x:c r="A8" s="73" t="str">
        <x:v>Review date</x:v>
      </x:c>
      <x:c r="B8" s="75" t="str">
        <x:v>2026-07-14</x:v>
      </x:c>
      <x:c r="C8" s="72"/>
      <x:c r="D8" s="72"/>
      <x:c r="E8" s="72"/>
      <x:c r="F8" s="72"/>
      <x:c r="G8" s="72"/>
    </x:row>
    <x:row r="9" ht="44" customHeight="1">
      <x:c r="A9" s="73" t="str">
        <x:v>Declared relationship</x:v>
      </x:c>
      <x:c r="B9" s="74" t="str">
        <x:v>rel.case.timeline is the ledger relationship context for this workbook; its supporting linkage is maintained through declared dependency p03-full-002618 (source p03-src-002618).</x:v>
      </x:c>
      <x:c r="C9" s="72"/>
      <x:c r="D9" s="72"/>
      <x:c r="E9" s="72"/>
      <x:c r="F9" s="72"/>
      <x:c r="G9" s="72"/>
    </x:row>
    <x:row r="10" ht="58" customHeight="1">
      <x:c r="A10" s="73" t="str">
        <x:v>Evidence-register cross-reference</x:v>
      </x:c>
      <x:c r="B10" s="74" t="str">
        <x:v>AC-27 / Evidence Set 184 is the corpus evidence-register cross-reference used for assurance review. It is not asserted here as this row's declared relationship unless the ledger explicitly says so.</x:v>
      </x:c>
      <x:c r="C10" s="72"/>
      <x:c r="D10" s="72"/>
      <x:c r="E10" s="72"/>
      <x:c r="F10" s="72"/>
      <x:c r="G10" s="72"/>
    </x:row>
    <x:row r="11" ht="44" customHeight="1">
      <x:c r="A11" s="73" t="str">
        <x:v>Declared dependency</x:v>
      </x:c>
      <x:c r="B11" s="74" t="str">
        <x:v>This workbook relies on artifact p03-full-002618 (canonical source p03-src-002618) as its linked supporting record.</x:v>
      </x:c>
      <x:c r="C11" s="72"/>
      <x:c r="D11" s="72"/>
      <x:c r="E11" s="72"/>
      <x:c r="F11" s="72"/>
      <x:c r="G11" s="72"/>
    </x:row>
    <x:row r="12" ht="58" customHeight="1">
      <x:c r="A12" s="73" t="str">
        <x:v>Boundary statement</x:v>
      </x:c>
      <x:c r="B12" s="74" t="str">
        <x:v>No Kio system, service, repository, account, credential, or workflow is involved in this evidence review; the statement is a scope boundary, not an operational claim.</x:v>
      </x:c>
      <x:c r="C12" s="72"/>
      <x:c r="D12" s="72"/>
      <x:c r="E12" s="72"/>
      <x:c r="F12" s="72"/>
      <x:c r="G12" s="72"/>
    </x:row>
    <x:row r="14" ht="26" customHeight="1">
      <x:c r="A14" s="78" t="str">
        <x:v>Review linkage and decision context</x:v>
      </x:c>
      <x:c r="B14" s="78"/>
      <x:c r="C14" s="78"/>
      <x:c r="D14" s="78"/>
      <x:c r="E14" s="78"/>
      <x:c r="F14" s="78"/>
      <x:c r="G14" s="78"/>
    </x:row>
    <x:row r="15" ht="32" customHeight="1">
      <x:c r="A15" s="81" t="str">
        <x:v>Control</x:v>
      </x:c>
      <x:c r="B15" s="81" t="str">
        <x:v>Evidence set</x:v>
      </x:c>
      <x:c r="C15" s="81" t="str">
        <x:v>Accountable organization</x:v>
      </x:c>
      <x:c r="D15" s="81" t="str">
        <x:v>Review date</x:v>
      </x:c>
      <x:c r="E15" s="81" t="str">
        <x:v>Relationship</x:v>
      </x:c>
      <x:c r="F15" s="81" t="str">
        <x:v>Dependency</x:v>
      </x:c>
      <x:c r="G15" s="81" t="str">
        <x:v>Boundary decision</x:v>
      </x:c>
    </x:row>
    <x:row r="16" ht="58" customHeight="1">
      <x:c r="A16" s="74" t="str">
        <x:v>AC-27</x:v>
      </x:c>
      <x:c r="B16" s="74" t="str">
        <x:v>Evidence Set 184</x:v>
      </x:c>
      <x:c r="C16" s="74" t="str">
        <x:v>Cobalt Harbor</x:v>
      </x:c>
      <x:c r="D16" s="74" t="str">
        <x:v>2026-07-14</x:v>
      </x:c>
      <x:c r="E16" s="74" t="str">
        <x:v>rel.case.timeline; dependency establishes the row-specific linkage.</x:v>
      </x:c>
      <x:c r="F16" s="74" t="str">
        <x:v>p03-full-002618; p03-src-002618</x:v>
      </x:c>
      <x:c r="G16" s="74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