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b6f2dec5b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130a2ab8e824c00"/>
    <x:sheet xmlns:r="http://schemas.openxmlformats.org/officeDocument/2006/relationships" name="Questionnaire" sheetId="2" r:id="Rfbc27fb0038a4276"/>
    <x:sheet xmlns:r="http://schemas.openxmlformats.org/officeDocument/2006/relationships" name="Scoring" sheetId="3" r:id="R515bbd4b848f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83e8fe0f04ec6" /><Relationship Type="http://schemas.openxmlformats.org/officeDocument/2006/relationships/theme" Target="/xl/theme/theme1.xml" Id="R4ba76ce65be846ef" /><Relationship Type="http://schemas.openxmlformats.org/officeDocument/2006/relationships/sharedStrings" Target="/xl/sharedStrings.xml" Id="R1b54c5213f214ec4" /><Relationship Type="http://schemas.openxmlformats.org/officeDocument/2006/relationships/worksheet" Target="/xl/worksheets/sheet1.xml" Id="R8130a2ab8e824c00" /><Relationship Type="http://schemas.openxmlformats.org/officeDocument/2006/relationships/worksheet" Target="/xl/worksheets/sheet2.xml" Id="Rfbc27fb0038a4276" /><Relationship Type="http://schemas.openxmlformats.org/officeDocument/2006/relationships/worksheet" Target="/xl/worksheets/sheet3.xml" Id="R515bbd4b848f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NorthPier Processing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Data processing</x:v>
      </x:c>
      <x:c r="D4" s="41" t="n">
        <x:f>COUNTIF('Questionnaire'!$F$6:$F$13,"Complete")/COUNTA('Questionnaire'!$A$6:$A$13)</x:f>
        <x:v>0.75</x:v>
      </x:c>
      <x:c r="E4" s="42" t="n">
        <x:f>'Scoring'!$B$18</x:f>
        <x:v>0.868</x:v>
      </x:c>
      <x:c r="F4" s="43" t="str">
        <x:f>'Scoring'!$B$20</x:f>
        <x:v>Escalate</x:v>
      </x:c>
      <x:c r="G4" s="43" t="n">
        <x:f>COUNTIF('Questionnaire'!$F$6:$F$13,"&lt;&gt;Complete")</x:f>
        <x:v>2</x:v>
      </x:c>
    </x:row>
    <x:row r="5">
      <x:c r="A5" s="8" t="str">
        <x:v>Control</x:v>
      </x:c>
      <x:c r="B5" s="14" t="str">
        <x:v>Aegis Control AC-29</x:v>
      </x:c>
    </x:row>
    <x:row r="6">
      <x:c r="A6" s="8" t="str">
        <x:v>Risk reference</x:v>
      </x:c>
      <x:c r="B6" s="14" t="str">
        <x:v>RISK-067</x:v>
      </x:c>
    </x:row>
    <x:row r="7">
      <x:c r="A7" s="8" t="str">
        <x:v>Evidence reference</x:v>
      </x:c>
      <x:c r="B7" s="14" t="str">
        <x:v>evidence set 219</x:v>
      </x:c>
    </x:row>
    <x:row r="8">
      <x:c r="A8" s="9" t="str">
        <x:v>Assessment date</x:v>
      </x:c>
      <x:c r="B8" s="16" t="n">
        <x:v>46237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data processing evidence for Aegis Control AC-29.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NorthPier Processing | Data processing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Inventory</x:v>
      </x:c>
      <x:c r="B6" s="73" t="str">
        <x:v>Is each processing activity represented in the approved inventory?</x:v>
      </x:c>
      <x:c r="C6" s="73" t="str">
        <x:v>Activity inventory sample</x:v>
      </x:c>
      <x:c r="D6" s="73" t="str">
        <x:v>Reviewed activities have mapped owners.</x:v>
      </x:c>
      <x:c r="E6" s="74" t="n">
        <x:v>16</x:v>
      </x:c>
      <x:c r="F6" s="73" t="str">
        <x:v>Complete</x:v>
      </x:c>
      <x:c r="G6" s="58" t="str">
        <x:v>Inventory links to governance IDs.</x:v>
      </x:c>
    </x:row>
    <x:row r="7" ht="38" customHeight="1">
      <x:c r="A7" s="75" t="str">
        <x:v>Purpose</x:v>
      </x:c>
      <x:c r="B7" s="76" t="str">
        <x:v>Does the processor operate only for documented instructions?</x:v>
      </x:c>
      <x:c r="C7" s="76" t="str">
        <x:v>Instruction mapping</x:v>
      </x:c>
      <x:c r="D7" s="76" t="str">
        <x:v>Instruction mapping is complete for selected activities.</x:v>
      </x:c>
      <x:c r="E7" s="77" t="n">
        <x:v>14</x:v>
      </x:c>
      <x:c r="F7" s="76" t="str">
        <x:v>Complete</x:v>
      </x:c>
      <x:c r="G7" s="78" t="str">
        <x:v>Scope is bounded and auditable.</x:v>
      </x:c>
    </x:row>
    <x:row r="8" ht="38" customHeight="1">
      <x:c r="A8" s="75" t="str">
        <x:v>Subprocessing</x:v>
      </x:c>
      <x:c r="B8" s="76" t="str">
        <x:v>Is planned subprocessing evaluated before activation?</x:v>
      </x:c>
      <x:c r="C8" s="76" t="str">
        <x:v>Subprocessor review record</x:v>
      </x:c>
      <x:c r="D8" s="76" t="str">
        <x:v>One planned change remains in pre-approval.</x:v>
      </x:c>
      <x:c r="E8" s="77" t="n">
        <x:v>15</x:v>
      </x:c>
      <x:c r="F8" s="76" t="str">
        <x:v>In Progress</x:v>
      </x:c>
      <x:c r="G8" s="78" t="str">
        <x:v>Open action: complete pre-activation approval.</x:v>
      </x:c>
    </x:row>
    <x:row r="9" ht="38" customHeight="1">
      <x:c r="A9" s="75" t="str">
        <x:v>Deletion</x:v>
      </x:c>
      <x:c r="B9" s="76" t="str">
        <x:v>Is disposal evidenced when the processing purpose ends?</x:v>
      </x:c>
      <x:c r="C9" s="76" t="str">
        <x:v>Disposal control narrative</x:v>
      </x:c>
      <x:c r="D9" s="76" t="str">
        <x:v>Narrative defines evidence expected for disposal.</x:v>
      </x:c>
      <x:c r="E9" s="77" t="n">
        <x:v>13</x:v>
      </x:c>
      <x:c r="F9" s="76" t="str">
        <x:v>Complete</x:v>
      </x:c>
      <x:c r="G9" s="78" t="str">
        <x:v>No operational data is included.</x:v>
      </x:c>
    </x:row>
    <x:row r="10" ht="38" customHeight="1">
      <x:c r="A10" s="75" t="str">
        <x:v>Quality</x:v>
      </x:c>
      <x:c r="B10" s="76" t="str">
        <x:v>Are data quality exceptions routed to an accountable role?</x:v>
      </x:c>
      <x:c r="C10" s="76" t="str">
        <x:v>Exception-handling flow</x:v>
      </x:c>
      <x:c r="D10" s="76" t="str">
        <x:v>Accountability route is documented.</x:v>
      </x:c>
      <x:c r="E10" s="77" t="n">
        <x:v>10</x:v>
      </x:c>
      <x:c r="F10" s="76" t="str">
        <x:v>Complete</x:v>
      </x:c>
      <x:c r="G10" s="78" t="str">
        <x:v>Escalation criteria are legible.</x:v>
      </x:c>
    </x:row>
    <x:row r="11" ht="38" customHeight="1">
      <x:c r="A11" s="75" t="str">
        <x:v>Access</x:v>
      </x:c>
      <x:c r="B11" s="76" t="str">
        <x:v>Does processing access follow a documented least-privilege role?</x:v>
      </x:c>
      <x:c r="C11" s="76" t="str">
        <x:v>Processing role matrix</x:v>
      </x:c>
      <x:c r="D11" s="76" t="str">
        <x:v>Role matrix includes review cadence.</x:v>
      </x:c>
      <x:c r="E11" s="77" t="n">
        <x:v>12</x:v>
      </x:c>
      <x:c r="F11" s="76" t="str">
        <x:v>Complete</x:v>
      </x:c>
      <x:c r="G11" s="78" t="str">
        <x:v>Cadence supports the control.</x:v>
      </x:c>
    </x:row>
    <x:row r="12" ht="38" customHeight="1">
      <x:c r="A12" s="75" t="str">
        <x:v>Incident</x:v>
      </x:c>
      <x:c r="B12" s="76" t="str">
        <x:v>Can the processor notify a control owner through an agreed route?</x:v>
      </x:c>
      <x:c r="C12" s="76" t="str">
        <x:v>Notification test record</x:v>
      </x:c>
      <x:c r="D12" s="76" t="str">
        <x:v>Role-based notification route was exercised.</x:v>
      </x:c>
      <x:c r="E12" s="77" t="n">
        <x:v>11</x:v>
      </x:c>
      <x:c r="F12" s="76" t="str">
        <x:v>Complete</x:v>
      </x:c>
      <x:c r="G12" s="78" t="str">
        <x:v>Test result is retained.</x:v>
      </x:c>
    </x:row>
    <x:row r="13" ht="38" customHeight="1">
      <x:c r="A13" s="54" t="str">
        <x:v>Assurance</x:v>
      </x:c>
      <x:c r="B13" s="79" t="str">
        <x:v>Is annual assurance evidence tracked to remediation closure?</x:v>
      </x:c>
      <x:c r="C13" s="79" t="str">
        <x:v>Assurance tracker</x:v>
      </x:c>
      <x:c r="D13" s="79" t="str">
        <x:v>Closure verifier is pending assignment.</x:v>
      </x:c>
      <x:c r="E13" s="80" t="n">
        <x:v>9</x:v>
      </x:c>
      <x:c r="F13" s="79" t="str">
        <x:v>Needs Evidence</x:v>
      </x:c>
      <x:c r="G13" s="53" t="str">
        <x:v>Open action: name verifier role.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Inventory</x:v>
      </x:c>
      <x:c r="B6" s="77" t="n">
        <x:f>'Questionnaire'!E6</x:f>
        <x:v>16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0.16</x:v>
      </x:c>
      <x:c r="F6" s="78" t="str">
        <x:f>"Questionnaire!"&amp;ROW()</x:f>
        <x:v>Questionnaire!6</x:v>
      </x:c>
    </x:row>
    <x:row r="7">
      <x:c r="A7" s="90" t="str">
        <x:f>'Questionnaire'!A7</x:f>
        <x:v>Purpose</x:v>
      </x:c>
      <x:c r="B7" s="77" t="n">
        <x:f>'Questionnaire'!E7</x:f>
        <x:v>14</x:v>
      </x:c>
      <x:c r="C7" s="76" t="str">
        <x:f>'Questionnaire'!F7</x:f>
        <x:v>Complete</x:v>
      </x:c>
      <x:c r="D7" s="95" t="n">
        <x:f>IF(C7="Complete",1,IF(C7="In Progress",0.6,0.2))</x:f>
        <x:v>1</x:v>
      </x:c>
      <x:c r="E7" s="95" t="n">
        <x:f>B7*D7/100</x:f>
        <x:v>0.14</x:v>
      </x:c>
      <x:c r="F7" s="78" t="str">
        <x:f>"Questionnaire!"&amp;ROW()</x:f>
        <x:v>Questionnaire!7</x:v>
      </x:c>
    </x:row>
    <x:row r="8">
      <x:c r="A8" s="90" t="str">
        <x:f>'Questionnaire'!A8</x:f>
        <x:v>Subprocessing</x:v>
      </x:c>
      <x:c r="B8" s="77" t="n">
        <x:f>'Questionnaire'!E8</x:f>
        <x:v>15</x:v>
      </x:c>
      <x:c r="C8" s="76" t="str">
        <x:f>'Questionnaire'!F8</x:f>
        <x:v>In Progress</x:v>
      </x:c>
      <x:c r="D8" s="95" t="n">
        <x:f>IF(C8="Complete",1,IF(C8="In Progress",0.6,0.2))</x:f>
        <x:v>0.6</x:v>
      </x:c>
      <x:c r="E8" s="95" t="n">
        <x:f>B8*D8/100</x:f>
        <x:v>0.09</x:v>
      </x:c>
      <x:c r="F8" s="78" t="str">
        <x:f>"Questionnaire!"&amp;ROW()</x:f>
        <x:v>Questionnaire!8</x:v>
      </x:c>
    </x:row>
    <x:row r="9">
      <x:c r="A9" s="90" t="str">
        <x:f>'Questionnaire'!A9</x:f>
        <x:v>Deletion</x:v>
      </x:c>
      <x:c r="B9" s="77" t="n">
        <x:f>'Questionnaire'!E9</x:f>
        <x:v>13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0.13</x:v>
      </x:c>
      <x:c r="F9" s="78" t="str">
        <x:f>"Questionnaire!"&amp;ROW()</x:f>
        <x:v>Questionnaire!9</x:v>
      </x:c>
    </x:row>
    <x:row r="10">
      <x:c r="A10" s="90" t="str">
        <x:f>'Questionnaire'!A10</x:f>
        <x:v>Quality</x:v>
      </x:c>
      <x:c r="B10" s="77" t="n">
        <x:f>'Questionnaire'!E10</x:f>
        <x:v>10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</x:v>
      </x:c>
      <x:c r="F10" s="78" t="str">
        <x:f>"Questionnaire!"&amp;ROW()</x:f>
        <x:v>Questionnaire!10</x:v>
      </x:c>
    </x:row>
    <x:row r="11">
      <x:c r="A11" s="90" t="str">
        <x:f>'Questionnaire'!A11</x:f>
        <x:v>Access</x:v>
      </x:c>
      <x:c r="B11" s="77" t="n">
        <x:f>'Questionnaire'!E11</x:f>
        <x:v>12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0.12</x:v>
      </x:c>
      <x:c r="F11" s="78" t="str">
        <x:f>"Questionnaire!"&amp;ROW()</x:f>
        <x:v>Questionnaire!11</x:v>
      </x:c>
    </x:row>
    <x:row r="12">
      <x:c r="A12" s="90" t="str">
        <x:f>'Questionnaire'!A12</x:f>
        <x:v>Incident</x:v>
      </x:c>
      <x:c r="B12" s="77" t="n">
        <x:f>'Questionnaire'!E12</x:f>
        <x:v>11</x:v>
      </x:c>
      <x:c r="C12" s="76" t="str">
        <x:f>'Questionnaire'!F12</x:f>
        <x:v>Complete</x:v>
      </x:c>
      <x:c r="D12" s="95" t="n">
        <x:f>IF(C12="Complete",1,IF(C12="In Progress",0.6,0.2))</x:f>
        <x:v>1</x:v>
      </x:c>
      <x:c r="E12" s="95" t="n">
        <x:f>B12*D12/100</x:f>
        <x:v>0.11</x:v>
      </x:c>
      <x:c r="F12" s="78" t="str">
        <x:f>"Questionnaire!"&amp;ROW()</x:f>
        <x:v>Questionnaire!12</x:v>
      </x:c>
    </x:row>
    <x:row r="13">
      <x:c r="A13" s="91" t="str">
        <x:f>'Questionnaire'!A13</x:f>
        <x:v>Assurance</x:v>
      </x:c>
      <x:c r="B13" s="94" t="n">
        <x:f>'Questionnaire'!E13</x:f>
        <x:v>9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0.018000000000000002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0.868</x:v>
      </x:c>
    </x:row>
    <x:row r="19">
      <x:c r="A19" s="85" t="str">
        <x:v>Minimum decision threshold</x:v>
      </x:c>
      <x:c r="B19" s="98" t="n">
        <x:v>0.87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Escalate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