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a4a06cfaa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ae7719021a64bc4"/>
    <x:sheet xmlns:r="http://schemas.openxmlformats.org/officeDocument/2006/relationships" name="Questionnaire" sheetId="2" r:id="R30a779a398234fdf"/>
    <x:sheet xmlns:r="http://schemas.openxmlformats.org/officeDocument/2006/relationships" name="Scoring" sheetId="3" r:id="R2ee95fda810e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fdb6bfe894c03" /><Relationship Type="http://schemas.openxmlformats.org/officeDocument/2006/relationships/theme" Target="/xl/theme/theme1.xml" Id="R5007bf4f65b647af" /><Relationship Type="http://schemas.openxmlformats.org/officeDocument/2006/relationships/sharedStrings" Target="/xl/sharedStrings.xml" Id="R9befb3e4c7d54ee4" /><Relationship Type="http://schemas.openxmlformats.org/officeDocument/2006/relationships/worksheet" Target="/xl/worksheets/sheet1.xml" Id="Rcae7719021a64bc4" /><Relationship Type="http://schemas.openxmlformats.org/officeDocument/2006/relationships/worksheet" Target="/xl/worksheets/sheet2.xml" Id="R30a779a398234fdf" /><Relationship Type="http://schemas.openxmlformats.org/officeDocument/2006/relationships/worksheet" Target="/xl/worksheets/sheet3.xml" Id="R2ee95fda810e42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HarborLink Assurance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Identity lifecycle</x:v>
      </x:c>
      <x:c r="D4" s="41" t="n">
        <x:f>COUNTIF('Questionnaire'!$F$6:$F$13,"Complete")/COUNTA('Questionnaire'!$A$6:$A$13)</x:f>
        <x:v>0.75</x:v>
      </x:c>
      <x:c r="E4" s="42" t="n">
        <x:f>'Scoring'!$B$18</x:f>
        <x:v>0.868</x:v>
      </x:c>
      <x:c r="F4" s="43" t="str">
        <x:f>'Scoring'!$B$20</x:f>
        <x:v>Accept with actions</x:v>
      </x:c>
      <x:c r="G4" s="43" t="n">
        <x:f>COUNTIF('Questionnaire'!$F$6:$F$13,"&lt;&gt;Complete")</x:f>
        <x:v>2</x:v>
      </x:c>
    </x:row>
    <x:row r="5">
      <x:c r="A5" s="8" t="str">
        <x:v>Control</x:v>
      </x:c>
      <x:c r="B5" s="14" t="str">
        <x:v>Aegis Control AC-11</x:v>
      </x:c>
    </x:row>
    <x:row r="6">
      <x:c r="A6" s="8" t="str">
        <x:v>Risk reference</x:v>
      </x:c>
      <x:c r="B6" s="14" t="str">
        <x:v>RISK-044</x:v>
      </x:c>
    </x:row>
    <x:row r="7">
      <x:c r="A7" s="8" t="str">
        <x:v>Evidence reference</x:v>
      </x:c>
      <x:c r="B7" s="14" t="str">
        <x:v>evidence set 196</x:v>
      </x:c>
    </x:row>
    <x:row r="8">
      <x:c r="A8" s="9" t="str">
        <x:v>Assessment date</x:v>
      </x:c>
      <x:c r="B8" s="16" t="n">
        <x:v>46223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identity lifecycle evidence for Aegis Control AC-11.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HarborLink Assurance | Identity lifecycle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Joiner</x:v>
      </x:c>
      <x:c r="B6" s="73" t="str">
        <x:v>Does the access request specify a role before provisioning?</x:v>
      </x:c>
      <x:c r="C6" s="73" t="str">
        <x:v>Role request workflow sample</x:v>
      </x:c>
      <x:c r="D6" s="73" t="str">
        <x:v>Sample requests identify an approved role profile.</x:v>
      </x:c>
      <x:c r="E6" s="74" t="n">
        <x:v>15</x:v>
      </x:c>
      <x:c r="F6" s="73" t="str">
        <x:v>Complete</x:v>
      </x:c>
      <x:c r="G6" s="58" t="str">
        <x:v>Role request fields are consistently populated.</x:v>
      </x:c>
    </x:row>
    <x:row r="7" ht="38" customHeight="1">
      <x:c r="A7" s="75" t="str">
        <x:v>Mover</x:v>
      </x:c>
      <x:c r="B7" s="76" t="str">
        <x:v>Are role changes re-approved when responsibilities change?</x:v>
      </x:c>
      <x:c r="C7" s="76" t="str">
        <x:v>Change approval extract</x:v>
      </x:c>
      <x:c r="D7" s="76" t="str">
        <x:v>Approval is present for reviewed transfers.</x:v>
      </x:c>
      <x:c r="E7" s="77" t="n">
        <x:v>14</x:v>
      </x:c>
      <x:c r="F7" s="76" t="str">
        <x:v>Complete</x:v>
      </x:c>
      <x:c r="G7" s="78" t="str">
        <x:v>Control evidence is timely for the sample.</x:v>
      </x:c>
    </x:row>
    <x:row r="8" ht="38" customHeight="1">
      <x:c r="A8" s="75" t="str">
        <x:v>Leaver</x:v>
      </x:c>
      <x:c r="B8" s="76" t="str">
        <x:v>Is deprovisioning confirmed against the offboarding event?</x:v>
      </x:c>
      <x:c r="C8" s="76" t="str">
        <x:v>Deprovision confirmation report</x:v>
      </x:c>
      <x:c r="D8" s="76" t="str">
        <x:v>One confirmation was recorded after the target interval.</x:v>
      </x:c>
      <x:c r="E8" s="77" t="n">
        <x:v>17</x:v>
      </x:c>
      <x:c r="F8" s="76" t="str">
        <x:v>In Progress</x:v>
      </x:c>
      <x:c r="G8" s="78" t="str">
        <x:v>Open action: document delay root cause.</x:v>
      </x:c>
    </x:row>
    <x:row r="9" ht="38" customHeight="1">
      <x:c r="A9" s="75" t="str">
        <x:v>Privileged</x:v>
      </x:c>
      <x:c r="B9" s="76" t="str">
        <x:v>Are elevated roles time-bounded and reviewed separately?</x:v>
      </x:c>
      <x:c r="C9" s="76" t="str">
        <x:v>Privileged role review</x:v>
      </x:c>
      <x:c r="D9" s="76" t="str">
        <x:v>Elevated access has expiry and reviewer notation.</x:v>
      </x:c>
      <x:c r="E9" s="77" t="n">
        <x:v>16</x:v>
      </x:c>
      <x:c r="F9" s="76" t="str">
        <x:v>Complete</x:v>
      </x:c>
      <x:c r="G9" s="78" t="str">
        <x:v>Expiry evidence meets the control objective.</x:v>
      </x:c>
    </x:row>
    <x:row r="10" ht="38" customHeight="1">
      <x:c r="A10" s="75" t="str">
        <x:v>Service</x:v>
      </x:c>
      <x:c r="B10" s="76" t="str">
        <x:v>Are non-human role profiles catalogued without credentials?</x:v>
      </x:c>
      <x:c r="C10" s="76" t="str">
        <x:v>Service-role inventory</x:v>
      </x:c>
      <x:c r="D10" s="76" t="str">
        <x:v>Inventory contains purpose and owner role only.</x:v>
      </x:c>
      <x:c r="E10" s="77" t="n">
        <x:v>10</x:v>
      </x:c>
      <x:c r="F10" s="76" t="str">
        <x:v>Complete</x:v>
      </x:c>
      <x:c r="G10" s="78" t="str">
        <x:v>No secret material is stored in this workbook.</x:v>
      </x:c>
    </x:row>
    <x:row r="11" ht="38" customHeight="1">
      <x:c r="A11" s="75" t="str">
        <x:v>Recertification</x:v>
      </x:c>
      <x:c r="B11" s="76" t="str">
        <x:v>Does the quarterly review identify inactive assignments?</x:v>
      </x:c>
      <x:c r="C11" s="76" t="str">
        <x:v>Recertification exception list</x:v>
      </x:c>
      <x:c r="D11" s="76" t="str">
        <x:v>Inactive assignments are flagged for disposition.</x:v>
      </x:c>
      <x:c r="E11" s="77" t="n">
        <x:v>11</x:v>
      </x:c>
      <x:c r="F11" s="76" t="str">
        <x:v>Complete</x:v>
      </x:c>
      <x:c r="G11" s="78" t="str">
        <x:v>Disposition records are present.</x:v>
      </x:c>
    </x:row>
    <x:row r="12" ht="38" customHeight="1">
      <x:c r="A12" s="75" t="str">
        <x:v>Segregation</x:v>
      </x:c>
      <x:c r="B12" s="76" t="str">
        <x:v>Are conflicting business roles checked before approval?</x:v>
      </x:c>
      <x:c r="C12" s="76" t="str">
        <x:v>Conflict-rule assessment</x:v>
      </x:c>
      <x:c r="D12" s="76" t="str">
        <x:v>Conflict check is documented for the sample.</x:v>
      </x:c>
      <x:c r="E12" s="77" t="n">
        <x:v>9</x:v>
      </x:c>
      <x:c r="F12" s="76" t="str">
        <x:v>Complete</x:v>
      </x:c>
      <x:c r="G12" s="78" t="str">
        <x:v>No unresolved conflicts noted.</x:v>
      </x:c>
    </x:row>
    <x:row r="13" ht="38" customHeight="1">
      <x:c r="A13" s="54" t="str">
        <x:v>Escalation</x:v>
      </x:c>
      <x:c r="B13" s="79" t="str">
        <x:v>Is an overdue identity review escalated to governance?</x:v>
      </x:c>
      <x:c r="C13" s="79" t="str">
        <x:v>Escalation procedure</x:v>
      </x:c>
      <x:c r="D13" s="79" t="str">
        <x:v>Procedure exists; test evidence is scheduled next cycle.</x:v>
      </x:c>
      <x:c r="E13" s="80" t="n">
        <x:v>8</x:v>
      </x:c>
      <x:c r="F13" s="79" t="str">
        <x:v>Needs Evidence</x:v>
      </x:c>
      <x:c r="G13" s="53" t="str">
        <x:v>Open action: retain tabletop confirmation.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Joiner</x:v>
      </x:c>
      <x:c r="B6" s="77" t="n">
        <x:f>'Questionnaire'!E6</x:f>
        <x:v>15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0.15</x:v>
      </x:c>
      <x:c r="F6" s="78" t="str">
        <x:f>"Questionnaire!"&amp;ROW()</x:f>
        <x:v>Questionnaire!6</x:v>
      </x:c>
    </x:row>
    <x:row r="7">
      <x:c r="A7" s="90" t="str">
        <x:f>'Questionnaire'!A7</x:f>
        <x:v>Mover</x:v>
      </x:c>
      <x:c r="B7" s="77" t="n">
        <x:f>'Questionnaire'!E7</x:f>
        <x:v>14</x:v>
      </x:c>
      <x:c r="C7" s="76" t="str">
        <x:f>'Questionnaire'!F7</x:f>
        <x:v>Complete</x:v>
      </x:c>
      <x:c r="D7" s="95" t="n">
        <x:f>IF(C7="Complete",1,IF(C7="In Progress",0.6,0.2))</x:f>
        <x:v>1</x:v>
      </x:c>
      <x:c r="E7" s="95" t="n">
        <x:f>B7*D7/100</x:f>
        <x:v>0.14</x:v>
      </x:c>
      <x:c r="F7" s="78" t="str">
        <x:f>"Questionnaire!"&amp;ROW()</x:f>
        <x:v>Questionnaire!7</x:v>
      </x:c>
    </x:row>
    <x:row r="8">
      <x:c r="A8" s="90" t="str">
        <x:f>'Questionnaire'!A8</x:f>
        <x:v>Leaver</x:v>
      </x:c>
      <x:c r="B8" s="77" t="n">
        <x:f>'Questionnaire'!E8</x:f>
        <x:v>17</x:v>
      </x:c>
      <x:c r="C8" s="76" t="str">
        <x:f>'Questionnaire'!F8</x:f>
        <x:v>In Progress</x:v>
      </x:c>
      <x:c r="D8" s="95" t="n">
        <x:f>IF(C8="Complete",1,IF(C8="In Progress",0.6,0.2))</x:f>
        <x:v>0.6</x:v>
      </x:c>
      <x:c r="E8" s="95" t="n">
        <x:f>B8*D8/100</x:f>
        <x:v>0.102</x:v>
      </x:c>
      <x:c r="F8" s="78" t="str">
        <x:f>"Questionnaire!"&amp;ROW()</x:f>
        <x:v>Questionnaire!8</x:v>
      </x:c>
    </x:row>
    <x:row r="9">
      <x:c r="A9" s="90" t="str">
        <x:f>'Questionnaire'!A9</x:f>
        <x:v>Privileged</x:v>
      </x:c>
      <x:c r="B9" s="77" t="n">
        <x:f>'Questionnaire'!E9</x:f>
        <x:v>16</x:v>
      </x:c>
      <x:c r="C9" s="76" t="str">
        <x:f>'Questionnaire'!F9</x:f>
        <x:v>Complete</x:v>
      </x:c>
      <x:c r="D9" s="95" t="n">
        <x:f>IF(C9="Complete",1,IF(C9="In Progress",0.6,0.2))</x:f>
        <x:v>1</x:v>
      </x:c>
      <x:c r="E9" s="95" t="n">
        <x:f>B9*D9/100</x:f>
        <x:v>0.16</x:v>
      </x:c>
      <x:c r="F9" s="78" t="str">
        <x:f>"Questionnaire!"&amp;ROW()</x:f>
        <x:v>Questionnaire!9</x:v>
      </x:c>
    </x:row>
    <x:row r="10">
      <x:c r="A10" s="90" t="str">
        <x:f>'Questionnaire'!A10</x:f>
        <x:v>Service</x:v>
      </x:c>
      <x:c r="B10" s="77" t="n">
        <x:f>'Questionnaire'!E10</x:f>
        <x:v>10</x:v>
      </x:c>
      <x:c r="C10" s="76" t="str">
        <x:f>'Questionnaire'!F10</x:f>
        <x:v>Complete</x:v>
      </x:c>
      <x:c r="D10" s="95" t="n">
        <x:f>IF(C10="Complete",1,IF(C10="In Progress",0.6,0.2))</x:f>
        <x:v>1</x:v>
      </x:c>
      <x:c r="E10" s="95" t="n">
        <x:f>B10*D10/100</x:f>
        <x:v>0.1</x:v>
      </x:c>
      <x:c r="F10" s="78" t="str">
        <x:f>"Questionnaire!"&amp;ROW()</x:f>
        <x:v>Questionnaire!10</x:v>
      </x:c>
    </x:row>
    <x:row r="11">
      <x:c r="A11" s="90" t="str">
        <x:f>'Questionnaire'!A11</x:f>
        <x:v>Recertification</x:v>
      </x:c>
      <x:c r="B11" s="77" t="n">
        <x:f>'Questionnaire'!E11</x:f>
        <x:v>11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0.11</x:v>
      </x:c>
      <x:c r="F11" s="78" t="str">
        <x:f>"Questionnaire!"&amp;ROW()</x:f>
        <x:v>Questionnaire!11</x:v>
      </x:c>
    </x:row>
    <x:row r="12">
      <x:c r="A12" s="90" t="str">
        <x:f>'Questionnaire'!A12</x:f>
        <x:v>Segregation</x:v>
      </x:c>
      <x:c r="B12" s="77" t="n">
        <x:f>'Questionnaire'!E12</x:f>
        <x:v>9</x:v>
      </x:c>
      <x:c r="C12" s="76" t="str">
        <x:f>'Questionnaire'!F12</x:f>
        <x:v>Complete</x:v>
      </x:c>
      <x:c r="D12" s="95" t="n">
        <x:f>IF(C12="Complete",1,IF(C12="In Progress",0.6,0.2))</x:f>
        <x:v>1</x:v>
      </x:c>
      <x:c r="E12" s="95" t="n">
        <x:f>B12*D12/100</x:f>
        <x:v>0.09</x:v>
      </x:c>
      <x:c r="F12" s="78" t="str">
        <x:f>"Questionnaire!"&amp;ROW()</x:f>
        <x:v>Questionnaire!12</x:v>
      </x:c>
    </x:row>
    <x:row r="13">
      <x:c r="A13" s="91" t="str">
        <x:f>'Questionnaire'!A13</x:f>
        <x:v>Escalation</x:v>
      </x:c>
      <x:c r="B13" s="94" t="n">
        <x:f>'Questionnaire'!E13</x:f>
        <x:v>8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0.016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0.868</x:v>
      </x:c>
    </x:row>
    <x:row r="19">
      <x:c r="A19" s="85" t="str">
        <x:v>Minimum decision threshold</x:v>
      </x:c>
      <x:c r="B19" s="98" t="n">
        <x:v>0.82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Accept with actions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