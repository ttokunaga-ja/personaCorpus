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f02c120a1843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f7d1fc0d91b342bb"/>
    <x:sheet xmlns:r="http://schemas.openxmlformats.org/officeDocument/2006/relationships" name="Evidence Register" sheetId="2" r:id="Rdfc01ae58fa949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9"/>
      </x:patternFill>
    </x:fill>
  </x:fills>
  <x:borders count="3">
    <x:border/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0" fontId="3" fillId="4" borderId="2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3" fillId="2" borderId="0" xfId="0" applyNumberFormat="1" applyFont="1" applyFill="1" applyBorder="1"/>
    <x:xf numFmtId="201" fontId="0" fillId="0" borderId="0" xfId="0" applyNumberFormat="1" applyFont="1" applyFill="1" applyBorder="1"/>
    <x:xf numFmtId="0" fontId="3" fillId="2" borderId="2" xfId="0" applyNumberFormat="1" applyFont="1" applyFill="1" applyBorder="1"/>
    <x:xf numFmtId="201" fontId="0" fillId="0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201" fontId="0" fillId="0" borderId="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d1307d411c4f1d" /><Relationship Type="http://schemas.openxmlformats.org/officeDocument/2006/relationships/theme" Target="/xl/theme/theme1.xml" Id="Rcd26ad3fa83a4579" /><Relationship Type="http://schemas.openxmlformats.org/officeDocument/2006/relationships/sharedStrings" Target="/xl/sharedStrings.xml" Id="R0239154b25874433" /><Relationship Type="http://schemas.openxmlformats.org/officeDocument/2006/relationships/worksheet" Target="/xl/worksheets/sheet1.xml" Id="Rf7d1fc0d91b342bb" /><Relationship Type="http://schemas.openxmlformats.org/officeDocument/2006/relationships/worksheet" Target="/xl/worksheets/sheet2.xml" Id="Rdfc01ae58fa949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8" hidden="0" customWidth="1"/>
    <x:col min="3" max="3" width="3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9.200000762939453" hidden="0" customHeight="1">
      <x:c r="A1" s="22" t="str">
        <x:v>Cobalt Harbor Systems | AC-27 Vendor Risk Control Workbook</x:v>
      </x:c>
      <x:c r="B1" s="22"/>
      <x:c r="C1" s="22"/>
      <x:c r="D1" s="4"/>
      <x:c r="E1" s="4"/>
      <x:c r="F1" s="4"/>
    </x:row>
    <x:row r="2" ht="15" hidden="0" customHeight="1">
      <x:c r="A2" s="23"/>
      <x:c r="B2" s="23"/>
      <x:c r="C2" s="23"/>
    </x:row>
    <x:row r="3" ht="15" hidden="0" customHeight="1">
      <x:c r="A3" s="24" t="str">
        <x:v>Workbook reference</x:v>
      </x:c>
      <x:c r="B3" s="25" t="str">
        <x:v>p03-full-006289</x:v>
      </x:c>
      <x:c r="C3" s="23"/>
    </x:row>
    <x:row r="4" ht="15" hidden="0" customHeight="1">
      <x:c r="A4" s="24" t="str">
        <x:v>Target review date</x:v>
      </x:c>
      <x:c r="B4" s="25" t="str">
        <x:v>2026-07-20</x:v>
      </x:c>
      <x:c r="C4" s="23"/>
    </x:row>
    <x:row r="5" ht="15" hidden="0" customHeight="1">
      <x:c r="A5" s="24" t="str">
        <x:v>Dependency source</x:v>
      </x:c>
      <x:c r="B5" s="25" t="str">
        <x:v>p03-full-000695</x:v>
      </x:c>
      <x:c r="C5" s="23"/>
    </x:row>
    <x:row r="6" ht="15" hidden="0" customHeight="1">
      <x:c r="A6" s="24" t="str">
        <x:v>Dependency context</x:v>
      </x:c>
      <x:c r="B6" s="25" t="str">
        <x:v>Subprocessor mapping | 2026-Q3</x:v>
      </x:c>
      <x:c r="C6" s="23"/>
    </x:row>
    <x:row r="7" ht="15" hidden="0" customHeight="1">
      <x:c r="A7" s="24" t="str">
        <x:v>Control</x:v>
      </x:c>
      <x:c r="B7" s="25" t="str">
        <x:v>Aegis Control AC-27</x:v>
      </x:c>
      <x:c r="C7" s="23"/>
    </x:row>
    <x:row r="8" ht="26.399999618530273" hidden="0" customHeight="1">
      <x:c r="A8" s="24" t="str">
        <x:v>Review focus</x:v>
      </x:c>
      <x:c r="B8" s="25" t="str">
        <x:v>Attestation mapping and supplier relationship boundary</x:v>
      </x:c>
      <x:c r="C8" s="23"/>
    </x:row>
    <x:row r="9" ht="15" hidden="0" customHeight="1">
      <x:c r="A9" s="24" t="str">
        <x:v>Boundary</x:v>
      </x:c>
      <x:c r="B9" s="25" t="str">
        <x:v>Synthetic evidence only; no Kio claim</x:v>
      </x:c>
      <x:c r="C9" s="23"/>
    </x:row>
    <x:row r="10" ht="15" hidden="0" customHeight="1">
      <x:c r="A10" s="23"/>
      <x:c r="B10" s="23"/>
      <x:c r="C10" s="23"/>
    </x:row>
    <x:row r="11" ht="15" hidden="0" customHeight="1">
      <x:c r="A11" s="26" t="str">
        <x:v>Metric</x:v>
      </x:c>
      <x:c r="B11" s="26" t="str">
        <x:v>Value</x:v>
      </x:c>
      <x:c r="C11" s="26" t="str">
        <x:v>Control interpretation</x:v>
      </x:c>
    </x:row>
    <x:row r="12" ht="15" hidden="0" customHeight="1">
      <x:c r="A12" s="20" t="str">
        <x:v>Privileged-role review population</x:v>
      </x:c>
      <x:c r="B12" s="20" t="n">
        <x:v>48</x:v>
      </x:c>
      <x:c r="C12" s="20" t="str">
        <x:v>Subprocessor mapping source context</x:v>
      </x:c>
    </x:row>
    <x:row r="13" ht="15" hidden="0" customHeight="1">
      <x:c r="A13" s="20" t="str">
        <x:v>Timely attestation rate</x:v>
      </x:c>
      <x:c r="B13" s="27" t="n">
        <x:f>47/B12</x:f>
        <x:v>0.9791666666666666</x:v>
      </x:c>
      <x:c r="C13" s="20" t="str">
        <x:v>47 of 48 before compensating review</x:v>
      </x:c>
    </x:row>
    <x:row r="14" ht="15" hidden="0" customHeight="1">
      <x:c r="A14" s="20" t="str">
        <x:v>Final completion rate</x:v>
      </x:c>
      <x:c r="B14" s="27" t="n">
        <x:f>48/B12</x:f>
        <x:v>1</x:v>
      </x:c>
      <x:c r="C14" s="20" t="str">
        <x:v>48 of 48 after compensating review</x:v>
      </x:c>
    </x:row>
    <x:row r="15" ht="15" hidden="0" customHeight="1">
      <x:c r="A15" s="20" t="str">
        <x:v>Evidence completeness</x:v>
      </x:c>
      <x:c r="B15" s="27" t="n">
        <x:f>24/24</x:f>
        <x:v>1</x:v>
      </x:c>
      <x:c r="C15" s="20" t="str">
        <x:v>24 of 24 verified for Subprocessor mapping</x:v>
      </x:c>
    </x:row>
    <x:row r="16" ht="15" hidden="0" customHeight="1">
      <x:c r="A16" s="20" t="str">
        <x:v>Residual rating</x:v>
      </x:c>
      <x:c r="B16" s="20" t="str">
        <x:v>Medium</x:v>
      </x:c>
      <x:c r="C16" s="20" t="str">
        <x:v>RISK-031 after bounded remediation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2" hidden="0" customWidth="1"/>
  </x:cols>
  <x:sheetData>
    <x:row r="1" ht="15" hidden="0" customHeight="1">
      <x:c r="A1" s="19" t="str">
        <x:v>Evidence ID</x:v>
      </x:c>
      <x:c r="B1" s="19" t="str">
        <x:v>Evidence type</x:v>
      </x:c>
      <x:c r="C1" s="19" t="str">
        <x:v>AC-27 check</x:v>
      </x:c>
      <x:c r="D1" s="19" t="str">
        <x:v>Owner</x:v>
      </x:c>
      <x:c r="E1" s="19" t="str">
        <x:v>Status</x:v>
      </x:c>
      <x:c r="F1" s="19" t="str">
        <x:v>Date</x:v>
      </x:c>
      <x:c r="G1" s="19" t="str">
        <x:v>Notes</x:v>
      </x:c>
    </x:row>
    <x:row r="2" ht="26.399999618530273" hidden="0" customHeight="1">
      <x:c r="A2" s="20" t="str">
        <x:v>EV-184-01</x:v>
      </x:c>
      <x:c r="B2" s="20" t="str">
        <x:v>Subprocessor mapping population summary</x:v>
      </x:c>
      <x:c r="C2" s="20" t="str">
        <x:v>48 reviewed; 47 timely</x:v>
      </x:c>
      <x:c r="D2" s="20" t="str">
        <x:v>GRC</x:v>
      </x:c>
      <x:c r="E2" s="20" t="str">
        <x:v>Verified</x:v>
      </x:c>
      <x:c r="F2" s="21" t="n">
        <x:v>46204</x:v>
      </x:c>
      <x:c r="G2" s="20" t="str">
        <x:v>Direct dependency p03-full-000695</x:v>
      </x:c>
    </x:row>
    <x:row r="3" ht="26.399999618530273" hidden="0" customHeight="1">
      <x:c r="A3" s="20" t="str">
        <x:v>EV-184-19</x:v>
      </x:c>
      <x:c r="B3" s="20" t="str">
        <x:v>Subprocessor mapping reconciliation</x:v>
      </x:c>
      <x:c r="C3" s="20" t="str">
        <x:v>Evidence set integrity</x:v>
      </x:c>
      <x:c r="D3" s="20" t="str">
        <x:v>GRC</x:v>
      </x:c>
      <x:c r="E3" s="20" t="str">
        <x:v>Verified</x:v>
      </x:c>
      <x:c r="F3" s="21" t="n">
        <x:v>46217</x:v>
      </x:c>
      <x:c r="G3" s="20" t="str">
        <x:v>Source context: 2026-Q3</x:v>
      </x:c>
    </x:row>
    <x:row r="4" ht="39.599998474121094" hidden="0" customHeight="1">
      <x:c r="A4" s="20" t="str">
        <x:v>EXC-260713-006</x:v>
      </x:c>
      <x:c r="B4" s="20" t="str">
        <x:v>Exception record</x:v>
      </x:c>
      <x:c r="C4" s="20" t="str">
        <x:v>Role separation and compensating review</x:v>
      </x:c>
      <x:c r="D4" s="20" t="str">
        <x:v>Vendor Risk</x:v>
      </x:c>
      <x:c r="E4" s="20" t="str">
        <x:v>Closed</x:v>
      </x:c>
      <x:c r="F4" s="21" t="n">
        <x:v>46217</x:v>
      </x:c>
      <x:c r="G4" s="20" t="str">
        <x:v>Attestation mapping and supplier relationship boundary</x:v>
      </x:c>
    </x:row>
    <x:row r="5" ht="26.399999618530273" hidden="0" customHeight="1">
      <x:c r="A5" s="20" t="str">
        <x:v>ACT-260713-013</x:v>
      </x:c>
      <x:c r="B5" s="20" t="str">
        <x:v>Action register</x:v>
      </x:c>
      <x:c r="C5" s="20" t="str">
        <x:v>Subprocessor mapping</x:v>
      </x:c>
      <x:c r="D5" s="20" t="str">
        <x:v>Third-Party Assurance</x:v>
      </x:c>
      <x:c r="E5" s="20" t="str">
        <x:v>Open</x:v>
      </x:c>
      <x:c r="F5" s="21" t="n">
        <x:v>46234</x:v>
      </x:c>
      <x:c r="G5" s="20" t="str">
        <x:v>Due date for bounded follow-up</x:v>
      </x:c>
    </x:row>
  </x:sheetData>
  <x:pageMargins left="0.7" right="0.7" top="0.75" bottom="0.75" header="0.3" footer="0.3"/>
</x:worksheet>
</file>