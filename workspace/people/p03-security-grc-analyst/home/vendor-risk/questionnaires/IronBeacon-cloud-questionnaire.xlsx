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4e6d8fd6b4b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01a8dada4c84344"/>
    <x:sheet xmlns:r="http://schemas.openxmlformats.org/officeDocument/2006/relationships" name="Questionnaire" sheetId="2" r:id="Rdbdff6fd1f90442b"/>
    <x:sheet xmlns:r="http://schemas.openxmlformats.org/officeDocument/2006/relationships" name="Scoring" sheetId="3" r:id="R54fcde42baf549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0.0%"/>
    <x:numFmt numFmtId="203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04A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9F4F5"/>
      </x:patternFill>
    </x:fill>
    <x:fill>
      <x:patternFill patternType="solid">
        <x:fgColor rgb="FFF8FAFC"/>
      </x:patternFill>
    </x:fill>
    <x:fill>
      <x:patternFill patternType="solid">
        <x:fgColor rgb="FF007C83"/>
      </x:patternFill>
    </x:fill>
  </x:fills>
  <x:borders count="25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12304A"/>
      </x:left>
      <x:top style="thin">
        <x:color rgb="FF12304A"/>
      </x:top>
      <x:bottom style="thin">
        <x:color rgb="FF12304A"/>
      </x:bottom>
    </x:border>
    <x:border>
      <x:top style="thin">
        <x:color rgb="FF12304A"/>
      </x:top>
      <x:bottom style="thin">
        <x:color rgb="FF12304A"/>
      </x:bottom>
    </x:border>
    <x:border>
      <x:right style="thin">
        <x:color rgb="FF12304A"/>
      </x:right>
      <x:top style="thin">
        <x:color rgb="FF12304A"/>
      </x:top>
      <x:bottom style="thin">
        <x:color rgb="FF12304A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12304A"/>
      </x:left>
      <x:right style="thin">
        <x:color rgb="FFCBD5E1"/>
      </x:right>
      <x:top style="thin">
        <x:color rgb="FF12304A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12304A"/>
      </x:top>
      <x:bottom style="thin">
        <x:color rgb="FFCBD5E1"/>
      </x:bottom>
    </x:border>
    <x:border>
      <x:left style="thin">
        <x:color rgb="FFCBD5E1"/>
      </x:left>
      <x:top style="thin">
        <x:color rgb="FF12304A"/>
      </x:top>
      <x:bottom style="thin">
        <x:color rgb="FFCBD5E1"/>
      </x:bottom>
    </x:border>
    <x:border>
      <x:left style="thin">
        <x:color rgb="FF12304A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2304A"/>
      </x:left>
      <x:right style="thin">
        <x:color rgb="FFCBD5E1"/>
      </x:right>
      <x:top style="thin">
        <x:color rgb="FFCBD5E1"/>
      </x:top>
      <x:bottom style="thin">
        <x:color rgb="FF12304A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12304A"/>
      </x:bottom>
    </x:border>
    <x:border>
      <x:left style="thin">
        <x:color rgb="FFCBD5E1"/>
      </x:left>
      <x:top style="thin">
        <x:color rgb="FFCBD5E1"/>
      </x:top>
      <x:bottom style="thin">
        <x:color rgb="FF12304A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0" fillId="4" borderId="0" xfId="0" applyNumberFormat="1" applyFont="1" applyFill="1" applyBorder="1"/>
    <x:xf numFmtId="201" fontId="4" fillId="4" borderId="0" xfId="0" applyNumberFormat="1" applyFont="1" applyFill="1" applyBorder="1"/>
    <x:xf numFmtId="202" fontId="4" fillId="4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7" xfId="0" applyNumberFormat="1" applyFont="1" applyFill="1" applyBorder="1"/>
    <x:xf numFmtId="202" fontId="4" fillId="4" borderId="7" xfId="0" applyNumberFormat="1" applyFont="1" applyFill="1" applyBorder="1"/>
    <x:xf numFmtId="0" fontId="4" fillId="4" borderId="7" xfId="0" applyNumberFormat="1" applyFont="1" applyFill="1" applyBorder="1"/>
    <x:xf numFmtId="201" fontId="4" fillId="4" borderId="7" xfId="0" applyNumberFormat="1" applyFont="1" applyFill="1" applyBorder="1" applyAlignment="1">
      <x:alignment horizontal="center"/>
    </x:xf>
    <x:xf numFmtId="202" fontId="4" fillId="4" borderId="7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3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3" fontId="0" fillId="0" borderId="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3" fontId="0" fillId="0" borderId="17" xfId="0" applyNumberFormat="1" applyFont="1" applyFill="1" applyBorder="1" applyAlignment="1">
      <x:alignment wrapText="1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/>
    <x:xf numFmtId="0" fontId="0" fillId="0" borderId="7" xfId="0" applyNumberFormat="1" applyFont="1" applyFill="1" applyBorder="1"/>
    <x:xf numFmtId="0" fontId="0" fillId="0" borderId="16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203" fontId="0" fillId="0" borderId="23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202" fontId="0" fillId="0" borderId="23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/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e60c322be9477f" /><Relationship Type="http://schemas.openxmlformats.org/officeDocument/2006/relationships/theme" Target="/xl/theme/theme1.xml" Id="Rd2e85b68452244a8" /><Relationship Type="http://schemas.openxmlformats.org/officeDocument/2006/relationships/sharedStrings" Target="/xl/sharedStrings.xml" Id="R867ae6b1e6cc4298" /><Relationship Type="http://schemas.openxmlformats.org/officeDocument/2006/relationships/worksheet" Target="/xl/worksheets/sheet1.xml" Id="Rf01a8dada4c84344" /><Relationship Type="http://schemas.openxmlformats.org/officeDocument/2006/relationships/worksheet" Target="/xl/worksheets/sheet2.xml" Id="Rdbdff6fd1f90442b" /><Relationship Type="http://schemas.openxmlformats.org/officeDocument/2006/relationships/worksheet" Target="/xl/worksheets/sheet3.xml" Id="R54fcde42baf549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" hidden="0" customWidth="1"/>
  </x:cols>
  <x:sheetData>
    <x:row r="1" ht="30" customHeight="1">
      <x:c r="A1" s="4" t="str">
        <x:v>Cobalt Harbor Systems | Vendor Risk Questionnaire</x:v>
      </x:c>
      <x:c r="B1" s="4"/>
      <x:c r="C1" s="4"/>
      <x:c r="D1" s="4"/>
      <x:c r="E1" s="4"/>
      <x:c r="F1" s="4"/>
      <x:c r="G1" s="4"/>
      <x:c r="H1" s="4"/>
    </x:row>
    <x:row r="3">
      <x:c r="A3" s="7" t="str">
        <x:v>Vendor</x:v>
      </x:c>
      <x:c r="B3" s="13" t="str">
        <x:v>IronBeacon Cloud Desk</x:v>
      </x:c>
      <x:c r="D3" s="27" t="str">
        <x:v>Completion</x:v>
      </x:c>
      <x:c r="E3" s="28" t="str">
        <x:v>Weighted score</x:v>
      </x:c>
      <x:c r="F3" s="28" t="str">
        <x:v>Decision</x:v>
      </x:c>
      <x:c r="G3" s="29" t="str">
        <x:v>Open actions</x:v>
      </x:c>
    </x:row>
    <x:row r="4">
      <x:c r="A4" s="8" t="str">
        <x:v>Review focus</x:v>
      </x:c>
      <x:c r="B4" s="14" t="str">
        <x:v>Cloud configuration</x:v>
      </x:c>
      <x:c r="D4" s="41" t="n">
        <x:f>COUNTIF('Questionnaire'!$F$6:$F$13,"Complete")/COUNTA('Questionnaire'!$A$6:$A$13)</x:f>
        <x:v>0.625</x:v>
      </x:c>
      <x:c r="E4" s="42" t="n">
        <x:f>'Scoring'!$B$18</x:f>
        <x:v>0.812</x:v>
      </x:c>
      <x:c r="F4" s="43" t="str">
        <x:f>'Scoring'!$B$20</x:f>
        <x:v>Accept with actions</x:v>
      </x:c>
      <x:c r="G4" s="43" t="n">
        <x:f>COUNTIF('Questionnaire'!$F$6:$F$13,"&lt;&gt;Complete")</x:f>
        <x:v>3</x:v>
      </x:c>
    </x:row>
    <x:row r="5">
      <x:c r="A5" s="8" t="str">
        <x:v>Control</x:v>
      </x:c>
      <x:c r="B5" s="14" t="str">
        <x:v>Aegis Control AC-18</x:v>
      </x:c>
    </x:row>
    <x:row r="6">
      <x:c r="A6" s="8" t="str">
        <x:v>Risk reference</x:v>
      </x:c>
      <x:c r="B6" s="14" t="str">
        <x:v>RISK-061</x:v>
      </x:c>
    </x:row>
    <x:row r="7">
      <x:c r="A7" s="8" t="str">
        <x:v>Evidence reference</x:v>
      </x:c>
      <x:c r="B7" s="14" t="str">
        <x:v>evidence set 211</x:v>
      </x:c>
    </x:row>
    <x:row r="8">
      <x:c r="A8" s="9" t="str">
        <x:v>Assessment date</x:v>
      </x:c>
      <x:c r="B8" s="16" t="n">
        <x:v>46230</x:v>
      </x:c>
    </x:row>
    <x:row r="10">
      <x:c r="A10" s="45" t="str">
        <x:v>Analyst note / 分析メモ</x:v>
      </x:c>
      <x:c r="B10" s="45"/>
      <x:c r="C10" s="45"/>
      <x:c r="D10" s="45"/>
      <x:c r="E10" s="45"/>
      <x:c r="F10" s="45"/>
      <x:c r="G10" s="45"/>
      <x:c r="H10" s="45"/>
    </x:row>
    <x:row r="11">
      <x:c r="A11" s="60" t="str">
        <x:v>This synthetic review covers cloud configuration evidence for Aegis Control AC-18. Evidence is evaluated for audit readiness; no production system access, live scanning, or personal data is included.</x:v>
      </x:c>
      <x:c r="B11" s="61"/>
      <x:c r="C11" s="61"/>
      <x:c r="D11" s="61"/>
      <x:c r="E11" s="61"/>
      <x:c r="F11" s="61"/>
      <x:c r="G11" s="61"/>
      <x:c r="H11" s="62"/>
    </x:row>
    <x:row r="12">
      <x:c r="A12" s="63"/>
      <x:c r="B12" s="64"/>
      <x:c r="C12" s="64"/>
      <x:c r="D12" s="64"/>
      <x:c r="E12" s="64"/>
      <x:c r="F12" s="64"/>
      <x:c r="G12" s="64"/>
      <x:c r="H12" s="65"/>
    </x:row>
    <x:row r="13">
      <x:c r="A13" s="66"/>
      <x:c r="B13" s="67"/>
      <x:c r="C13" s="67"/>
      <x:c r="D13" s="67"/>
      <x:c r="E13" s="67"/>
      <x:c r="F13" s="67"/>
      <x:c r="G13" s="67"/>
      <x:c r="H13" s="68"/>
    </x:row>
  </x:sheetData>
  <x:mergeCells>
    <x:mergeCell ref="A1:H1"/>
    <x:mergeCell ref="A10:H10"/>
    <x:mergeCell ref="A11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0" hidden="0" customWidth="1"/>
    <x:col min="4" max="4" width="28" hidden="0" customWidth="1"/>
    <x:col min="5" max="5" width="10" hidden="0" customWidth="1"/>
    <x:col min="6" max="6" width="16" hidden="0" customWidth="1"/>
    <x:col min="7" max="7" width="32" hidden="0" customWidth="1"/>
  </x:cols>
  <x:sheetData>
    <x:row r="1" ht="28" customHeight="1">
      <x:c r="A1" s="70" t="str">
        <x:v>IronBeacon Cloud Desk | Cloud configuration control evidence review</x:v>
      </x:c>
      <x:c r="B1" s="70"/>
      <x:c r="C1" s="70"/>
      <x:c r="D1" s="70"/>
      <x:c r="E1" s="70"/>
      <x:c r="F1" s="70"/>
      <x:c r="G1" s="70"/>
    </x:row>
    <x:row r="3">
      <x:c r="A3" s="27" t="str">
        <x:v>Control objective</x:v>
      </x:c>
      <x:c r="B3" s="28" t="str">
        <x:v>Question / 質問</x:v>
      </x:c>
      <x:c r="C3" s="28" t="str">
        <x:v>Evidence expected</x:v>
      </x:c>
      <x:c r="D3" s="28" t="str">
        <x:v>Response</x:v>
      </x:c>
      <x:c r="E3" s="28" t="str">
        <x:v>Weight</x:v>
      </x:c>
      <x:c r="F3" s="28" t="str">
        <x:v>Status</x:v>
      </x:c>
      <x:c r="G3" s="29" t="str">
        <x:v>Reviewer note</x:v>
      </x:c>
    </x:row>
    <x:row r="4">
      <x:c r="A4" s="56"/>
      <x:c r="B4" s="56"/>
      <x:c r="C4" s="56"/>
      <x:c r="D4" s="56"/>
      <x:c r="E4" s="56"/>
      <x:c r="F4" s="56"/>
      <x:c r="G4" s="56"/>
    </x:row>
    <x:row r="5">
      <x:c r="A5" s="56"/>
      <x:c r="B5" s="56"/>
      <x:c r="C5" s="56"/>
      <x:c r="D5" s="56"/>
      <x:c r="E5" s="56"/>
      <x:c r="F5" s="56"/>
      <x:c r="G5" s="56"/>
    </x:row>
    <x:row r="6" ht="38" customHeight="1">
      <x:c r="A6" s="59" t="str">
        <x:v>Baseline</x:v>
      </x:c>
      <x:c r="B6" s="73" t="str">
        <x:v>Is the approved configuration baseline versioned for review?</x:v>
      </x:c>
      <x:c r="C6" s="73" t="str">
        <x:v>Baseline approval record</x:v>
      </x:c>
      <x:c r="D6" s="73" t="str">
        <x:v>Current baseline is labeled and approved.</x:v>
      </x:c>
      <x:c r="E6" s="74" t="n">
        <x:v>14</x:v>
      </x:c>
      <x:c r="F6" s="73" t="str">
        <x:v>Complete</x:v>
      </x:c>
      <x:c r="G6" s="58" t="str">
        <x:v>Version reference is clear.</x:v>
      </x:c>
    </x:row>
    <x:row r="7" ht="38" customHeight="1">
      <x:c r="A7" s="75" t="str">
        <x:v>Drift</x:v>
      </x:c>
      <x:c r="B7" s="76" t="str">
        <x:v>Does configuration drift create a reviewable exception record?</x:v>
      </x:c>
      <x:c r="C7" s="76" t="str">
        <x:v>Drift exception sample</x:v>
      </x:c>
      <x:c r="D7" s="76" t="str">
        <x:v>Exceptions are logged; two need reviewer closure notes.</x:v>
      </x:c>
      <x:c r="E7" s="77" t="n">
        <x:v>18</x:v>
      </x:c>
      <x:c r="F7" s="76" t="str">
        <x:v>In Progress</x:v>
      </x:c>
      <x:c r="G7" s="78" t="str">
        <x:v>Open action: capture closure rationale.</x:v>
      </x:c>
    </x:row>
    <x:row r="8" ht="38" customHeight="1">
      <x:c r="A8" s="75" t="str">
        <x:v>Storage</x:v>
      </x:c>
      <x:c r="B8" s="76" t="str">
        <x:v>Are storage access settings assessed against the data classification?</x:v>
      </x:c>
      <x:c r="C8" s="76" t="str">
        <x:v>Storage control assessment</x:v>
      </x:c>
      <x:c r="D8" s="76" t="str">
        <x:v>Sample settings meet the stated classification.</x:v>
      </x:c>
      <x:c r="E8" s="77" t="n">
        <x:v>15</x:v>
      </x:c>
      <x:c r="F8" s="76" t="str">
        <x:v>Complete</x:v>
      </x:c>
      <x:c r="G8" s="78" t="str">
        <x:v>No environment identifiers included.</x:v>
      </x:c>
    </x:row>
    <x:row r="9" ht="38" customHeight="1">
      <x:c r="A9" s="75" t="str">
        <x:v>Network</x:v>
      </x:c>
      <x:c r="B9" s="76" t="str">
        <x:v>Is externally exposed management access prohibited by the design?</x:v>
      </x:c>
      <x:c r="C9" s="76" t="str">
        <x:v>Architecture assurance note</x:v>
      </x:c>
      <x:c r="D9" s="76" t="str">
        <x:v>Design note documents private administration only.</x:v>
      </x:c>
      <x:c r="E9" s="77" t="n">
        <x:v>12</x:v>
      </x:c>
      <x:c r="F9" s="76" t="str">
        <x:v>Complete</x:v>
      </x:c>
      <x:c r="G9" s="78" t="str">
        <x:v>Defensive design evidence is adequate.</x:v>
      </x:c>
    </x:row>
    <x:row r="10" ht="38" customHeight="1">
      <x:c r="A10" s="75" t="str">
        <x:v>Keys</x:v>
      </x:c>
      <x:c r="B10" s="76" t="str">
        <x:v>Are encryption key ownership roles defined without key values?</x:v>
      </x:c>
      <x:c r="C10" s="76" t="str">
        <x:v>Key governance matrix</x:v>
      </x:c>
      <x:c r="D10" s="76" t="str">
        <x:v>Owner roles and rotation review are documented.</x:v>
      </x:c>
      <x:c r="E10" s="77" t="n">
        <x:v>10</x:v>
      </x:c>
      <x:c r="F10" s="76" t="str">
        <x:v>Complete</x:v>
      </x:c>
      <x:c r="G10" s="78" t="str">
        <x:v>No credentials or key material captured.</x:v>
      </x:c>
    </x:row>
    <x:row r="11" ht="38" customHeight="1">
      <x:c r="A11" s="75" t="str">
        <x:v>Logging</x:v>
      </x:c>
      <x:c r="B11" s="76" t="str">
        <x:v>Are control-relevant configuration changes retained for review?</x:v>
      </x:c>
      <x:c r="C11" s="76" t="str">
        <x:v>Change event retention summary</x:v>
      </x:c>
      <x:c r="D11" s="76" t="str">
        <x:v>Retention coverage is confirmed for the sample.</x:v>
      </x:c>
      <x:c r="E11" s="77" t="n">
        <x:v>11</x:v>
      </x:c>
      <x:c r="F11" s="76" t="str">
        <x:v>Complete</x:v>
      </x:c>
      <x:c r="G11" s="78" t="str">
        <x:v>Events are synthetic and normalized.</x:v>
      </x:c>
    </x:row>
    <x:row r="12" ht="38" customHeight="1">
      <x:c r="A12" s="75" t="str">
        <x:v>Backup</x:v>
      </x:c>
      <x:c r="B12" s="76" t="str">
        <x:v>Is recovery configuration tested against the declared objective?</x:v>
      </x:c>
      <x:c r="C12" s="76" t="str">
        <x:v>Recovery validation summary</x:v>
      </x:c>
      <x:c r="D12" s="76" t="str">
        <x:v>Validation result is recorded with one follow-up task.</x:v>
      </x:c>
      <x:c r="E12" s="77" t="n">
        <x:v>11</x:v>
      </x:c>
      <x:c r="F12" s="76" t="str">
        <x:v>In Progress</x:v>
      </x:c>
      <x:c r="G12" s="78" t="str">
        <x:v>Open action: retain next validation witness.</x:v>
      </x:c>
    </x:row>
    <x:row r="13" ht="38" customHeight="1">
      <x:c r="A13" s="54" t="str">
        <x:v>Approval</x:v>
      </x:c>
      <x:c r="B13" s="79" t="str">
        <x:v>Are emergency configuration changes retrospectively approved?</x:v>
      </x:c>
      <x:c r="C13" s="79" t="str">
        <x:v>Emergency change procedure</x:v>
      </x:c>
      <x:c r="D13" s="79" t="str">
        <x:v>Procedure exists; evidence of a drill is absent.</x:v>
      </x:c>
      <x:c r="E13" s="80" t="n">
        <x:v>9</x:v>
      </x:c>
      <x:c r="F13" s="79" t="str">
        <x:v>Needs Evidence</x:v>
      </x:c>
      <x:c r="G13" s="53" t="str">
        <x:v>Open action: document drill completion.</x:v>
      </x:c>
    </x:row>
  </x:sheetData>
  <x:mergeCells>
    <x:mergeCell ref="A1:G1"/>
  </x:mergeCells>
  <x:conditionalFormatting sqref="F6:F13">
    <x:cfRule type="containsText" dxfId="0" priority="1" operator="containsText" text="Complete"/>
    <x:cfRule type="containsText" dxfId="1" priority="2" operator="containsText" text="In Progress"/>
    <x:cfRule type="containsText" dxfId="2" priority="3" operator="containsText" text="Needs Evidence"/>
  </x:conditionalFormatting>
  <x:dataValidations count="1">
    <x:dataValidation type="list" sqref="F6:F13">
      <x:formula1>"Complete,In Progress,Needs Evidence"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</x:cols>
  <x:sheetData>
    <x:row r="1" ht="28" customHeight="1">
      <x:c r="A1" s="69" t="str">
        <x:v>Scoring model | 評価モデル</x:v>
      </x:c>
      <x:c r="B1" s="69"/>
      <x:c r="C1" s="69"/>
      <x:c r="D1" s="69"/>
      <x:c r="E1" s="69"/>
      <x:c r="F1" s="69"/>
    </x:row>
    <x:row r="3">
      <x:c r="A3" s="81" t="str">
        <x:v>Objective</x:v>
      </x:c>
      <x:c r="B3" s="82" t="str">
        <x:v>Weight</x:v>
      </x:c>
      <x:c r="C3" s="82" t="str">
        <x:v>Status</x:v>
      </x:c>
      <x:c r="D3" s="82" t="str">
        <x:v>Factor</x:v>
      </x:c>
      <x:c r="E3" s="82" t="str">
        <x:v>Weighted result</x:v>
      </x:c>
      <x:c r="F3" s="83" t="str">
        <x:v>Trace</x:v>
      </x:c>
    </x:row>
    <x:row r="4">
      <x:c r="A4" s="84"/>
      <x:c r="B4" s="85"/>
      <x:c r="C4" s="85"/>
      <x:c r="D4" s="85"/>
      <x:c r="E4" s="85"/>
      <x:c r="F4" s="86"/>
    </x:row>
    <x:row r="5">
      <x:c r="A5" s="84"/>
      <x:c r="B5" s="85"/>
      <x:c r="C5" s="85"/>
      <x:c r="D5" s="85"/>
      <x:c r="E5" s="85"/>
      <x:c r="F5" s="86"/>
    </x:row>
    <x:row r="6">
      <x:c r="A6" s="90" t="str">
        <x:f>'Questionnaire'!A6</x:f>
        <x:v>Baseline</x:v>
      </x:c>
      <x:c r="B6" s="77" t="n">
        <x:f>'Questionnaire'!E6</x:f>
        <x:v>14</x:v>
      </x:c>
      <x:c r="C6" s="76" t="str">
        <x:f>'Questionnaire'!F6</x:f>
        <x:v>Complete</x:v>
      </x:c>
      <x:c r="D6" s="95" t="n">
        <x:f>IF(C6="Complete",1,IF(C6="In Progress",0.6,0.2))</x:f>
        <x:v>1</x:v>
      </x:c>
      <x:c r="E6" s="95" t="n">
        <x:f>B6*D6/100</x:f>
        <x:v>0.14</x:v>
      </x:c>
      <x:c r="F6" s="78" t="str">
        <x:f>"Questionnaire!"&amp;ROW()</x:f>
        <x:v>Questionnaire!6</x:v>
      </x:c>
    </x:row>
    <x:row r="7">
      <x:c r="A7" s="90" t="str">
        <x:f>'Questionnaire'!A7</x:f>
        <x:v>Drift</x:v>
      </x:c>
      <x:c r="B7" s="77" t="n">
        <x:f>'Questionnaire'!E7</x:f>
        <x:v>18</x:v>
      </x:c>
      <x:c r="C7" s="76" t="str">
        <x:f>'Questionnaire'!F7</x:f>
        <x:v>In Progress</x:v>
      </x:c>
      <x:c r="D7" s="95" t="n">
        <x:f>IF(C7="Complete",1,IF(C7="In Progress",0.6,0.2))</x:f>
        <x:v>0.6</x:v>
      </x:c>
      <x:c r="E7" s="95" t="n">
        <x:f>B7*D7/100</x:f>
        <x:v>0.10799999999999998</x:v>
      </x:c>
      <x:c r="F7" s="78" t="str">
        <x:f>"Questionnaire!"&amp;ROW()</x:f>
        <x:v>Questionnaire!7</x:v>
      </x:c>
    </x:row>
    <x:row r="8">
      <x:c r="A8" s="90" t="str">
        <x:f>'Questionnaire'!A8</x:f>
        <x:v>Storage</x:v>
      </x:c>
      <x:c r="B8" s="77" t="n">
        <x:f>'Questionnaire'!E8</x:f>
        <x:v>15</x:v>
      </x:c>
      <x:c r="C8" s="76" t="str">
        <x:f>'Questionnaire'!F8</x:f>
        <x:v>Complete</x:v>
      </x:c>
      <x:c r="D8" s="95" t="n">
        <x:f>IF(C8="Complete",1,IF(C8="In Progress",0.6,0.2))</x:f>
        <x:v>1</x:v>
      </x:c>
      <x:c r="E8" s="95" t="n">
        <x:f>B8*D8/100</x:f>
        <x:v>0.15</x:v>
      </x:c>
      <x:c r="F8" s="78" t="str">
        <x:f>"Questionnaire!"&amp;ROW()</x:f>
        <x:v>Questionnaire!8</x:v>
      </x:c>
    </x:row>
    <x:row r="9">
      <x:c r="A9" s="90" t="str">
        <x:f>'Questionnaire'!A9</x:f>
        <x:v>Network</x:v>
      </x:c>
      <x:c r="B9" s="77" t="n">
        <x:f>'Questionnaire'!E9</x:f>
        <x:v>12</x:v>
      </x:c>
      <x:c r="C9" s="76" t="str">
        <x:f>'Questionnaire'!F9</x:f>
        <x:v>Complete</x:v>
      </x:c>
      <x:c r="D9" s="95" t="n">
        <x:f>IF(C9="Complete",1,IF(C9="In Progress",0.6,0.2))</x:f>
        <x:v>1</x:v>
      </x:c>
      <x:c r="E9" s="95" t="n">
        <x:f>B9*D9/100</x:f>
        <x:v>0.12</x:v>
      </x:c>
      <x:c r="F9" s="78" t="str">
        <x:f>"Questionnaire!"&amp;ROW()</x:f>
        <x:v>Questionnaire!9</x:v>
      </x:c>
    </x:row>
    <x:row r="10">
      <x:c r="A10" s="90" t="str">
        <x:f>'Questionnaire'!A10</x:f>
        <x:v>Keys</x:v>
      </x:c>
      <x:c r="B10" s="77" t="n">
        <x:f>'Questionnaire'!E10</x:f>
        <x:v>10</x:v>
      </x:c>
      <x:c r="C10" s="76" t="str">
        <x:f>'Questionnaire'!F10</x:f>
        <x:v>Complete</x:v>
      </x:c>
      <x:c r="D10" s="95" t="n">
        <x:f>IF(C10="Complete",1,IF(C10="In Progress",0.6,0.2))</x:f>
        <x:v>1</x:v>
      </x:c>
      <x:c r="E10" s="95" t="n">
        <x:f>B10*D10/100</x:f>
        <x:v>0.1</x:v>
      </x:c>
      <x:c r="F10" s="78" t="str">
        <x:f>"Questionnaire!"&amp;ROW()</x:f>
        <x:v>Questionnaire!10</x:v>
      </x:c>
    </x:row>
    <x:row r="11">
      <x:c r="A11" s="90" t="str">
        <x:f>'Questionnaire'!A11</x:f>
        <x:v>Logging</x:v>
      </x:c>
      <x:c r="B11" s="77" t="n">
        <x:f>'Questionnaire'!E11</x:f>
        <x:v>11</x:v>
      </x:c>
      <x:c r="C11" s="76" t="str">
        <x:f>'Questionnaire'!F11</x:f>
        <x:v>Complete</x:v>
      </x:c>
      <x:c r="D11" s="95" t="n">
        <x:f>IF(C11="Complete",1,IF(C11="In Progress",0.6,0.2))</x:f>
        <x:v>1</x:v>
      </x:c>
      <x:c r="E11" s="95" t="n">
        <x:f>B11*D11/100</x:f>
        <x:v>0.11</x:v>
      </x:c>
      <x:c r="F11" s="78" t="str">
        <x:f>"Questionnaire!"&amp;ROW()</x:f>
        <x:v>Questionnaire!11</x:v>
      </x:c>
    </x:row>
    <x:row r="12">
      <x:c r="A12" s="90" t="str">
        <x:f>'Questionnaire'!A12</x:f>
        <x:v>Backup</x:v>
      </x:c>
      <x:c r="B12" s="77" t="n">
        <x:f>'Questionnaire'!E12</x:f>
        <x:v>11</x:v>
      </x:c>
      <x:c r="C12" s="76" t="str">
        <x:f>'Questionnaire'!F12</x:f>
        <x:v>In Progress</x:v>
      </x:c>
      <x:c r="D12" s="95" t="n">
        <x:f>IF(C12="Complete",1,IF(C12="In Progress",0.6,0.2))</x:f>
        <x:v>0.6</x:v>
      </x:c>
      <x:c r="E12" s="95" t="n">
        <x:f>B12*D12/100</x:f>
        <x:v>0.066</x:v>
      </x:c>
      <x:c r="F12" s="78" t="str">
        <x:f>"Questionnaire!"&amp;ROW()</x:f>
        <x:v>Questionnaire!12</x:v>
      </x:c>
    </x:row>
    <x:row r="13">
      <x:c r="A13" s="91" t="str">
        <x:f>'Questionnaire'!A13</x:f>
        <x:v>Approval</x:v>
      </x:c>
      <x:c r="B13" s="94" t="n">
        <x:f>'Questionnaire'!E13</x:f>
        <x:v>9</x:v>
      </x:c>
      <x:c r="C13" s="92" t="str">
        <x:f>'Questionnaire'!F13</x:f>
        <x:v>Needs Evidence</x:v>
      </x:c>
      <x:c r="D13" s="96" t="n">
        <x:f>IF(C13="Complete",1,IF(C13="In Progress",0.6,0.2))</x:f>
        <x:v>0.2</x:v>
      </x:c>
      <x:c r="E13" s="96" t="n">
        <x:f>B13*D13/100</x:f>
        <x:v>0.018000000000000002</x:v>
      </x:c>
      <x:c r="F13" s="93" t="str">
        <x:f>"Questionnaire!"&amp;ROW()</x:f>
        <x:v>Questionnaire!13</x:v>
      </x:c>
    </x:row>
    <x:row r="16">
      <x:c r="A16" s="97" t="str">
        <x:v>Quality check</x:v>
      </x:c>
      <x:c r="B16" s="97" t="str">
        <x:v>Value</x:v>
      </x:c>
    </x:row>
    <x:row r="17">
      <x:c r="A17" s="85" t="str">
        <x:v>Total weight</x:v>
      </x:c>
      <x:c r="B17" s="85" t="n">
        <x:f>SUM(B6:B13)</x:f>
        <x:v>100</x:v>
      </x:c>
    </x:row>
    <x:row r="18">
      <x:c r="A18" s="85" t="str">
        <x:v>Weighted score</x:v>
      </x:c>
      <x:c r="B18" s="98" t="n">
        <x:f>SUM(E6:E13)</x:f>
        <x:v>0.812</x:v>
      </x:c>
    </x:row>
    <x:row r="19">
      <x:c r="A19" s="85" t="str">
        <x:v>Minimum decision threshold</x:v>
      </x:c>
      <x:c r="B19" s="98" t="n">
        <x:v>0.8</x:v>
      </x:c>
    </x:row>
    <x:row r="20">
      <x:c r="A20" s="85" t="str">
        <x:v>Decision</x:v>
      </x:c>
      <x:c r="B20" s="85" t="str">
        <x:f>IF(B17&lt;&gt;100,"Review weights",IF(B18&gt;=B19,"Accept with actions","Escalate"))</x:f>
        <x:v>Accept with actions</x:v>
      </x:c>
    </x:row>
  </x:sheetData>
  <x:mergeCells>
    <x:mergeCell ref="A1:F1"/>
  </x:mergeCells>
  <x:conditionalFormatting sqref="B20:B20">
    <x:cfRule type="containsText" dxfId="3" priority="1" operator="containsText" text="Accept"/>
  </x:conditionalFormatting>
  <x:pageMargins left="0.7" right="0.7" top="0.75" bottom="0.75" header="0.3" footer="0.3"/>
</x:worksheet>
</file>