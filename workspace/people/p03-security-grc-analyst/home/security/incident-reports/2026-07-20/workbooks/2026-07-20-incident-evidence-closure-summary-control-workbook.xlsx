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15a173fe6e242a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ntrol Review" sheetId="1" r:id="R9d57d384ed134f52"/>
    <x:sheet xmlns:r="http://schemas.openxmlformats.org/officeDocument/2006/relationships" name="Evidence Basis" sheetId="2" r:id="R7c67cc55048f434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"/>
    <x:numFmt numFmtId="201" formatCode="0.0%"/>
  </x:numFmts>
  <x:fonts count="5">
    <x:font>
      <x:sz val="11"/>
      <x:name val="Carlito"/>
    </x:font>
    <x:font>
      <x:b/>
      <x:sz val="14"/>
      <x:color rgb="FFFFFFFF"/>
      <x:name val="Carlito"/>
    </x:font>
    <x:font>
      <x:b/>
      <x:sz val="11"/>
      <x:color rgb="FF1F4D78"/>
      <x:name val="Carlito"/>
    </x:font>
    <x:font>
      <x:b/>
      <x:sz val="11"/>
      <x:color rgb="FFFFFFFF"/>
      <x:name val="Carlito"/>
    </x:font>
    <x:font>
      <x:b/>
      <x:sz val="13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0B2545"/>
      </x:patternFill>
    </x:fill>
    <x:fill>
      <x:patternFill patternType="solid">
        <x:fgColor rgb="FFE8EEF5"/>
      </x:patternFill>
    </x:fill>
    <x:fill>
      <x:patternFill patternType="solid">
        <x:fgColor rgb="FF1F4D78"/>
      </x:patternFill>
    </x:fill>
  </x:fills>
  <x:borders count="3">
    <x:border/>
    <x:border>
      <x:left style="thin">
        <x:color rgb="FFC7D2E0"/>
      </x:left>
      <x:right style="thin">
        <x:color rgb="FFC7D2E0"/>
      </x:right>
      <x:top style="thin">
        <x:color rgb="FFC7D2E0"/>
      </x:top>
      <x:bottom style="thin">
        <x:color rgb="FFC7D2E0"/>
      </x:bottom>
    </x:border>
    <x:border>
      <x:left style="thin">
        <x:color rgb="FFD9E2EC"/>
      </x:left>
      <x:right style="thin">
        <x:color rgb="FFD9E2EC"/>
      </x:right>
      <x:top style="thin">
        <x:color rgb="FFD9E2EC"/>
      </x:top>
      <x:bottom style="thin">
        <x:color rgb="FFD9E2EC"/>
      </x:bottom>
    </x:border>
  </x:borders>
  <x:cellStyleXfs count="1">
    <x:xf numFmtId="0" fontId="0" fillId="0" borderId="0"/>
  </x:cellStyleXfs>
  <x:cellXfs count="2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0" fillId="0" borderId="1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0" fontId="3" fillId="4" borderId="1" xfId="0" applyNumberFormat="1" applyFont="1" applyFill="1" applyBorder="1" applyAlignment="1">
      <x:alignment horizontal="center"/>
    </x:xf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0" fontId="0" fillId="3" borderId="1" xfId="0" applyNumberFormat="1" applyFont="1" applyFill="1" applyBorder="1"/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2" fillId="3" borderId="2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84d29792f2d438b" /><Relationship Type="http://schemas.openxmlformats.org/officeDocument/2006/relationships/theme" Target="/xl/theme/theme1.xml" Id="R85199416716245df" /><Relationship Type="http://schemas.openxmlformats.org/officeDocument/2006/relationships/sharedStrings" Target="/xl/sharedStrings.xml" Id="Ra184bf6917294627" /><Relationship Type="http://schemas.openxmlformats.org/officeDocument/2006/relationships/worksheet" Target="/xl/worksheets/sheet1.xml" Id="R9d57d384ed134f52" /><Relationship Type="http://schemas.openxmlformats.org/officeDocument/2006/relationships/worksheet" Target="/xl/worksheets/sheet2.xml" Id="R7c67cc55048f434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24" hidden="0" customWidth="1"/>
    <x:col min="3" max="3" width="34" hidden="0" customWidth="1"/>
    <x:col min="4" max="4" width="18" hidden="0" customWidth="1"/>
  </x:cols>
  <x:sheetData>
    <x:row r="1" ht="16.799999237060547" hidden="0" customHeight="1">
      <x:c r="A1" s="4" t="str">
        <x:v>Aegis Control AC-27 | Synthetic evidence review</x:v>
      </x:c>
      <x:c r="B1" s="4"/>
      <x:c r="C1" s="4"/>
      <x:c r="D1" s="4"/>
      <x:c r="E1" s="4"/>
      <x:c r="F1" s="4"/>
    </x:row>
    <x:row r="2"/>
    <x:row r="3" ht="15" hidden="0" customHeight="1">
      <x:c r="A3" s="7" t="str">
        <x:v>Artifact ID</x:v>
      </x:c>
      <x:c r="B3" s="8" t="str">
        <x:v>p03-full-003663</x:v>
      </x:c>
    </x:row>
    <x:row r="4" ht="15" hidden="0" customHeight="1">
      <x:c r="A4" s="7" t="str">
        <x:v>Review focus</x:v>
      </x:c>
      <x:c r="B4" s="8" t="str">
        <x:v>Closure summary</x:v>
      </x:c>
    </x:row>
    <x:row r="5" ht="15" hidden="0" customHeight="1">
      <x:c r="A5" s="7" t="str">
        <x:v>Review rationale</x:v>
      </x:c>
      <x:c r="B5" s="8" t="str">
        <x:v>confirm timeline across minimization</x:v>
      </x:c>
    </x:row>
    <x:row r="6" ht="15" hidden="0" customHeight="1">
      <x:c r="A6" s="7" t="str">
        <x:v>Case</x:v>
      </x:c>
      <x:c r="B6" s="8" t="str">
        <x:v>CASE-260713-184</x:v>
      </x:c>
    </x:row>
    <x:row r="7" ht="15" hidden="0" customHeight="1">
      <x:c r="A7" s="7" t="str">
        <x:v>Control</x:v>
      </x:c>
      <x:c r="B7" s="8" t="str">
        <x:v>Aegis Control AC-27</x:v>
      </x:c>
    </x:row>
    <x:row r="8" ht="15" hidden="0" customHeight="1">
      <x:c r="A8" s="7" t="str">
        <x:v>Evidence set</x:v>
      </x:c>
      <x:c r="B8" s="8" t="str">
        <x:v>184 (synthetic)</x:v>
      </x:c>
    </x:row>
    <x:row r="9" ht="15" hidden="0" customHeight="1">
      <x:c r="A9" s="7" t="str">
        <x:v>Residual risk</x:v>
      </x:c>
      <x:c r="B9" s="8" t="str">
        <x:v>Medium</x:v>
      </x:c>
    </x:row>
    <x:row r="10" ht="15" hidden="0" customHeight="1">
      <x:c r="A10" s="7" t="str">
        <x:v>Foundation dependency</x:v>
      </x:c>
      <x:c r="B10" s="8" t="str">
        <x:v>p03-full-000249</x:v>
      </x:c>
    </x:row>
    <x:row r="11" ht="15" hidden="0" customHeight="1">
      <x:c r="A11" s="12" t="str">
        <x:v>Measure</x:v>
      </x:c>
      <x:c r="B11" s="12" t="str">
        <x:v>Value</x:v>
      </x:c>
      <x:c r="C11" s="12" t="str">
        <x:v>Review note</x:v>
      </x:c>
      <x:c r="D11" s="12" t="str">
        <x:v>Status</x:v>
      </x:c>
    </x:row>
    <x:row r="12" ht="15" hidden="0" customHeight="1">
      <x:c r="A12" s="8" t="str">
        <x:v>Privileged-role records</x:v>
      </x:c>
      <x:c r="B12" s="13" t="n">
        <x:v>48</x:v>
      </x:c>
      <x:c r="C12" s="23" t="str">
        <x:v>Source review population</x:v>
      </x:c>
      <x:c r="D12" s="8" t="str">
        <x:v>Verified</x:v>
      </x:c>
    </x:row>
    <x:row r="13" ht="15" hidden="0" customHeight="1">
      <x:c r="A13" s="8" t="str">
        <x:v>Timely attestations</x:v>
      </x:c>
      <x:c r="B13" s="13" t="n">
        <x:v>47</x:v>
      </x:c>
      <x:c r="C13" s="23" t="str">
        <x:v>Before compensating review</x:v>
      </x:c>
      <x:c r="D13" s="8" t="str">
        <x:v>Verified</x:v>
      </x:c>
    </x:row>
    <x:row r="14" ht="15" hidden="0" customHeight="1">
      <x:c r="A14" s="8" t="str">
        <x:v>Final completion</x:v>
      </x:c>
      <x:c r="B14" s="13" t="n">
        <x:v>48</x:v>
      </x:c>
      <x:c r="C14" s="23" t="str">
        <x:v>After compensating review</x:v>
      </x:c>
      <x:c r="D14" s="8" t="str">
        <x:v>Verified</x:v>
      </x:c>
    </x:row>
    <x:row r="15" ht="34" hidden="0" customHeight="1">
      <x:c r="A15" s="8" t="str">
        <x:v>Evidence items</x:v>
      </x:c>
      <x:c r="B15" s="8" t="n">
        <x:v>24</x:v>
      </x:c>
      <x:c r="C15" s="23" t="str">
        <x:v>12 attestations; 6 approvals; 4 checksum manifests; 2 exception records</x:v>
      </x:c>
      <x:c r="D15" s="8" t="str">
        <x:v>Verified</x:v>
      </x:c>
    </x:row>
    <x:row r="16"/>
    <x:row r="17" ht="15" hidden="0" customHeight="1">
      <x:c r="A17" s="7" t="str">
        <x:v>Completion calculation</x:v>
      </x:c>
      <x:c r="B17" s="7" t="str">
        <x:v>Final rate</x:v>
      </x:c>
      <x:c r="C17" s="7" t="str">
        <x:v>Control boundary</x:v>
      </x:c>
    </x:row>
    <x:row r="18" ht="15" hidden="0" customHeight="1">
      <x:c r="A18" s="8" t="n">
        <x:f>B14/B12</x:f>
        <x:v>1</x:v>
      </x:c>
      <x:c r="B18" s="15" t="n">
        <x:f>B14/B12</x:f>
        <x:v>1</x:v>
      </x:c>
      <x:c r="C18" s="8" t="str">
        <x:v>Defensive evidence only; no Kio claim</x:v>
      </x:c>
    </x:row>
  </x:sheetData>
  <x:mergeCells>
    <x:mergeCell ref="A1:F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3.88999938964844" hidden="0" customWidth="1"/>
    <x:col min="2" max="2" width="51.88999938964844" hidden="0" customWidth="1"/>
  </x:cols>
  <x:sheetData>
    <x:row r="1" ht="15.600000381469727" hidden="0" customHeight="1">
      <x:c r="A1" s="18" t="str">
        <x:v>Evidence Basis | Scope-local foundation record</x:v>
      </x:c>
      <x:c r="B1" s="18"/>
    </x:row>
    <x:row r="2"/>
    <x:row r="3" ht="15" hidden="0" customHeight="1">
      <x:c r="A3" s="21" t="str">
        <x:v>Artifact review date/period</x:v>
      </x:c>
      <x:c r="B3" s="22" t="str">
        <x:v>2026-07-20</x:v>
      </x:c>
    </x:row>
    <x:row r="4" ht="15" hidden="0" customHeight="1">
      <x:c r="A4" s="21" t="str">
        <x:v>Foundation dependency</x:v>
      </x:c>
      <x:c r="B4" s="22" t="str">
        <x:v>p03-full-000249</x:v>
      </x:c>
    </x:row>
    <x:row r="5" ht="15" hidden="0" customHeight="1">
      <x:c r="A5" s="21" t="str">
        <x:v>Foundation record</x:v>
      </x:c>
      <x:c r="B5" s="22" t="str">
        <x:v>IR-000249</x:v>
      </x:c>
    </x:row>
    <x:row r="6" ht="15" hidden="0" customHeight="1">
      <x:c r="A6" s="21" t="str">
        <x:v>Foundation record date/period</x:v>
      </x:c>
      <x:c r="B6" s="22" t="str">
        <x:v>2026-07-13</x:v>
      </x:c>
    </x:row>
    <x:row r="7" ht="15" hidden="0" customHeight="1">
      <x:c r="A7" s="21" t="str">
        <x:v>Measured result</x:v>
      </x:c>
      <x:c r="B7" s="22" t="str">
        <x:v>48 reviewed / 47 timely / 48 final</x:v>
      </x:c>
    </x:row>
    <x:row r="8" ht="15" hidden="0" customHeight="1">
      <x:c r="A8" s="21" t="str">
        <x:v>Risk and disposition</x:v>
      </x:c>
      <x:c r="B8" s="22" t="str">
        <x:v>RISK-031; residual Medium; synthetic evidence retained for 18 months</x:v>
      </x:c>
    </x:row>
    <x:row r="9" ht="15" hidden="0" customHeight="1">
      <x:c r="A9" s="21" t="str">
        <x:v>Spine anchor</x:v>
      </x:c>
      <x:c r="B9" s="22" t="str">
        <x:v>Cobalt Harbor Systems | 2026-07-13 | CASE-260713-184</x:v>
      </x:c>
    </x:row>
  </x:sheetData>
  <x:mergeCells>
    <x:mergeCell ref="A1:B1"/>
  </x:mergeCells>
  <x:pageMargins left="0.7" right="0.7" top="0.75" bottom="0.75" header="0.3" footer="0.3"/>
</x:worksheet>
</file>