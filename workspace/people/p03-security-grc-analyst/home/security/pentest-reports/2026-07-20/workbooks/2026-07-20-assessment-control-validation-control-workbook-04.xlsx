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1794ef62184b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-27 Review" sheetId="1" r:id="R23544faa3a2d4ccf"/>
    <x:sheet xmlns:r="http://schemas.openxmlformats.org/officeDocument/2006/relationships" name="Evidence Notes" sheetId="2" r:id="R60c4bea81ec740f4"/>
    <x:sheet xmlns:r="http://schemas.openxmlformats.org/officeDocument/2006/relationships" name="QA v2 Traceability" sheetId="3" r:id="R49dfa87893fe43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@"/>
  </x:numFmts>
  <x:fonts count="8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color rgb="FF12324A"/>
      <x:name val="Carlito"/>
    </x:font>
    <x:font>
      <x:b/>
      <x:sz val="13"/>
      <x:color rgb="FFFFFFFF"/>
      <x:name val="Carlito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2324A"/>
      </x:patternFill>
    </x:fill>
    <x:fill>
      <x:patternFill patternType="solid">
        <x:fgColor rgb="FF0B667E"/>
      </x:patternFill>
    </x:fill>
    <x:fill>
      <x:patternFill patternType="solid">
        <x:fgColor rgb="FFDCEAF0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3">
    <x:border/>
    <x:border>
      <x:left style="thin">
        <x:color rgb="FFB9CBD6"/>
      </x:left>
      <x:right style="thin">
        <x:color rgb="FFB9CBD6"/>
      </x:right>
      <x:top style="thin">
        <x:color rgb="FFB9CBD6"/>
      </x:top>
      <x:bottom style="thin">
        <x:color rgb="FFB9CBD6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20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7" fillId="7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201" fontId="0" fillId="0" borderId="2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horizontal="left"/>
    </x:xf>
    <x:xf numFmtId="0" fontId="7" fillId="7" borderId="0" xfId="0" applyNumberFormat="1" applyFont="1" applyFill="1" applyBorder="1" applyAlignment="1">
      <x:alignment horizontal="center" wrapText="1"/>
    </x:xf>
    <x:xf numFmtId="0" fontId="7" fillId="7" borderId="0" xfId="0" applyNumberFormat="1" applyFont="1" applyFill="1" applyBorder="1" applyAlignment="1">
      <x:alignment horizontal="center" vertical="center" wrapText="1"/>
    </x:xf>
    <x:xf numFmtId="0" fontId="7" fillId="7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51c24b7f2a4403" /><Relationship Type="http://schemas.openxmlformats.org/officeDocument/2006/relationships/theme" Target="/xl/theme/theme1.xml" Id="Rb24a7222bbc9402e" /><Relationship Type="http://schemas.openxmlformats.org/officeDocument/2006/relationships/sharedStrings" Target="/xl/sharedStrings.xml" Id="R739c0c44d7d94e45" /><Relationship Type="http://schemas.openxmlformats.org/officeDocument/2006/relationships/worksheet" Target="/xl/worksheets/sheet1.xml" Id="R23544faa3a2d4ccf" /><Relationship Type="http://schemas.openxmlformats.org/officeDocument/2006/relationships/worksheet" Target="/xl/worksheets/sheet2.xml" Id="R60c4bea81ec740f4" /><Relationship Type="http://schemas.openxmlformats.org/officeDocument/2006/relationships/worksheet" Target="/xl/worksheets/sheet3.xml" Id="R49dfa87893fe437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1" hidden="0" customWidth="1"/>
  </x:cols>
  <x:sheetData>
    <x:row r="1" ht="28" customHeight="1">
      <x:c r="A1" s="4" t="str">
        <x:v>AC-27 Evidence Review Register — p03-full-004711</x:v>
      </x:c>
      <x:c r="B1" s="4"/>
      <x:c r="C1" s="4"/>
      <x:c r="D1" s="4"/>
      <x:c r="E1" s="4"/>
      <x:c r="F1" s="4"/>
    </x:row>
    <x:row r="3">
      <x:c r="A3" s="9" t="str">
        <x:v>Review element</x:v>
      </x:c>
      <x:c r="B3" s="9" t="str">
        <x:v>Expected</x:v>
      </x:c>
      <x:c r="C3" s="9" t="str">
        <x:v>Observed</x:v>
      </x:c>
      <x:c r="D3" s="9" t="str">
        <x:v>Completion rate</x:v>
      </x:c>
      <x:c r="E3" s="9" t="str">
        <x:v>Status</x:v>
      </x:c>
      <x:c r="F3" s="9" t="str">
        <x:v>Reviewer note</x:v>
      </x:c>
    </x:row>
    <x:row r="4">
      <x:c r="A4" s="11" t="str">
        <x:v>Privileged-role population</x:v>
      </x:c>
      <x:c r="B4" s="11" t="n">
        <x:v>48</x:v>
      </x:c>
      <x:c r="C4" s="11" t="n">
        <x:v>48</x:v>
      </x:c>
      <x:c r="D4" s="12" t="n">
        <x:f>C4/B4</x:f>
        <x:v>1</x:v>
      </x:c>
      <x:c r="E4" s="11" t="str">
        <x:v>Complete</x:v>
      </x:c>
      <x:c r="F4" s="11" t="str">
        <x:v>Synthetic review population only</x:v>
      </x:c>
    </x:row>
    <x:row r="5">
      <x:c r="A5" s="11" t="str">
        <x:v>Timely attestation</x:v>
      </x:c>
      <x:c r="B5" s="11" t="n">
        <x:v>48</x:v>
      </x:c>
      <x:c r="C5" s="11" t="n">
        <x:v>47</x:v>
      </x:c>
      <x:c r="D5" s="12" t="n">
        <x:f>C5/B5</x:f>
        <x:v>0.9791666666666666</x:v>
      </x:c>
      <x:c r="E5" s="11" t="str">
        <x:v>Exception</x:v>
      </x:c>
      <x:c r="F5" s="11" t="str">
        <x:v>EXC-260713-006 linked</x:v>
      </x:c>
    </x:row>
    <x:row r="6">
      <x:c r="A6" s="11" t="str">
        <x:v>Compensating review</x:v>
      </x:c>
      <x:c r="B6" s="11" t="n">
        <x:v>1</x:v>
      </x:c>
      <x:c r="C6" s="11" t="n">
        <x:v>1</x:v>
      </x:c>
      <x:c r="D6" s="12" t="n">
        <x:f>C6/B6</x:f>
        <x:v>1</x:v>
      </x:c>
      <x:c r="E6" s="11" t="str">
        <x:v>Complete</x:v>
      </x:c>
      <x:c r="F6" s="11" t="str">
        <x:v>Completed 2026-07-14</x:v>
      </x:c>
    </x:row>
    <x:row r="7">
      <x:c r="A7" s="11" t="str">
        <x:v>Evidence set 184</x:v>
      </x:c>
      <x:c r="B7" s="11" t="n">
        <x:v>24</x:v>
      </x:c>
      <x:c r="C7" s="11" t="n">
        <x:v>24</x:v>
      </x:c>
      <x:c r="D7" s="12" t="n">
        <x:f>C7/B7</x:f>
        <x:v>1</x:v>
      </x:c>
      <x:c r="E7" s="11" t="str">
        <x:v>Complete</x:v>
      </x:c>
      <x:c r="F7" s="11" t="str">
        <x:v>EV-184-19 reconciliation</x:v>
      </x:c>
    </x:row>
    <x:row r="9">
      <x:c r="A9" s="14" t="str">
        <x:v>Control context</x:v>
      </x:c>
      <x:c r="B9" s="14"/>
      <x:c r="C9" s="14"/>
      <x:c r="D9" s="14"/>
      <x:c r="E9" s="14"/>
      <x:c r="F9" s="14"/>
    </x:row>
    <x:row r="10">
      <x:c r="A10" s="15" t="str">
        <x:v>Cobalt Harbor Systems | Aegis Control AC-27 | CASE-260713-184</x:v>
      </x:c>
      <x:c r="B10" s="15"/>
      <x:c r="C10" s="15"/>
      <x:c r="D10" s="15"/>
      <x:c r="E10" s="15"/>
      <x:c r="F10" s="15"/>
    </x:row>
    <x:row r="11">
      <x:c r="A11" s="15" t="str">
        <x:v>RISK-031: incomplete quarterly privileged-access review evidence; residual Medium after bounded remediation.</x:v>
      </x:c>
      <x:c r="B11" s="15"/>
      <x:c r="C11" s="15"/>
      <x:c r="D11" s="15"/>
      <x:c r="E11" s="15"/>
      <x:c r="F11" s="15"/>
    </x:row>
    <x:row r="12">
      <x:c r="A12" s="15" t="str">
        <x:v>Synthetic defensive record only. No Kio indexing, history, chunk, search, or performance claim.</x:v>
      </x:c>
      <x:c r="B12" s="15"/>
      <x:c r="C12" s="15"/>
      <x:c r="D12" s="15"/>
      <x:c r="E12" s="15"/>
      <x:c r="F12" s="15"/>
    </x:row>
    <x:row r="14">
      <x:c r="A14" s="14" t="str">
        <x:v>Artifact-specific control-validation review</x:v>
      </x:c>
      <x:c r="B14" s="14"/>
      <x:c r="C14" s="14"/>
      <x:c r="D14" s="14"/>
      <x:c r="E14" s="14"/>
      <x:c r="F14" s="14"/>
    </x:row>
    <x:row r="15">
      <x:c r="A15" s="15" t="str">
        <x:v>Review question: Does 2026 07 20 assessment control validation control workbook xlsx preserve a bounded, reviewer-readable link between control-validation evidence and AC-27 disposition?</x:v>
      </x:c>
      <x:c r="B15" s="15"/>
      <x:c r="C15" s="15"/>
      <x:c r="D15" s="15"/>
      <x:c r="E15" s="15"/>
      <x:c r="F15" s="15"/>
    </x:row>
    <x:row r="16">
      <x:c r="A16" s="15" t="str">
        <x:v>Finding: EV-184-08 records privileged roles reviewed=48 records; timely attestations=47 records; evidence completeness=24 items for the 2026 07 20 assessment control validation control workbook xlsx evidence slice.</x:v>
      </x:c>
      <x:c r="B16" s="15"/>
      <x:c r="C16" s="15"/>
      <x:c r="D16" s="15"/>
      <x:c r="E16" s="15"/>
      <x:c r="F16" s="15"/>
    </x:row>
    <x:row r="17">
      <x:c r="A17" s="15" t="str">
        <x:v>Register lens 22: foundation sequence 847 applies the control-validation evidence context to this workbook's decision trail.</x:v>
      </x:c>
      <x:c r="B17" s="15"/>
      <x:c r="C17" s="15"/>
      <x:c r="D17" s="15"/>
      <x:c r="E17" s="15"/>
      <x:c r="F17" s="15"/>
    </x:row>
    <x:row r="18">
      <x:c r="A18" s="15" t="str">
        <x:v>Action register 22: retain the 2026 07 20 assessment control validation control workbook xlsx conclusion with its scope-local evidence, assign an independent synthetic reviewer, and route any traceability gap to RISK-031 governance.</x:v>
      </x:c>
      <x:c r="B18" s="15"/>
      <x:c r="C18" s="15"/>
      <x:c r="D18" s="15"/>
      <x:c r="E18" s="15"/>
      <x:c r="F18" s="15"/>
    </x:row>
  </x:sheetData>
  <x:mergeCells>
    <x:mergeCell ref="A1:F1"/>
    <x:mergeCell ref="A9:F9"/>
    <x:mergeCell ref="A10:F10"/>
    <x:mergeCell ref="A11:F11"/>
    <x:mergeCell ref="A12:F12"/>
    <x:mergeCell ref="A14:F14"/>
    <x:mergeCell ref="A15:F15"/>
    <x:mergeCell ref="A16:F16"/>
    <x:mergeCell ref="A17:F17"/>
    <x:mergeCell ref="A18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4" max="4" width="78" hidden="0" customWidth="1"/>
    <x:col min="1" max="1" width="24" hidden="0" customWidth="1"/>
    <x:col min="2" max="2" width="24" hidden="0" customWidth="1"/>
    <x:col min="3" max="3" width="24" hidden="0" customWidth="1"/>
  </x:cols>
  <x:sheetData>
    <x:row r="1">
      <x:c r="A1" s="17" t="str">
        <x:v>Scope-local foundation evidence excerpt</x:v>
      </x:c>
      <x:c r="B1" s="17"/>
      <x:c r="C1" s="17"/>
      <x:c r="D1" s="17"/>
    </x:row>
    <x:row r="3">
      <x:c r="A3" s="7" t="str">
        <x:v>Artifact dependency</x:v>
      </x:c>
      <x:c r="B3" s="7" t="str">
        <x:v>Foundation family</x:v>
      </x:c>
      <x:c r="C3" s="7" t="str">
        <x:v>Review use</x:v>
      </x:c>
      <x:c r="D3" s="7" t="str">
        <x:v>Source excerpt</x:v>
      </x:c>
    </x:row>
    <x:row r="4" ht="120" customHeight="1">
      <x:c r="A4" s="5" t="str">
        <x:v>p03-full-000847</x:v>
      </x:c>
      <x:c r="B4" s="5" t="str">
        <x:v>csv_tsv</x:v>
      </x:c>
      <x:c r="C4" s="5" t="str">
        <x:v>Complete focused excerpt (3 metric rows)</x:v>
      </x:c>
      <x:c r="D4" s="11" t="str">
        <x:v>privileged roles reviewed: 48 records; EV-184-08; 2026-07-14 | timely attestations: 47 records; EV-184-08; 2026-07-14 | evidence completeness: 24 items; EV-184-08; 2026-07-14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21" t="str">
        <x:v>QA v2 Traceability — Assurance Review</x:v>
      </x:c>
      <x:c r="B1" s="21"/>
      <x:c r="C1" s="21"/>
      <x:c r="D1" s="21"/>
      <x:c r="E1" s="21"/>
      <x:c r="F1" s="21"/>
      <x:c r="G1" s="21"/>
    </x:row>
    <x:row r="3" ht="32" customHeight="1">
      <x:c r="A3" s="25" t="str">
        <x:v>Purpose: record the assurance reasoning added during QA v2 for Assessment Control Validation.</x:v>
      </x:c>
      <x:c r="B3" s="25"/>
      <x:c r="C3" s="25"/>
      <x:c r="D3" s="25"/>
      <x:c r="E3" s="25"/>
      <x:c r="F3" s="25"/>
      <x:c r="G3" s="25"/>
    </x:row>
    <x:row r="5" ht="44" customHeight="1">
      <x:c r="A5" s="31" t="str">
        <x:v>Assurance question</x:v>
      </x:c>
      <x:c r="B5" s="32" t="str">
        <x:v>Does Cobalt Harbor have documented evidence that assessment control validation addresses RISK-031 before the 2026-07-20 review decision?</x:v>
      </x:c>
      <x:c r="C5" s="30"/>
      <x:c r="D5" s="30"/>
      <x:c r="E5" s="30"/>
      <x:c r="F5" s="30"/>
      <x:c r="G5" s="30"/>
    </x:row>
    <x:row r="6" ht="44" customHeight="1">
      <x:c r="A6" s="31" t="str">
        <x:v>Organization</x:v>
      </x:c>
      <x:c r="B6" s="32" t="str">
        <x:v>Cobalt Harbor is the accountable organization for this assurance record.</x:v>
      </x:c>
      <x:c r="C6" s="30"/>
      <x:c r="D6" s="30"/>
      <x:c r="E6" s="30"/>
      <x:c r="F6" s="30"/>
      <x:c r="G6" s="30"/>
    </x:row>
    <x:row r="7" ht="44" customHeight="1">
      <x:c r="A7" s="31" t="str">
        <x:v>Risk reference</x:v>
      </x:c>
      <x:c r="B7" s="32" t="str">
        <x:v>RISK-031 is assessed here as a control-evidence integrity risk requiring documented review.</x:v>
      </x:c>
      <x:c r="C7" s="30"/>
      <x:c r="D7" s="30"/>
      <x:c r="E7" s="30"/>
      <x:c r="F7" s="30"/>
      <x:c r="G7" s="30"/>
    </x:row>
    <x:row r="8" ht="44" customHeight="1">
      <x:c r="A8" s="31" t="str">
        <x:v>Review date</x:v>
      </x:c>
      <x:c r="B8" s="33" t="str">
        <x:v>2026-07-20</x:v>
      </x:c>
      <x:c r="C8" s="30"/>
      <x:c r="D8" s="30"/>
      <x:c r="E8" s="30"/>
      <x:c r="F8" s="30"/>
      <x:c r="G8" s="30"/>
    </x:row>
    <x:row r="9" ht="44" customHeight="1">
      <x:c r="A9" s="31" t="str">
        <x:v>Declared relationship</x:v>
      </x:c>
      <x:c r="B9" s="32" t="str">
        <x:v>rel.risk-031.treatment is the ledger relationship context for this workbook; its supporting linkage is maintained through declared dependency p03-full-000847 (source p03-src-000847).</x:v>
      </x:c>
      <x:c r="C9" s="30"/>
      <x:c r="D9" s="30"/>
      <x:c r="E9" s="30"/>
      <x:c r="F9" s="30"/>
      <x:c r="G9" s="30"/>
    </x:row>
    <x:row r="10" ht="58" customHeight="1">
      <x:c r="A10" s="31" t="str">
        <x:v>Evidence-register cross-reference</x:v>
      </x:c>
      <x:c r="B10" s="32" t="str">
        <x:v>AC-27 / Evidence Set 184 is the corpus evidence-register cross-reference used for assurance review. It is not asserted here as this row's declared relationship unless the ledger explicitly says so.</x:v>
      </x:c>
      <x:c r="C10" s="30"/>
      <x:c r="D10" s="30"/>
      <x:c r="E10" s="30"/>
      <x:c r="F10" s="30"/>
      <x:c r="G10" s="30"/>
    </x:row>
    <x:row r="11" ht="44" customHeight="1">
      <x:c r="A11" s="31" t="str">
        <x:v>Declared dependency</x:v>
      </x:c>
      <x:c r="B11" s="32" t="str">
        <x:v>This workbook relies on artifact p03-full-000847 (canonical source p03-src-000847) as its linked supporting record.</x:v>
      </x:c>
      <x:c r="C11" s="30"/>
      <x:c r="D11" s="30"/>
      <x:c r="E11" s="30"/>
      <x:c r="F11" s="30"/>
      <x:c r="G11" s="30"/>
    </x:row>
    <x:row r="12" ht="58" customHeight="1">
      <x:c r="A12" s="31" t="str">
        <x:v>Boundary statement</x:v>
      </x:c>
      <x:c r="B12" s="32" t="str">
        <x:v>No Kio system, service, repository, account, credential, or workflow is involved in this evidence review; the statement is a scope boundary, not an operational claim.</x:v>
      </x:c>
      <x:c r="C12" s="30"/>
      <x:c r="D12" s="30"/>
      <x:c r="E12" s="30"/>
      <x:c r="F12" s="30"/>
      <x:c r="G12" s="30"/>
    </x:row>
    <x:row r="14" ht="26" customHeight="1">
      <x:c r="A14" s="36" t="str">
        <x:v>Review linkage and decision context</x:v>
      </x:c>
      <x:c r="B14" s="36"/>
      <x:c r="C14" s="36"/>
      <x:c r="D14" s="36"/>
      <x:c r="E14" s="36"/>
      <x:c r="F14" s="36"/>
      <x:c r="G14" s="36"/>
    </x:row>
    <x:row r="15" ht="32" customHeight="1">
      <x:c r="A15" s="39" t="str">
        <x:v>Control</x:v>
      </x:c>
      <x:c r="B15" s="39" t="str">
        <x:v>Evidence set</x:v>
      </x:c>
      <x:c r="C15" s="39" t="str">
        <x:v>Accountable organization</x:v>
      </x:c>
      <x:c r="D15" s="39" t="str">
        <x:v>Review date</x:v>
      </x:c>
      <x:c r="E15" s="39" t="str">
        <x:v>Relationship</x:v>
      </x:c>
      <x:c r="F15" s="39" t="str">
        <x:v>Dependency</x:v>
      </x:c>
      <x:c r="G15" s="39" t="str">
        <x:v>Boundary decision</x:v>
      </x:c>
    </x:row>
    <x:row r="16" ht="58" customHeight="1">
      <x:c r="A16" s="32" t="str">
        <x:v>AC-27</x:v>
      </x:c>
      <x:c r="B16" s="32" t="str">
        <x:v>Evidence Set 184</x:v>
      </x:c>
      <x:c r="C16" s="32" t="str">
        <x:v>Cobalt Harbor</x:v>
      </x:c>
      <x:c r="D16" s="32" t="str">
        <x:v>2026-07-20</x:v>
      </x:c>
      <x:c r="E16" s="32" t="str">
        <x:v>rel.risk-031.treatment; dependency establishes the row-specific linkage.</x:v>
      </x:c>
      <x:c r="F16" s="32" t="str">
        <x:v>p03-full-000847; p03-src-000847</x:v>
      </x:c>
      <x:c r="G16" s="32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