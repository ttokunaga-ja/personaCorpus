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c45730560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a3b0f67f49bd4892"/>
    <x:sheet xmlns:r="http://schemas.openxmlformats.org/officeDocument/2006/relationships" name="QA v2 Traceability" sheetId="2" r:id="Rd6ecf0b318474b80"/>
  </x:sheets>
</x:workbook>
</file>

<file path=xl/sharedStrings.xml><?xml version="1.0" encoding="utf-8"?>
<x:sst xmlns:x="http://schemas.openxmlformats.org/spreadsheetml/2006/main">
  <x:si>
    <x:t xml:space="preserve">Cobalt Harbor Systems | 2026 07 14 Threat Model Control Boundary Control Workbook Xlsx</x:t>
  </x:si>
  <x:si>
    <x:t xml:space="preserve">Artifact ID</x:t>
  </x:si>
  <x:si>
    <x:t xml:space="preserve">p03-full-004489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</x:si>
  <x:si>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</x:si>
  <x:si>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</x:si>
  <x:si>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</x:si>
  <x:si>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</x:si>
  <x:si>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2026-07-14</x:t>
  </x:si>
  <x:si>
    <x:t xml:space="preserve">Direct dependency record</x:t>
  </x:si>
  <x:si>
    <x:t xml:space="preserve">p03-full-000079 / p03-src-000079</x:t>
  </x:si>
  <x:si>
    <x:t xml:space="preserve">Dependency source review date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</x:si>
  <x:si>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</x:si>
  <x:si>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</x:si>
  <x:si>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</x:si>
  <x:si>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</x:si>
  <x:si>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</x:si>
  <x:si>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</x:si>
  <x:si>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residual-risk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</x:si>
  <x:si>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</x:si>
  <x:si>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</x:si>
  <x:si>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</x:si>
  <x:si>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</x:si>
  <x:si>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</x:si>
  <x:si>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reviewer completeness: a retention decision stays bounded be evaluated from direct dependency p03-src-000079 while keeping source review date 2026-07-14 distinct from assigned period 2026-07-14?</x:t>
  </x:si>
  <x:si>
    <x:t xml:space="preserve">Decision procedure and counterexample</x:t>
  </x:si>
  <x:si>
    <x:t xml:space="preserve">Procedure: compare source topic residual-risk,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</x:si>
  <x:si>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</x:si>
  <x:si>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p03-src-000079 supports a bounded residual-risk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</x:si>
</x:sst>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806ed4a08400e" /><Relationship Type="http://schemas.openxmlformats.org/officeDocument/2006/relationships/theme" Target="/xl/theme/theme1.xml" Id="R6e8d9f0cc0e64b0f" /><Relationship Type="http://schemas.openxmlformats.org/officeDocument/2006/relationships/sharedStrings" Target="/xl/sharedStrings.xml" Id="Rfa6d40946af24826" /><Relationship Type="http://schemas.openxmlformats.org/officeDocument/2006/relationships/worksheet" Target="/xl/worksheets/sheet1.xml" Id="Ra3b0f67f49bd4892" /><Relationship Type="http://schemas.openxmlformats.org/officeDocument/2006/relationships/worksheet" Target="/xl/worksheets/sheet2.xml" Id="Rd6ecf0b318474b80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7</x:v>
      </x:c>
      <x:c r="D6" s="8" t="str">
        <x:f aca="0">IF(AND(D4=47,E4=48),"reviewer completeness: a retention decision stays bounded","Escalate evidence-chain variance")</x:f>
        <x:v>reviewer completeness: a retention decision stays bounded</x:v>
      </x:c>
      <x:c r="E6" s="8"/>
      <x:c r="F6" s="8"/>
    </x:row>
    <x:row r="7" ht="21" hidden="0" customHeight="1">
      <x:c r="A7" s="3" t="s">
        <x:v>11</x:v>
      </x:c>
      <x:c r="B7" s="4" t="s">
        <x:v>7</x:v>
      </x:c>
    </x:row>
    <x:row r="8" ht="21" hidden="0" customHeight="1">
      <x:c r="A8" s="3" t="s">
        <x:v>12</x:v>
      </x:c>
      <x:c r="B8" s="4" t="s">
        <x:v>13</x:v>
      </x:c>
    </x:row>
    <x:row r="9" ht="21" hidden="0" customHeight="1">
      <x:c r="A9" s="3" t="s">
        <x:v>14</x:v>
      </x:c>
      <x:c r="B9" s="4" t="s">
        <x:v>15</x:v>
      </x:c>
    </x:row>
    <x:row r="10" ht="27.75" hidden="0" customHeight="1">
      <x:c r="A10" s="9" t="s">
        <x:v>16</x:v>
      </x:c>
      <x:c r="B10" s="4" t="s">
        <x:v>17</x:v>
      </x:c>
    </x:row>
    <x:row r="11" ht="21" hidden="0" customHeight="1">
      <x:c r="A11" s="9" t="s">
        <x:v>18</x:v>
      </x:c>
      <x:c r="B11" s="4" t="s">
        <x:v>19</x:v>
      </x:c>
    </x:row>
    <x:row r="12" ht="21" hidden="0" customHeight="1">
      <x:c r="A12" s="9" t="s">
        <x:v>20</x:v>
      </x:c>
      <x:c r="B12" s="4" t="s">
        <x:v>21</x:v>
      </x:c>
    </x:row>
    <x:row r="13" ht="15" hidden="0" customHeight="1">
      <x:c r="A13" s="10"/>
    </x:row>
    <x:row r="14" ht="54" hidden="0" customHeight="1">
      <x:c r="A14" s="11" t="s">
        <x:v>22</x:v>
      </x:c>
      <x:c r="B14" s="11"/>
      <x:c r="C14" s="11"/>
      <x:c r="D14" s="11"/>
      <x:c r="E14" s="11"/>
      <x:c r="F14" s="11"/>
    </x:row>
    <x:row r="15" ht="54" hidden="0" customHeight="1">
      <x:c r="A15" s="12" t="s">
        <x:v>23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24</x:v>
      </x:c>
      <x:c r="B17" s="13"/>
      <x:c r="C17" s="13"/>
      <x:c r="D17" s="13"/>
      <x:c r="E17" s="13"/>
      <x:c r="F17" s="13"/>
    </x:row>
    <x:row r="18" ht="42" hidden="0" customHeight="1">
      <x:c r="A18" s="14" t="s">
        <x:v>25</x:v>
      </x:c>
      <x:c r="B18" s="14"/>
      <x:c r="C18" s="14"/>
      <x:c r="D18" s="14"/>
      <x:c r="E18" s="14"/>
      <x:c r="F18" s="14"/>
    </x:row>
    <x:row r="19" ht="15" hidden="0" customHeight="1">
      <x:c r="A19" s="13" t="s">
        <x:v>26</x:v>
      </x:c>
      <x:c r="B19" s="13"/>
      <x:c r="C19" s="13"/>
      <x:c r="D19" s="13"/>
      <x:c r="E19" s="13"/>
      <x:c r="F19" s="13"/>
    </x:row>
    <x:row r="20" ht="54" hidden="0" customHeight="1">
      <x:c r="A20" s="14" t="s">
        <x:v>27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Control Boundary.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control boundary addresses RISK-031 before the 2026-07-14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2026-07-14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p03-full-000079 (source p03-src-000079).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p03-full-000079 (canonical source p03-src-000079)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2026-07-14</x:v>
      </x:c>
      <x:c r="E16" s="30" t="str">
        <x:v>rel.ac27.evidence-184; dependency establishes the row-specific linkage.</x:v>
      </x:c>
      <x:c r="F16" s="30" t="str">
        <x:v>p03-full-000079; p03-src-000079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