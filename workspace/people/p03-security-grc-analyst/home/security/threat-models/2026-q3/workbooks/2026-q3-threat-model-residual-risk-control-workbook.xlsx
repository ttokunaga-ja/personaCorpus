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0985e1581da4ab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workbook" sheetId="1" r:id="Rd6a9ebbfa2414783"/>
    <x:sheet xmlns:r="http://schemas.openxmlformats.org/officeDocument/2006/relationships" name="QA v2 Traceability" sheetId="2" r:id="R15518b38aebd4dec"/>
  </x:sheets>
</x:workbook>
</file>

<file path=xl/sharedStrings.xml><?xml version="1.0" encoding="utf-8"?>
<x:sst xmlns:x="http://schemas.openxmlformats.org/spreadsheetml/2006/main">
  <x:si>
    <x:t xml:space="preserve">Cobalt Harbor Systems | 2026 Q3 Threat Model Residual Risk Control Workbook Xlsx</x:t>
  </x:si>
  <x:si>
    <x:t xml:space="preserve">Artifact ID</x:t>
  </x:si>
  <x:si>
    <x:t xml:space="preserve">p03-full-004339</x:t>
  </x:si>
  <x:si>
    <x:t xml:space="preserve">Timely attestations</x:t>
  </x:si>
  <x:si>
    <x:t xml:space="preserve">Final completion</x:t>
  </x:si>
  <x:si>
    <x:t xml:space="preserve">Completion rate</x:t>
  </x:si>
  <x:si>
    <x:t xml:space="preserve">Assigned review period</x:t>
  </x:si>
  <x:si>
    <x:t xml:space="preserve">2026-Q3</x:t>
  </x:si>
  <x:si>
    <x:t xml:space="preserve">Direct dependency record</x:t>
  </x:si>
  <x:si>
    <x:t xml:space="preserve">p03-full-000623 / p03-src-000623</x:t>
  </x:si>
  <x:si>
    <x:t xml:space="preserve">Dependency source review date</x:t>
  </x:si>
  <x:si>
    <x:t xml:space="preserve">2026-07-13</x:t>
  </x:si>
  <x:si>
    <x:t xml:space="preserve">Dependency source period</x:t>
  </x:si>
  <x:si>
    <x:t xml:space="preserve">Control</x:t>
  </x:si>
  <x:si>
    <x:t xml:space="preserve">AC-27</x:t>
  </x:si>
  <x:si>
    <x:t xml:space="preserve">Case</x:t>
  </x:si>
  <x:si>
    <x:t xml:space="preserve">CASE-260713-184</x:t>
  </x:si>
  <x:si>
    <x:t xml:space="preserve">Dependency source topic</x:t>
  </x:si>
  <x:si>
    <x:t xml:space="preserve">residual-risk</x:t>
  </x:si>
  <x:si>
    <x:t xml:space="preserve">Classification</x:t>
  </x:si>
  <x:si>
    <x:t xml:space="preserve">synthetic-defensive</x:t>
  </x:si>
  <x:si>
    <x:t xml:space="preserve">Residual risk</x:t>
  </x:si>
  <x:si>
    <x:t xml:space="preserve">Medium</x:t>
  </x:si>
  <x:si>
    <x:t xml:space="preserve">Dependency interpretation and test record</x:t>
  </x:si>
  <x:si>
    <x:t xml:space="preserve">Question: Can exception aging: a retention decision stays bounded be evaluated from direct dependency p03-src-000623 while keeping source review date 2026-07-13 distinct from assigned period 2026-Q3?</x:t>
  </x:si>
  <x:si>
    <x:t xml:space="preserve">Decision procedure and counterexample</x:t>
  </x:si>
  <x:si>
    <x:t xml:space="preserve">Procedure: compare source topic residual-risk, AC-27 case CASE-260713-184, and the 47-timely / 48-final measures across the 48-record population; reject a conclusion that treats final completion as timely completion.</x:t>
  </x:si>
  <x:si>
    <x:t xml:space="preserve">Observation and disposition</x:t>
  </x:si>
  <x:si>
    <x:t xml:space="preserve">Observation: p03-src-000623 supports a bounded residual-risk assessment with residual Medium. Disposition: retain the synthetic-defensive evidence boundary and route any variance through the AC-27 exception process.</x:t>
  </x:si>
</x:sst>
</file>

<file path=xl/styles.xml><?xml version="1.0" encoding="utf-8"?>
<x:styleSheet xmlns:x="http://schemas.openxmlformats.org/spreadsheetml/2006/main">
  <x:numFmts count="3">
    <x:numFmt numFmtId="164" formatCode="General"/>
    <x:numFmt numFmtId="165" formatCode="0.0%"/>
    <x:numFmt numFmtId="200" formatCode="@"/>
  </x:numFmts>
  <x:fonts count="17">
    <x:font>
      <x:sz val="10"/>
      <x:name val="Noto Sans JP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2"/>
      <x:color rgb="FFFFFFFF"/>
      <x:name val="Calibri"/>
    </x:font>
    <x:font>
      <x:b/>
      <x:sz val="11"/>
      <x:color rgb="FF1F4D78"/>
      <x:name val="Calibri"/>
    </x:font>
    <x:font>
      <x:sz val="11"/>
      <x:name val="Calibri"/>
    </x:font>
    <x:font>
      <x:b/>
      <x:sz val="11"/>
      <x:color rgb="FFFFFFFF"/>
      <x:name val="Calibri"/>
    </x:font>
    <x:font>
      <x:b/>
      <x:sz val="11"/>
      <x:color rgb="FF7A5A00"/>
      <x:name val="Calibri"/>
    </x:font>
    <x:font>
      <x:b/>
      <x:sz val="11"/>
      <x:color rgb="FF1F4D78"/>
      <x:name val="Cambria"/>
    </x:font>
    <x:font>
      <x:b/>
      <x:sz val="11"/>
      <x:color rgb="FF17365D"/>
      <x:name val="Noto Sans JP"/>
    </x:font>
    <x:font>
      <x:b/>
      <x:sz val="11"/>
      <x:color rgb="FF17365D"/>
      <x:name val="Cambria"/>
    </x:font>
    <x:font>
      <x:i/>
      <x:sz val="11"/>
      <x:color rgb="FF7A5A00"/>
      <x:name val="Cambria"/>
    </x:font>
    <x:font>
      <x:b/>
      <x:sz val="14"/>
      <x:color rgb="FFFFFFFF"/>
      <x:name val="Noto Sans JP"/>
    </x:font>
    <x:font>
      <x:i/>
      <x:sz val="10"/>
      <x:color rgb="FF1D4E6D"/>
      <x:name val="Noto Sans JP"/>
    </x:font>
    <x:font>
      <x:b/>
      <x:sz val="10"/>
      <x:color rgb="FF123047"/>
      <x:name val="Noto Sans JP"/>
    </x:font>
    <x:font>
      <x:b/>
      <x:sz val="10"/>
      <x:color rgb="FFFFFFFF"/>
      <x:name val="Noto Sans JP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8EEF5"/>
      </x:patternFill>
    </x:fill>
    <x:fill>
      <x:patternFill patternType="solid">
        <x:fgColor rgb="FF2E74B5"/>
      </x:patternFill>
    </x:fill>
    <x:fill>
      <x:patternFill patternType="solid">
        <x:fgColor rgb="FFFFF2CC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 diagonalUp="0" diagonalDown="0"/>
    <x:border diagonalUp="0" diagonalDown="0">
      <x:left style="thin">
        <x:color rgb="FFC8D3DE"/>
      </x:left>
      <x:right style="thin">
        <x:color rgb="FFC8D3DE"/>
      </x:right>
      <x:top style="thin">
        <x:color rgb="FFC8D3DE"/>
      </x:top>
      <x:bottom style="thin">
        <x:color rgb="FFC8D3DE"/>
      </x:bottom>
    </x:border>
    <x:border diagonalUp="0" diagonalDown="0"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38">
    <x:xf numFmtId="164" fontId="0" fillId="0" borderId="0" xfId="0" applyFont="0" applyBorder="0" applyAlignment="0">
      <x:alignment horizontal="general" vertical="bottom" wrapText="0"/>
    </x:xf>
    <x:xf numFmtId="164" fontId="0" fillId="0" borderId="0" xfId="0" applyFont="0" applyBorder="0" applyAlignment="1">
      <x:alignment horizontal="general" vertical="bottom" wrapText="0"/>
    </x:xf>
    <x:xf numFmtId="164" fontId="4" fillId="2" borderId="0" xfId="0" applyFont="1" applyBorder="1" applyAlignment="1">
      <x:alignment horizontal="center" vertical="bottom" wrapText="1"/>
    </x:xf>
    <x:xf numFmtId="164" fontId="5" fillId="3" borderId="1" xfId="0" applyFont="1" applyBorder="1" applyAlignment="1">
      <x:alignment horizontal="general" vertical="center" wrapText="1"/>
    </x:xf>
    <x:xf numFmtId="164" fontId="6" fillId="0" borderId="1" xfId="0" applyFont="1" applyBorder="1" applyAlignment="1">
      <x:alignment horizontal="general" vertical="center" wrapText="1"/>
    </x:xf>
    <x:xf numFmtId="164" fontId="7" fillId="4" borderId="1" xfId="0" applyFont="1" applyBorder="1" applyAlignment="1">
      <x:alignment horizontal="center" vertical="center" wrapText="1"/>
    </x:xf>
    <x:xf numFmtId="164" fontId="6" fillId="0" borderId="1" xfId="0" applyFont="1" applyBorder="1" applyAlignment="1">
      <x:alignment horizontal="general" vertical="bottom" wrapText="0"/>
    </x:xf>
    <x:xf numFmtId="165" fontId="6" fillId="0" borderId="1" xfId="0" applyFont="1" applyBorder="1" applyAlignment="1">
      <x:alignment horizontal="general" vertical="bottom" wrapText="0"/>
    </x:xf>
    <x:xf numFmtId="164" fontId="8" fillId="5" borderId="1" xfId="0" applyFont="1" applyBorder="1" applyAlignment="1">
      <x:alignment horizontal="general" vertical="bottom" wrapText="1"/>
    </x:xf>
    <x:xf numFmtId="164" fontId="9" fillId="3" borderId="1" xfId="0" applyFont="1" applyBorder="1" applyAlignment="1">
      <x:alignment horizontal="general" vertical="center" wrapText="1"/>
    </x:xf>
    <x:xf numFmtId="164" fontId="10" fillId="3" borderId="0" xfId="0" applyFont="1" applyBorder="0" applyAlignment="1">
      <x:alignment horizontal="general" vertical="bottom" wrapText="0"/>
    </x:xf>
    <x:xf numFmtId="164" fontId="11" fillId="3" borderId="0" xfId="0" applyFont="1" applyBorder="1" applyAlignment="1">
      <x:alignment horizontal="general" vertical="bottom" wrapText="1"/>
    </x:xf>
    <x:xf numFmtId="164" fontId="6" fillId="0" borderId="0" xfId="0" applyFont="1" applyBorder="1" applyAlignment="1">
      <x:alignment horizontal="general" vertical="top" wrapText="1"/>
    </x:xf>
    <x:xf numFmtId="164" fontId="11" fillId="3" borderId="0" xfId="0" applyFont="1" applyBorder="1" applyAlignment="1">
      <x:alignment horizontal="general" vertical="bottom" wrapText="0"/>
    </x:xf>
    <x:xf numFmtId="164" fontId="12" fillId="5" borderId="0" xfId="0" applyFont="1" applyBorder="1" applyAlignment="1">
      <x:alignment horizontal="general" vertical="top" wrapText="1"/>
    </x:xf>
    <x:xf numFmtId="164" fontId="0" fillId="6" borderId="0" xfId="0" applyNumberFormat="1" applyFont="1" applyFill="1" applyBorder="1" applyAlignment="1">
      <x:alignment horizontal="general" vertical="bottom" wrapText="0"/>
    </x:xf>
    <x:xf numFmtId="164" fontId="13" fillId="6" borderId="0" xfId="0" applyNumberFormat="1" applyFont="1" applyFill="1" applyBorder="1" applyAlignment="1">
      <x:alignment horizontal="general" vertical="bottom" wrapText="0"/>
    </x:xf>
    <x:xf numFmtId="164" fontId="13" fillId="6" borderId="0" xfId="0" applyNumberFormat="1" applyFont="1" applyFill="1" applyBorder="1" applyAlignment="1">
      <x:alignment horizontal="center" vertical="bottom" wrapText="0"/>
    </x:xf>
    <x:xf numFmtId="164" fontId="13" fillId="6" borderId="0" xfId="0" applyNumberFormat="1" applyFont="1" applyFill="1" applyBorder="1" applyAlignment="1">
      <x:alignment horizontal="center" vertical="center" wrapText="0"/>
    </x:xf>
    <x:xf numFmtId="164" fontId="0" fillId="7" borderId="0" xfId="0" applyNumberFormat="1" applyFont="1" applyFill="1" applyBorder="1" applyAlignment="1">
      <x:alignment horizontal="general" vertical="bottom" wrapText="0"/>
    </x:xf>
    <x:xf numFmtId="164" fontId="14" fillId="7" borderId="0" xfId="0" applyNumberFormat="1" applyFont="1" applyFill="1" applyBorder="1" applyAlignment="1">
      <x:alignment horizontal="general" vertical="bottom" wrapText="0"/>
    </x:xf>
    <x:xf numFmtId="164" fontId="14" fillId="7" borderId="0" xfId="0" applyNumberFormat="1" applyFont="1" applyFill="1" applyBorder="1" applyAlignment="1">
      <x:alignment horizontal="general" vertical="bottom" wrapText="1"/>
    </x:xf>
    <x:xf numFmtId="164" fontId="14" fillId="7" borderId="0" xfId="0" applyNumberFormat="1" applyFont="1" applyFill="1" applyBorder="1" applyAlignment="1">
      <x:alignment horizontal="general" vertical="center" wrapText="1"/>
    </x:xf>
    <x:xf numFmtId="164" fontId="0" fillId="8" borderId="0" xfId="0" applyNumberFormat="1" applyFont="1" applyFill="1" applyBorder="1" applyAlignment="1">
      <x:alignment horizontal="general" vertical="bottom" wrapText="0"/>
    </x:xf>
    <x:xf numFmtId="164" fontId="15" fillId="8" borderId="0" xfId="0" applyNumberFormat="1" applyFont="1" applyFill="1" applyBorder="1" applyAlignment="1">
      <x:alignment horizontal="general" vertical="bottom" wrapText="0"/>
    </x:xf>
    <x:xf numFmtId="164" fontId="15" fillId="8" borderId="0" xfId="0" applyNumberFormat="1" applyFont="1" applyFill="1" applyBorder="1" applyAlignment="1">
      <x:alignment horizontal="general" vertical="bottom" wrapText="1"/>
    </x:xf>
    <x:xf numFmtId="164" fontId="15" fillId="8" borderId="0" xfId="0" applyNumberFormat="1" applyFont="1" applyFill="1" applyBorder="1" applyAlignment="1">
      <x:alignment horizontal="general" vertical="top" wrapText="1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top" wrapText="1"/>
    </x:xf>
    <x:xf numFmtId="164" fontId="15" fillId="8" borderId="2" xfId="0" applyNumberFormat="1" applyFont="1" applyFill="1" applyBorder="1" applyAlignment="1">
      <x:alignment horizontal="general" vertical="top" wrapText="1"/>
    </x:xf>
    <x:xf numFmtId="164" fontId="0" fillId="0" borderId="2" xfId="0" applyNumberFormat="1" applyFont="1" applyFill="1" applyBorder="1" applyAlignment="1">
      <x:alignment horizontal="general" vertical="top" wrapText="1"/>
    </x:xf>
    <x:xf numFmtId="200" fontId="0" fillId="0" borderId="2" xfId="0" applyNumberFormat="1" applyFont="1" applyFill="1" applyBorder="1" applyAlignment="1">
      <x:alignment horizontal="general" vertical="top" wrapText="1"/>
    </x:xf>
    <x:xf numFmtId="164" fontId="0" fillId="9" borderId="0" xfId="0" applyNumberFormat="1" applyFont="1" applyFill="1" applyBorder="1" applyAlignment="1">
      <x:alignment horizontal="general" vertical="bottom" wrapText="0"/>
    </x:xf>
    <x:xf numFmtId="164" fontId="16" fillId="9" borderId="0" xfId="0" applyNumberFormat="1" applyFont="1" applyFill="1" applyBorder="1" applyAlignment="1">
      <x:alignment horizontal="general" vertical="bottom" wrapText="0"/>
    </x:xf>
    <x:xf numFmtId="164" fontId="16" fillId="9" borderId="0" xfId="0" applyNumberFormat="1" applyFont="1" applyFill="1" applyBorder="1" applyAlignment="1">
      <x:alignment horizontal="left" vertical="bottom" wrapText="0"/>
    </x:xf>
    <x:xf numFmtId="164" fontId="15" fillId="8" borderId="0" xfId="0" applyNumberFormat="1" applyFont="1" applyFill="1" applyBorder="1" applyAlignment="1">
      <x:alignment horizontal="center" vertical="bottom" wrapText="1"/>
    </x:xf>
    <x:xf numFmtId="164" fontId="15" fillId="8" borderId="0" xfId="0" applyNumberFormat="1" applyFont="1" applyFill="1" applyBorder="1" applyAlignment="1">
      <x:alignment horizontal="center" vertical="center" wrapText="1"/>
    </x:xf>
    <x:xf numFmtId="164" fontId="15" fillId="8" borderId="2" xfId="0" applyNumberFormat="1" applyFont="1" applyFill="1" applyBorder="1" applyAlignment="1">
      <x:alignment horizontal="center" vertical="center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7A5A00"/>
      <x:rgbColor rgb="FF800080"/>
      <x:rgbColor rgb="FF008080"/>
      <x:rgbColor rgb="FFC0C0C0"/>
      <x:rgbColor rgb="FF808080"/>
      <x:rgbColor rgb="FF9999FF"/>
      <x:rgbColor rgb="FF993366"/>
      <x:rgbColor rgb="FFFFF2CC"/>
      <x:rgbColor rgb="FFE8EEF5"/>
      <x:rgbColor rgb="FF660066"/>
      <x:rgbColor rgb="FFFF8080"/>
      <x:rgbColor rgb="FF0066CC"/>
      <x:rgbColor rgb="FFC8D3DE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2E74B5"/>
      <x:rgbColor rgb="FF33CCCC"/>
      <x:rgbColor rgb="FF99CC00"/>
      <x:rgbColor rgb="FFFFCC00"/>
      <x:rgbColor rgb="FFFF9900"/>
      <x:rgbColor rgb="FFFF6600"/>
      <x:rgbColor rgb="FF666699"/>
      <x:rgbColor rgb="FF969696"/>
      <x:rgbColor rgb="FF17365D"/>
      <x:rgbColor rgb="FF339966"/>
      <x:rgbColor rgb="FF003300"/>
      <x:rgbColor rgb="FF333300"/>
      <x:rgbColor rgb="FF993300"/>
      <x:rgbColor rgb="FF993366"/>
      <x:rgbColor rgb="FF1F4D78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4d07baefa254d82" /><Relationship Type="http://schemas.openxmlformats.org/officeDocument/2006/relationships/theme" Target="/xl/theme/theme1.xml" Id="Rdf390072cdd24e52" /><Relationship Type="http://schemas.openxmlformats.org/officeDocument/2006/relationships/sharedStrings" Target="/xl/sharedStrings.xml" Id="R384c9ed08b4b4e9a" /><Relationship Type="http://schemas.openxmlformats.org/officeDocument/2006/relationships/worksheet" Target="/xl/worksheets/sheet1.xml" Id="Rd6a9ebbfa2414783" /><Relationship Type="http://schemas.openxmlformats.org/officeDocument/2006/relationships/worksheet" Target="/xl/worksheets/sheet2.xml" Id="R15518b38aebd4dec" /></Relationships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1640625" defaultRowHeight="15"/>
  <x:cols>
    <x:col min="1" max="1" width="29" style="1" hidden="0" customWidth="1"/>
    <x:col min="2" max="2" width="31" style="1" hidden="0" customWidth="1"/>
    <x:col min="3" max="3" width="2.5" style="1" hidden="0" customWidth="1"/>
    <x:col min="4" max="6" width="13" style="1" hidden="0" customWidth="1"/>
  </x:cols>
  <x:sheetData>
    <x:row r="1" ht="39.75" hidden="0" customHeight="1">
      <x:c r="A1" s="2" t="s">
        <x:v>0</x:v>
      </x:c>
      <x:c r="B1" s="2"/>
      <x:c r="C1" s="2"/>
      <x:c r="D1" s="2"/>
      <x:c r="E1" s="2"/>
      <x:c r="F1" s="2"/>
    </x:row>
    <x:row r="3" ht="33.75" hidden="0" customHeight="1">
      <x:c r="A3" s="3" t="s">
        <x:v>1</x:v>
      </x:c>
      <x:c r="B3" s="4" t="s">
        <x:v>2</x:v>
      </x:c>
      <x:c r="D3" s="5" t="s">
        <x:v>3</x:v>
      </x:c>
      <x:c r="E3" s="5" t="s">
        <x:v>4</x:v>
      </x:c>
      <x:c r="F3" s="5" t="s">
        <x:v>5</x:v>
      </x:c>
    </x:row>
    <x:row r="4" ht="21" hidden="0" customHeight="1">
      <x:c r="A4" s="3" t="s">
        <x:v>6</x:v>
      </x:c>
      <x:c r="B4" s="4" t="s">
        <x:v>7</x:v>
      </x:c>
      <x:c r="D4" s="6" t="n">
        <x:v>47</x:v>
      </x:c>
      <x:c r="E4" s="6" t="n">
        <x:v>48</x:v>
      </x:c>
      <x:c r="F4" s="7" t="n">
        <x:f aca="0">E4/48</x:f>
        <x:v>1</x:v>
      </x:c>
    </x:row>
    <x:row r="5" ht="27.75" hidden="0" customHeight="1">
      <x:c r="A5" s="3" t="s">
        <x:v>8</x:v>
      </x:c>
      <x:c r="B5" s="4" t="s">
        <x:v>9</x:v>
      </x:c>
      <x:c r="D5" s="6"/>
      <x:c r="E5" s="6"/>
      <x:c r="F5" s="6"/>
    </x:row>
    <x:row r="6" ht="21" hidden="0" customHeight="1">
      <x:c r="A6" s="3" t="s">
        <x:v>10</x:v>
      </x:c>
      <x:c r="B6" s="4" t="s">
        <x:v>11</x:v>
      </x:c>
      <x:c r="D6" s="8" t="str">
        <x:f aca="0">IF(AND(D4=47,E4=48),"exception aging: a retention decision stays bounded","Escalate evidence-chain variance")</x:f>
        <x:v>exception aging: a retention decision stays bounded</x:v>
      </x:c>
      <x:c r="E6" s="8"/>
      <x:c r="F6" s="8"/>
    </x:row>
    <x:row r="7" ht="21" hidden="0" customHeight="1">
      <x:c r="A7" s="3" t="s">
        <x:v>12</x:v>
      </x:c>
      <x:c r="B7" s="4" t="s">
        <x:v>7</x:v>
      </x:c>
    </x:row>
    <x:row r="8" ht="21" hidden="0" customHeight="1">
      <x:c r="A8" s="3" t="s">
        <x:v>13</x:v>
      </x:c>
      <x:c r="B8" s="4" t="s">
        <x:v>14</x:v>
      </x:c>
    </x:row>
    <x:row r="9" ht="21" hidden="0" customHeight="1">
      <x:c r="A9" s="3" t="s">
        <x:v>15</x:v>
      </x:c>
      <x:c r="B9" s="4" t="s">
        <x:v>16</x:v>
      </x:c>
    </x:row>
    <x:row r="10" ht="27.75" hidden="0" customHeight="1">
      <x:c r="A10" s="9" t="s">
        <x:v>17</x:v>
      </x:c>
      <x:c r="B10" s="4" t="s">
        <x:v>18</x:v>
      </x:c>
    </x:row>
    <x:row r="11" ht="21" hidden="0" customHeight="1">
      <x:c r="A11" s="9" t="s">
        <x:v>19</x:v>
      </x:c>
      <x:c r="B11" s="4" t="s">
        <x:v>20</x:v>
      </x:c>
    </x:row>
    <x:row r="12" ht="21" hidden="0" customHeight="1">
      <x:c r="A12" s="9" t="s">
        <x:v>21</x:v>
      </x:c>
      <x:c r="B12" s="4" t="s">
        <x:v>22</x:v>
      </x:c>
    </x:row>
    <x:row r="13" ht="15" hidden="0" customHeight="1">
      <x:c r="A13" s="10"/>
    </x:row>
    <x:row r="14" ht="54" hidden="0" customHeight="1">
      <x:c r="A14" s="11" t="s">
        <x:v>23</x:v>
      </x:c>
      <x:c r="B14" s="11"/>
      <x:c r="C14" s="11"/>
      <x:c r="D14" s="11"/>
      <x:c r="E14" s="11"/>
      <x:c r="F14" s="11"/>
    </x:row>
    <x:row r="15" ht="54" hidden="0" customHeight="1">
      <x:c r="A15" s="12" t="s">
        <x:v>24</x:v>
      </x:c>
      <x:c r="B15" s="12"/>
      <x:c r="C15" s="12"/>
      <x:c r="D15" s="12"/>
      <x:c r="E15" s="12"/>
      <x:c r="F15" s="12"/>
    </x:row>
    <x:row r="16" ht="42" hidden="0" customHeight="1">
      <x:c r="A16" s="12"/>
      <x:c r="B16" s="12"/>
      <x:c r="C16" s="12"/>
      <x:c r="D16" s="12"/>
      <x:c r="E16" s="12"/>
      <x:c r="F16" s="12"/>
    </x:row>
    <x:row r="17" ht="15" hidden="0" customHeight="1">
      <x:c r="A17" s="13" t="s">
        <x:v>25</x:v>
      </x:c>
      <x:c r="B17" s="13"/>
      <x:c r="C17" s="13"/>
      <x:c r="D17" s="13"/>
      <x:c r="E17" s="13"/>
      <x:c r="F17" s="13"/>
    </x:row>
    <x:row r="18" ht="42" hidden="0" customHeight="1">
      <x:c r="A18" s="14" t="s">
        <x:v>26</x:v>
      </x:c>
      <x:c r="B18" s="14"/>
      <x:c r="C18" s="14"/>
      <x:c r="D18" s="14"/>
      <x:c r="E18" s="14"/>
      <x:c r="F18" s="14"/>
    </x:row>
    <x:row r="19" ht="15" hidden="0" customHeight="1">
      <x:c r="A19" s="13" t="s">
        <x:v>27</x:v>
      </x:c>
      <x:c r="B19" s="13"/>
      <x:c r="C19" s="13"/>
      <x:c r="D19" s="13"/>
      <x:c r="E19" s="13"/>
      <x:c r="F19" s="13"/>
    </x:row>
    <x:row r="20" ht="54" hidden="0" customHeight="1">
      <x:c r="A20" s="14" t="s">
        <x:v>28</x:v>
      </x:c>
      <x:c r="B20" s="14"/>
      <x:c r="C20" s="14"/>
      <x:c r="D20" s="14"/>
      <x:c r="E20" s="14"/>
      <x:c r="F20" s="14"/>
    </x:row>
    <x:row r="21" ht="15" hidden="0" customHeight="1">
      <x:c r="A21" s="14"/>
      <x:c r="B21" s="14"/>
      <x:c r="C21" s="14"/>
      <x:c r="D21" s="14"/>
      <x:c r="E21" s="14"/>
      <x:c r="F21" s="14"/>
    </x:row>
  </x:sheetData>
  <x:mergeCells>
    <x:mergeCell ref="A1:F1"/>
    <x:mergeCell ref="D6:F6"/>
    <x:mergeCell ref="A14:F14"/>
    <x:mergeCell ref="A15:F16"/>
    <x:mergeCell ref="A17:F17"/>
    <x:mergeCell ref="A18:F18"/>
    <x:mergeCell ref="A19:F19"/>
    <x:mergeCell ref="A20:F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18" t="str">
        <x:v>QA v2 Traceability — Assurance Review</x:v>
      </x:c>
      <x:c r="B1" s="18"/>
      <x:c r="C1" s="18"/>
      <x:c r="D1" s="18"/>
      <x:c r="E1" s="18"/>
      <x:c r="F1" s="18"/>
      <x:c r="G1" s="18"/>
    </x:row>
    <x:row r="3" ht="32" customHeight="1">
      <x:c r="A3" s="22" t="str">
        <x:v>Purpose: record the assurance reasoning added during QA v2 for Threat Model Residual Risk.</x:v>
      </x:c>
      <x:c r="B3" s="22"/>
      <x:c r="C3" s="22"/>
      <x:c r="D3" s="22"/>
      <x:c r="E3" s="22"/>
      <x:c r="F3" s="22"/>
      <x:c r="G3" s="22"/>
    </x:row>
    <x:row r="5" ht="44" customHeight="1">
      <x:c r="A5" s="29" t="str">
        <x:v>Assurance question</x:v>
      </x:c>
      <x:c r="B5" s="30" t="str">
        <x:v>Does Cobalt Harbor have documented evidence that threat model residual risk addresses RISK-031 before the 2026-Q3 finalized 2026-07-20 review decision?</x:v>
      </x:c>
      <x:c r="C5" s="28"/>
      <x:c r="D5" s="28"/>
      <x:c r="E5" s="28"/>
      <x:c r="F5" s="28"/>
      <x:c r="G5" s="28"/>
    </x:row>
    <x:row r="6" ht="44" customHeight="1">
      <x:c r="A6" s="29" t="str">
        <x:v>Organization</x:v>
      </x:c>
      <x:c r="B6" s="30" t="str">
        <x:v>Cobalt Harbor is the accountable organization for this assurance record.</x:v>
      </x:c>
      <x:c r="C6" s="28"/>
      <x:c r="D6" s="28"/>
      <x:c r="E6" s="28"/>
      <x:c r="F6" s="28"/>
      <x:c r="G6" s="28"/>
    </x:row>
    <x:row r="7" ht="44" customHeight="1">
      <x:c r="A7" s="29" t="str">
        <x:v>Risk reference</x:v>
      </x:c>
      <x:c r="B7" s="30" t="str">
        <x:v>RISK-031 is assessed here as a control-evidence integrity risk requiring documented review.</x:v>
      </x:c>
      <x:c r="C7" s="28"/>
      <x:c r="D7" s="28"/>
      <x:c r="E7" s="28"/>
      <x:c r="F7" s="28"/>
      <x:c r="G7" s="28"/>
    </x:row>
    <x:row r="8" ht="44" customHeight="1">
      <x:c r="A8" s="29" t="str">
        <x:v>Review date</x:v>
      </x:c>
      <x:c r="B8" s="31" t="str">
        <x:v>2026-Q3 finalized 2026-07-20</x:v>
      </x:c>
      <x:c r="C8" s="28"/>
      <x:c r="D8" s="28"/>
      <x:c r="E8" s="28"/>
      <x:c r="F8" s="28"/>
      <x:c r="G8" s="28"/>
    </x:row>
    <x:row r="9" ht="44" customHeight="1">
      <x:c r="A9" s="29" t="str">
        <x:v>Declared relationship</x:v>
      </x:c>
      <x:c r="B9" s="30" t="str">
        <x:v>rel.ac27.evidence-184 is the ledger relationship context for this workbook; its supporting linkage is maintained through declared dependency p03-full-000623 (source p03-src-000623).</x:v>
      </x:c>
      <x:c r="C9" s="28"/>
      <x:c r="D9" s="28"/>
      <x:c r="E9" s="28"/>
      <x:c r="F9" s="28"/>
      <x:c r="G9" s="28"/>
    </x:row>
    <x:row r="10" ht="58" customHeight="1">
      <x:c r="A10" s="29" t="str">
        <x:v>Evidence-register cross-reference</x:v>
      </x:c>
      <x:c r="B10" s="30" t="str">
        <x:v>AC-27 / Evidence Set 184 is the corpus evidence-register cross-reference used for assurance review. It is not asserted here as this row's declared relationship unless the ledger explicitly says so.</x:v>
      </x:c>
      <x:c r="C10" s="28"/>
      <x:c r="D10" s="28"/>
      <x:c r="E10" s="28"/>
      <x:c r="F10" s="28"/>
      <x:c r="G10" s="28"/>
    </x:row>
    <x:row r="11" ht="44" customHeight="1">
      <x:c r="A11" s="29" t="str">
        <x:v>Declared dependency</x:v>
      </x:c>
      <x:c r="B11" s="30" t="str">
        <x:v>This workbook relies on artifact p03-full-000623 (canonical source p03-src-000623) as its linked supporting record.</x:v>
      </x:c>
      <x:c r="C11" s="28"/>
      <x:c r="D11" s="28"/>
      <x:c r="E11" s="28"/>
      <x:c r="F11" s="28"/>
      <x:c r="G11" s="28"/>
    </x:row>
    <x:row r="12" ht="58" customHeight="1">
      <x:c r="A12" s="29" t="str">
        <x:v>Boundary statement</x:v>
      </x:c>
      <x:c r="B12" s="30" t="str">
        <x:v>No Kio system, service, repository, account, credential, or workflow is involved in this evidence review; the statement is a scope boundary, not an operational claim.</x:v>
      </x:c>
      <x:c r="C12" s="28"/>
      <x:c r="D12" s="28"/>
      <x:c r="E12" s="28"/>
      <x:c r="F12" s="28"/>
      <x:c r="G12" s="28"/>
    </x:row>
    <x:row r="14" ht="26" customHeight="1">
      <x:c r="A14" s="34" t="str">
        <x:v>Review linkage and decision context</x:v>
      </x:c>
      <x:c r="B14" s="34"/>
      <x:c r="C14" s="34"/>
      <x:c r="D14" s="34"/>
      <x:c r="E14" s="34"/>
      <x:c r="F14" s="34"/>
      <x:c r="G14" s="34"/>
    </x:row>
    <x:row r="15" ht="32" customHeight="1">
      <x:c r="A15" s="37" t="str">
        <x:v>Control</x:v>
      </x:c>
      <x:c r="B15" s="37" t="str">
        <x:v>Evidence set</x:v>
      </x:c>
      <x:c r="C15" s="37" t="str">
        <x:v>Accountable organization</x:v>
      </x:c>
      <x:c r="D15" s="37" t="str">
        <x:v>Review date</x:v>
      </x:c>
      <x:c r="E15" s="37" t="str">
        <x:v>Relationship</x:v>
      </x:c>
      <x:c r="F15" s="37" t="str">
        <x:v>Dependency</x:v>
      </x:c>
      <x:c r="G15" s="37" t="str">
        <x:v>Boundary decision</x:v>
      </x:c>
    </x:row>
    <x:row r="16" ht="58" customHeight="1">
      <x:c r="A16" s="30" t="str">
        <x:v>AC-27</x:v>
      </x:c>
      <x:c r="B16" s="30" t="str">
        <x:v>Evidence Set 184</x:v>
      </x:c>
      <x:c r="C16" s="30" t="str">
        <x:v>Cobalt Harbor</x:v>
      </x:c>
      <x:c r="D16" s="30" t="str">
        <x:v>2026-Q3 finalized 2026-07-20</x:v>
      </x:c>
      <x:c r="E16" s="30" t="str">
        <x:v>rel.ac27.evidence-184; dependency establishes the row-specific linkage.</x:v>
      </x:c>
      <x:c r="F16" s="30" t="str">
        <x:v>p03-full-000623; p03-src-000623</x:v>
      </x:c>
      <x:c r="G16" s="30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