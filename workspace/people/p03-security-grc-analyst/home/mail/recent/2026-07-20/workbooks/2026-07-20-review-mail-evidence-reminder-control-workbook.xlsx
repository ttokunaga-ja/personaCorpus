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addecad63a4b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27eb6cdad4044964"/>
    <x:sheet xmlns:r="http://schemas.openxmlformats.org/officeDocument/2006/relationships" name="Quality Check" sheetId="2" r:id="R32a4cc41850841f0"/>
    <x:sheet xmlns:r="http://schemas.openxmlformats.org/officeDocument/2006/relationships" name="QA v2 Traceability" sheetId="3" r:id="R58d082c2e1b64f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%"/>
    <x:numFmt numFmtId="200" formatCode="@"/>
  </x:numFmts>
  <x:fonts count="9">
    <x:font>
      <x:sz val="11"/>
      <x:color theme="1"/>
      <x:name val="Calibri"/>
    </x:font>
    <x:font>
      <x:b/>
      <x:sz val="16"/>
      <x:color rgb="FFFFFFFF"/>
    </x:font>
    <x:font>
      <x:i/>
      <x:color rgb="FF425466"/>
    </x:font>
    <x:font>
      <x:b/>
      <x:color rgb="FFFFFFFF"/>
    </x:font>
    <x:font>
      <x:b/>
    </x:font>
    <x:font>
      <x:b/>
      <x:sz val="14"/>
      <x:color rgb="FFFFFFFF"/>
      <x:name val="Calibri"/>
    </x:font>
    <x:font>
      <x:i/>
      <x:sz val="11"/>
      <x:color rgb="FF1D4E6D"/>
      <x:name val="Calibri"/>
    </x:font>
    <x:font>
      <x:b/>
      <x:sz val="11"/>
      <x:color rgb="FF123047"/>
      <x:name val="Calibri"/>
    </x:font>
    <x:font>
      <x:b/>
      <x:sz val="11"/>
      <x:color rgb="FFFFFFFF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DBE8F2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2">
    <x:border/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2" borderId="0" xfId="0" applyAlignment="1">
      <x:alignment horizontal="center"/>
    </x:xf>
    <x:xf numFmtId="0" fontId="2" fillId="0" borderId="0" xfId="0"/>
    <x:xf numFmtId="0" fontId="3" fillId="2" borderId="0" xfId="0" applyAlignment="1">
      <x:alignment horizontal="center"/>
    </x:xf>
    <x:xf numFmtId="0" fontId="4" fillId="3" borderId="0" xfId="0"/>
    <x:xf numFmtId="0" fontId="3" fillId="2" borderId="0" xfId="0"/>
    <x:xf numFmtId="164" fontId="0" fillId="0" borderId="0" xfId="0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horizontal="left"/>
    </x:xf>
    <x:xf numFmtId="0" fontId="7" fillId="6" borderId="0" xfId="0" applyNumberFormat="1" applyFont="1" applyFill="1" applyBorder="1" applyAlignment="1">
      <x:alignment horizontal="center" wrapText="1"/>
    </x:xf>
    <x:xf numFmtId="0" fontId="7" fillId="6" borderId="0" xfId="0" applyNumberFormat="1" applyFont="1" applyFill="1" applyBorder="1" applyAlignment="1">
      <x:alignment horizontal="center" vertical="center" wrapText="1"/>
    </x:xf>
    <x:xf numFmtId="0" fontId="7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965786e54b4dba" /><Relationship Type="http://schemas.openxmlformats.org/officeDocument/2006/relationships/theme" Target="/xl/theme/theme1.xml" Id="Rbd28fd2b73594cdd" /><Relationship Type="http://schemas.openxmlformats.org/officeDocument/2006/relationships/sharedStrings" Target="/xl/sharedStrings.xml" Id="Rbe7d2920f7bb4e67" /><Relationship Type="http://schemas.openxmlformats.org/officeDocument/2006/relationships/worksheet" Target="/xl/worksheets/sheet1.xml" Id="R27eb6cdad4044964" /><Relationship Type="http://schemas.openxmlformats.org/officeDocument/2006/relationships/worksheet" Target="/xl/worksheets/sheet2.xml" Id="R32a4cc41850841f0" /><Relationship Type="http://schemas.openxmlformats.org/officeDocument/2006/relationships/worksheet" Target="/xl/worksheets/sheet3.xml" Id="R58d082c2e1b64f83" /></Relationships>
</file>

<file path=xl/tables/table1.xml><?xml version="1.0" encoding="utf-8"?>
<x:table xmlns:x="http://schemas.openxmlformats.org/spreadsheetml/2006/main" id="1" name="EvidenceLedger" displayName="EvidenceLedger" ref="A3:E8" headerRowCount="1">
  <x:autoFilter ref="A3:E8"/>
  <x:tableColumns count="5">
    <x:tableColumn id="1" name="Evidence ID"/>
    <x:tableColumn id="2" name="Description"/>
    <x:tableColumn id="3" name="Required"/>
    <x:tableColumn id="4" name="Verified"/>
    <x:tableColumn id="5" name="Status"/>
  </x:tableColumns>
  <x:tableStyleInfo name="TableStyleMedium2" showRowStripes="1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27e9ad55514f78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4" customWidth="1"/>
    <x:col min="3" max="3" width="13" customWidth="1"/>
    <x:col min="4" max="4" width="13" customWidth="1"/>
    <x:col min="5" max="5" width="16" customWidth="1"/>
  </x:cols>
  <x:sheetData>
    <x:row r="1">
      <x:c r="A1" s="1" t="inlineStr">
        <x:is>
          <x:t xml:space="preserve">Aegis Control AC-27 Review Workbook</x:t>
        </x:is>
      </x:c>
    </x:row>
    <x:row r="2">
      <x:c r="A2" s="2" t="inlineStr">
        <x:is>
          <x:t xml:space="preserve">2026 07 20 Review Mail Evidence Reminder Control Workbook Xlsx | p03-full-002862 | 2026-07-13 evidence review</x:t>
        </x:is>
      </x:c>
    </x:row>
    <x:row r="3">
      <x:c r="A3" s="3" t="inlineStr">
        <x:is>
          <x:t xml:space="preserve">Evidence ID</x:t>
        </x:is>
      </x:c>
      <x:c r="B3" s="3" t="inlineStr">
        <x:is>
          <x:t xml:space="preserve">Description</x:t>
        </x:is>
      </x:c>
      <x:c r="C3" s="3" t="inlineStr">
        <x:is>
          <x:t xml:space="preserve">Required</x:t>
        </x:is>
      </x:c>
      <x:c r="D3" s="3" t="inlineStr">
        <x:is>
          <x:t xml:space="preserve">Verified</x:t>
        </x:is>
      </x:c>
      <x:c r="E3" s="3" t="inlineStr">
        <x:is>
          <x:t xml:space="preserve">Status</x:t>
        </x:is>
      </x:c>
    </x:row>
    <x:row r="4">
      <x:c r="A4" t="inlineStr">
        <x:is>
          <x:t xml:space="preserve">EV-184-01</x:t>
        </x:is>
      </x:c>
      <x:c r="B4" t="inlineStr">
        <x:is>
          <x:t xml:space="preserve">Review population summary</x:t>
        </x:is>
      </x:c>
      <x:c r="C4" t="n">
        <x:v>12</x:v>
      </x:c>
      <x:c r="D4" t="n">
        <x:v>12</x:v>
      </x:c>
      <x:c r="E4" t="inlineStr">
        <x:is>
          <x:t xml:space="preserve">Verified</x:t>
        </x:is>
      </x:c>
    </x:row>
    <x:row r="5">
      <x:c r="A5" t="inlineStr">
        <x:is>
          <x:t xml:space="preserve">EV-184-07</x:t>
        </x:is>
      </x:c>
      <x:c r="B5" t="inlineStr">
        <x:is>
          <x:t xml:space="preserve">Minimized export statement</x:t>
        </x:is>
      </x:c>
      <x:c r="C5" t="n">
        <x:v>6</x:v>
      </x:c>
      <x:c r="D5" t="n">
        <x:v>6</x:v>
      </x:c>
      <x:c r="E5" t="inlineStr">
        <x:is>
          <x:t xml:space="preserve">Verified</x:t>
        </x:is>
      </x:c>
    </x:row>
    <x:row r="6">
      <x:c r="A6" t="inlineStr">
        <x:is>
          <x:t xml:space="preserve">EV-184-19</x:t>
        </x:is>
      </x:c>
      <x:c r="B6" t="inlineStr">
        <x:is>
          <x:t xml:space="preserve">Checksum reconciliation</x:t>
        </x:is>
      </x:c>
      <x:c r="C6" t="n">
        <x:v>4</x:v>
      </x:c>
      <x:c r="D6" t="n">
        <x:v>4</x:v>
      </x:c>
      <x:c r="E6" t="inlineStr">
        <x:is>
          <x:t xml:space="preserve">Verified</x:t>
        </x:is>
      </x:c>
    </x:row>
    <x:row r="7">
      <x:c r="A7" t="inlineStr">
        <x:is>
          <x:t xml:space="preserve">EXC-260713-006</x:t>
        </x:is>
      </x:c>
      <x:c r="B7" t="inlineStr">
        <x:is>
          <x:t xml:space="preserve">Exception closure records</x:t>
        </x:is>
      </x:c>
      <x:c r="C7" t="n">
        <x:v>2</x:v>
      </x:c>
      <x:c r="D7" t="n">
        <x:v>2</x:v>
      </x:c>
      <x:c r="E7" t="inlineStr">
        <x:is>
          <x:t xml:space="preserve">Verified</x:t>
        </x:is>
      </x:c>
    </x:row>
    <x:row r="8">
      <x:c r="A8" s="4" t="inlineStr">
        <x:is>
          <x:t xml:space="preserve">Total</x:t>
        </x:is>
      </x:c>
      <x:c r="B8" s="4" t="inlineStr">
        <x:is>
          <x:t xml:space="preserve">Evidence set 184</x:t>
        </x:is>
      </x:c>
      <x:c r="C8" s="4" t="n">
        <x:f>SUM(C4:C7)</x:f>
        <x:v>24</x:v>
      </x:c>
      <x:c r="D8" s="4" t="n">
        <x:f>SUM(D4:D7)</x:f>
        <x:v>24</x:v>
      </x:c>
      <x:c r="E8" s="4" t="str">
        <x:f>IF(D8=C8,"Complete","Review")</x:f>
        <x:v>Complete</x:v>
      </x:c>
    </x:row>
  </x:sheetData>
  <x:mergeCells>
    <x:mergeCell ref="A2:E2"/>
    <x:mergeCell ref="A1:E1"/>
  </x:mergeCells>
  <x:pageMargins left="0.7" right="0.7" top="0.75" bottom="0.75" header="0.3" footer="0.3"/>
  <x:tableParts count="1">
    <x:tablePart xmlns:r="http://schemas.openxmlformats.org/officeDocument/2006/relationships" r:id="R4927e9ad55514f78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22" customWidth="1"/>
    <x:col min="3" max="3" width="42" customWidth="1"/>
  </x:cols>
  <x:sheetData>
    <x:row r="1">
      <x:c r="A1" s="5" t="inlineStr">
        <x:is>
          <x:t xml:space="preserve">Measure</x:t>
        </x:is>
      </x:c>
      <x:c r="B1" s="5" t="inlineStr">
        <x:is>
          <x:t xml:space="preserve">Value</x:t>
        </x:is>
      </x:c>
      <x:c r="C1" s="5" t="inlineStr">
        <x:is>
          <x:t xml:space="preserve">Interpretation</x:t>
        </x:is>
      </x:c>
    </x:row>
    <x:row r="2">
      <x:c r="A2" t="inlineStr">
        <x:is>
          <x:t xml:space="preserve">Timely attestations</x:t>
        </x:is>
      </x:c>
      <x:c r="B2" s="6" t="n">
        <x:v>0.979</x:v>
      </x:c>
      <x:c r="C2" t="inlineStr">
        <x:is>
          <x:t xml:space="preserve">47 of 48 synthetic records</x:t>
        </x:is>
      </x:c>
    </x:row>
    <x:row r="3">
      <x:c r="A3" t="inlineStr">
        <x:is>
          <x:t xml:space="preserve">Final completion</x:t>
        </x:is>
      </x:c>
      <x:c r="B3" s="6" t="n">
        <x:v>1</x:v>
      </x:c>
      <x:c r="C3" t="inlineStr">
        <x:is>
          <x:t xml:space="preserve">48 of 48 after compensating review</x:t>
        </x:is>
      </x:c>
    </x:row>
    <x:row r="4">
      <x:c r="A4" t="inlineStr">
        <x:is>
          <x:t xml:space="preserve">Residual risk</x:t>
        </x:is>
      </x:c>
      <x:c r="B4" t="inlineStr">
        <x:is>
          <x:t xml:space="preserve">Medium</x:t>
        </x:is>
      </x:c>
      <x:c r="C4" t="inlineStr">
        <x:is>
          <x:t xml:space="preserve">RISK-031</x:t>
        </x:is>
      </x:c>
    </x:row>
    <x:row r="5">
      <x:c r="A5" t="inlineStr">
        <x:is>
          <x:t xml:space="preserve">Case</x:t>
        </x:is>
      </x:c>
      <x:c r="B5" t="inlineStr">
        <x:is>
          <x:t xml:space="preserve">CASE-260713-184</x:t>
        </x:is>
      </x:c>
      <x:c r="C5" t="inlineStr">
        <x:is>
          <x:t xml:space="preserve">Synthetic defensive record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10" t="str">
        <x:v>QA v2 Traceability — Assurance Review</x:v>
      </x:c>
      <x:c r="B1" s="10"/>
      <x:c r="C1" s="10"/>
      <x:c r="D1" s="10"/>
      <x:c r="E1" s="10"/>
      <x:c r="F1" s="10"/>
      <x:c r="G1" s="10"/>
    </x:row>
    <x:row r="3" ht="32" customHeight="1">
      <x:c r="A3" s="14" t="str">
        <x:v>Purpose: record the assurance reasoning added during QA v2 for Review Mail Evidence Reminder.</x:v>
      </x:c>
      <x:c r="B3" s="14"/>
      <x:c r="C3" s="14"/>
      <x:c r="D3" s="14"/>
      <x:c r="E3" s="14"/>
      <x:c r="F3" s="14"/>
      <x:c r="G3" s="14"/>
    </x:row>
    <x:row r="5" ht="44" customHeight="1">
      <x:c r="A5" s="21" t="str">
        <x:v>Assurance question</x:v>
      </x:c>
      <x:c r="B5" s="22" t="str">
        <x:v>Does Cobalt Harbor have documented evidence that review mail evidence reminder addresses RISK-031 before the 2026-07-20 review decision?</x:v>
      </x:c>
      <x:c r="C5" s="20"/>
      <x:c r="D5" s="20"/>
      <x:c r="E5" s="20"/>
      <x:c r="F5" s="20"/>
      <x:c r="G5" s="20"/>
    </x:row>
    <x:row r="6" ht="44" customHeight="1">
      <x:c r="A6" s="21" t="str">
        <x:v>Organization</x:v>
      </x:c>
      <x:c r="B6" s="22" t="str">
        <x:v>Cobalt Harbor is the accountable organization for this assurance record.</x:v>
      </x:c>
      <x:c r="C6" s="20"/>
      <x:c r="D6" s="20"/>
      <x:c r="E6" s="20"/>
      <x:c r="F6" s="20"/>
      <x:c r="G6" s="20"/>
    </x:row>
    <x:row r="7" ht="44" customHeight="1">
      <x:c r="A7" s="21" t="str">
        <x:v>Risk reference</x:v>
      </x:c>
      <x:c r="B7" s="22" t="str">
        <x:v>RISK-031 is assessed here as a control-evidence integrity risk requiring documented review.</x:v>
      </x:c>
      <x:c r="C7" s="20"/>
      <x:c r="D7" s="20"/>
      <x:c r="E7" s="20"/>
      <x:c r="F7" s="20"/>
      <x:c r="G7" s="20"/>
    </x:row>
    <x:row r="8" ht="44" customHeight="1">
      <x:c r="A8" s="21" t="str">
        <x:v>Review date</x:v>
      </x:c>
      <x:c r="B8" s="23" t="str">
        <x:v>2026-07-20</x:v>
      </x:c>
      <x:c r="C8" s="20"/>
      <x:c r="D8" s="20"/>
      <x:c r="E8" s="20"/>
      <x:c r="F8" s="20"/>
      <x:c r="G8" s="20"/>
    </x:row>
    <x:row r="9" ht="44" customHeight="1">
      <x:c r="A9" s="21" t="str">
        <x:v>Declared relationship</x:v>
      </x:c>
      <x:c r="B9" s="22" t="str">
        <x:v>rel.case.timeline is the ledger relationship context for this workbook; its supporting linkage is maintained through declared dependency p03-full-003119 (source p03-src-003119).</x:v>
      </x:c>
      <x:c r="C9" s="20"/>
      <x:c r="D9" s="20"/>
      <x:c r="E9" s="20"/>
      <x:c r="F9" s="20"/>
      <x:c r="G9" s="20"/>
    </x:row>
    <x:row r="10" ht="58" customHeight="1">
      <x:c r="A10" s="21" t="str">
        <x:v>Evidence-register cross-reference</x:v>
      </x:c>
      <x:c r="B10" s="22" t="str">
        <x:v>AC-27 / Evidence Set 184 is the corpus evidence-register cross-reference used for assurance review. It is not asserted here as this row's declared relationship unless the ledger explicitly says so.</x:v>
      </x:c>
      <x:c r="C10" s="20"/>
      <x:c r="D10" s="20"/>
      <x:c r="E10" s="20"/>
      <x:c r="F10" s="20"/>
      <x:c r="G10" s="20"/>
    </x:row>
    <x:row r="11" ht="44" customHeight="1">
      <x:c r="A11" s="21" t="str">
        <x:v>Declared dependency</x:v>
      </x:c>
      <x:c r="B11" s="22" t="str">
        <x:v>This workbook relies on artifact p03-full-003119 (canonical source p03-src-003119) as its linked supporting record.</x:v>
      </x:c>
      <x:c r="C11" s="20"/>
      <x:c r="D11" s="20"/>
      <x:c r="E11" s="20"/>
      <x:c r="F11" s="20"/>
      <x:c r="G11" s="20"/>
    </x:row>
    <x:row r="12" ht="58" customHeight="1">
      <x:c r="A12" s="21" t="str">
        <x:v>Boundary statement</x:v>
      </x:c>
      <x:c r="B12" s="22" t="str">
        <x:v>No Kio system, service, repository, account, credential, or workflow is involved in this evidence review; the statement is a scope boundary, not an operational claim.</x:v>
      </x:c>
      <x:c r="C12" s="20"/>
      <x:c r="D12" s="20"/>
      <x:c r="E12" s="20"/>
      <x:c r="F12" s="20"/>
      <x:c r="G12" s="20"/>
    </x:row>
    <x:row r="14" ht="26" customHeight="1">
      <x:c r="A14" s="26" t="str">
        <x:v>Review linkage and decision context</x:v>
      </x:c>
      <x:c r="B14" s="26"/>
      <x:c r="C14" s="26"/>
      <x:c r="D14" s="26"/>
      <x:c r="E14" s="26"/>
      <x:c r="F14" s="26"/>
      <x:c r="G14" s="26"/>
    </x:row>
    <x:row r="15" ht="32" customHeight="1">
      <x:c r="A15" s="29" t="str">
        <x:v>Control</x:v>
      </x:c>
      <x:c r="B15" s="29" t="str">
        <x:v>Evidence set</x:v>
      </x:c>
      <x:c r="C15" s="29" t="str">
        <x:v>Accountable organization</x:v>
      </x:c>
      <x:c r="D15" s="29" t="str">
        <x:v>Review date</x:v>
      </x:c>
      <x:c r="E15" s="29" t="str">
        <x:v>Relationship</x:v>
      </x:c>
      <x:c r="F15" s="29" t="str">
        <x:v>Dependency</x:v>
      </x:c>
      <x:c r="G15" s="29" t="str">
        <x:v>Boundary decision</x:v>
      </x:c>
    </x:row>
    <x:row r="16" ht="58" customHeight="1">
      <x:c r="A16" s="22" t="str">
        <x:v>AC-27</x:v>
      </x:c>
      <x:c r="B16" s="22" t="str">
        <x:v>Evidence Set 184</x:v>
      </x:c>
      <x:c r="C16" s="22" t="str">
        <x:v>Cobalt Harbor</x:v>
      </x:c>
      <x:c r="D16" s="22" t="str">
        <x:v>2026-07-20</x:v>
      </x:c>
      <x:c r="E16" s="22" t="str">
        <x:v>rel.case.timeline; dependency establishes the row-specific linkage.</x:v>
      </x:c>
      <x:c r="F16" s="22" t="str">
        <x:v>p03-full-003119; p03-src-003119</x:v>
      </x:c>
      <x:c r="G16" s="22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