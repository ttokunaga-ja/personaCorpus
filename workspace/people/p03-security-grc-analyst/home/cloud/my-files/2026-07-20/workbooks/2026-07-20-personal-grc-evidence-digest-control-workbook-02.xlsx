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3acb48c2de4b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-27 Review" sheetId="1" r:id="Rb1a4be8f220747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%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0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B8C7D9"/>
      </x:left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2" xfId="0" applyNumberFormat="1" applyFont="1" applyFill="1" applyBorder="1"/>
    <x:xf numFmtId="0" fontId="0" fillId="0" borderId="2" xfId="0" applyNumberFormat="1" applyFont="1" applyFill="1" applyBorder="1"/>
    <x:xf numFmtId="201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bd4992e5344daa" /><Relationship Type="http://schemas.openxmlformats.org/officeDocument/2006/relationships/theme" Target="/xl/theme/theme1.xml" Id="Ree355fb085e34654" /><Relationship Type="http://schemas.openxmlformats.org/officeDocument/2006/relationships/sharedStrings" Target="/xl/sharedStrings.xml" Id="Rffffdc9d9d0546bf" /><Relationship Type="http://schemas.openxmlformats.org/officeDocument/2006/relationships/worksheet" Target="/xl/worksheets/sheet1.xml" Id="Rb1a4be8f220747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29" hidden="0" customWidth="1"/>
  </x:cols>
  <x:sheetData>
    <x:row r="1" ht="30" customHeight="1">
      <x:c r="A1" s="3" t="str">
        <x:v>AC-27 Personal GRC Control Workbook</x:v>
      </x:c>
      <x:c r="B1" s="3"/>
      <x:c r="C1" s="3"/>
      <x:c r="D1" s="3"/>
      <x:c r="E1" s="3"/>
      <x:c r="F1" s="3"/>
    </x:row>
    <x:row r="2">
      <x:c r="A2" s="5" t="str">
        <x:v>Cobalt Harbor Systems | residual-risk statement | 2026-07-15 | p03-full-004011</x:v>
      </x:c>
      <x:c r="B2" s="5"/>
      <x:c r="C2" s="5"/>
      <x:c r="D2" s="5"/>
      <x:c r="E2" s="5"/>
      <x:c r="F2" s="5"/>
    </x:row>
    <x:row r="4">
      <x:c r="A4" s="10" t="str">
        <x:v>Review field</x:v>
      </x:c>
      <x:c r="B4" s="10" t="str">
        <x:v>Recorded value</x:v>
      </x:c>
      <x:c r="D4" s="7" t="str">
        <x:v>Completion register</x:v>
      </x:c>
      <x:c r="E4" s="7"/>
      <x:c r="F4" s="7"/>
    </x:row>
    <x:row r="5" ht="42" customHeight="1">
      <x:c r="A5" s="11" t="str">
        <x:v>Control</x:v>
      </x:c>
      <x:c r="B5" s="11" t="str">
        <x:v>AC-27</x:v>
      </x:c>
      <x:c r="D5" s="11" t="str">
        <x:v>Timely attestations</x:v>
      </x:c>
      <x:c r="E5" s="12" t="n">
        <x:v>47</x:v>
      </x:c>
      <x:c r="F5" s="11" t="str">
        <x:v>47/48 (97.9%)</x:v>
      </x:c>
    </x:row>
    <x:row r="6" ht="42" customHeight="1">
      <x:c r="A6" s="11" t="str">
        <x:v>Dependency</x:v>
      </x:c>
      <x:c r="B6" s="11" t="str">
        <x:v>p03-full-000996</x:v>
      </x:c>
      <x:c r="D6" s="11" t="str">
        <x:v>Final completion</x:v>
      </x:c>
      <x:c r="E6" s="12" t="n">
        <x:v>48</x:v>
      </x:c>
      <x:c r="F6" s="11" t="str">
        <x:v>48/48 (100.0%)</x:v>
      </x:c>
    </x:row>
    <x:row r="7" ht="42" customHeight="1">
      <x:c r="A7" s="11" t="str">
        <x:v>Artifact review period</x:v>
      </x:c>
      <x:c r="B7" s="11" t="str">
        <x:v>2026-07-20</x:v>
      </x:c>
      <x:c r="D7" s="11" t="str">
        <x:v>Action</x:v>
      </x:c>
      <x:c r="E7" s="11" t="str">
        <x:v>ACT-260713-011</x:v>
      </x:c>
      <x:c r="F7" s="11" t="str">
        <x:v>Source action linkage</x:v>
      </x:c>
    </x:row>
    <x:row r="8" ht="42" customHeight="1">
      <x:c r="A8" s="11" t="str">
        <x:v>Dependency source period</x:v>
      </x:c>
      <x:c r="B8" s="11" t="str">
        <x:v>2026-07-15</x:v>
      </x:c>
      <x:c r="D8" s="11" t="str">
        <x:v>Conclusion</x:v>
      </x:c>
      <x:c r="E8" s="11" t="str">
        <x:v>RISK-031</x:v>
      </x:c>
      <x:c r="F8" s="11" t="str">
        <x:v>For 2026-07-15, this working file document a review handoff focused on residual-risk statement; it supports a Medium residual-risk conclusion without asserting live-system access.</x:v>
      </x:c>
    </x:row>
    <x:row r="9" ht="78" customHeight="1">
      <x:c r="A9" s="11" t="str">
        <x:v>Source purpose</x:v>
      </x:c>
      <x:c r="B9" s="11" t="str">
        <x:v>document a review handoff</x:v>
      </x:c>
      <x:c r="D9" s="11" t="str">
        <x:v>Traceability</x:v>
      </x:c>
      <x:c r="E9" s="11" t="str">
        <x:v>184</x:v>
      </x:c>
      <x:c r="F9" s="11" t="str">
        <x:v>org.cobalt-harbor = Cobalt Harbor Systems (CHS), a fictional managed logistics and harbor-operations platform | team.grc = Security GRC owns the AC-27 evidence register, risk treatment tracking, and audit-request coordination | date.2026-07-15 = Control owner validates the remediation plan and retention disposition</x:v>
      </x:c>
    </x:row>
    <x:row r="10">
      <x:c r="A10" s="11" t="str">
        <x:v>Source focus</x:v>
      </x:c>
      <x:c r="B10" s="11" t="str">
        <x:v>residual-risk statement</x:v>
      </x:c>
    </x:row>
    <x:row r="12">
      <x:c r="A12" s="13" t="str">
        <x:v>Formula-driven review checks</x:v>
      </x:c>
      <x:c r="B12" s="13"/>
      <x:c r="C12" s="13"/>
      <x:c r="D12" s="13"/>
      <x:c r="E12" s="13"/>
      <x:c r="F12" s="13"/>
    </x:row>
    <x:row r="13">
      <x:c r="A13" s="16" t="str">
        <x:v>Check</x:v>
      </x:c>
      <x:c r="B13" s="16" t="str">
        <x:v>Status</x:v>
      </x:c>
      <x:c r="C13" s="16" t="str">
        <x:v>Numerator</x:v>
      </x:c>
      <x:c r="D13" s="16" t="str">
        <x:v>Formula</x:v>
      </x:c>
      <x:c r="E13" s="16" t="str">
        <x:v>Result</x:v>
      </x:c>
      <x:c r="F13" s="16" t="str">
        <x:v>Control note</x:v>
      </x:c>
    </x:row>
    <x:row r="14">
      <x:c r="A14" s="17" t="str">
        <x:v>Evidence completeness</x:v>
      </x:c>
      <x:c r="B14" s="17" t="str">
        <x:v>Verified</x:v>
      </x:c>
      <x:c r="C14" s="17" t="n">
        <x:v>24</x:v>
      </x:c>
      <x:c r="D14" s="18" t="n">
        <x:f>C14/24</x:f>
        <x:v>1</x:v>
      </x:c>
      <x:c r="E14" s="18" t="n">
        <x:f>D14</x:f>
        <x:v>1</x:v>
      </x:c>
      <x:c r="F14" s="17" t="str">
        <x:v>24 of 24 required</x:v>
      </x:c>
    </x:row>
    <x:row r="15">
      <x:c r="A15" s="17" t="str">
        <x:v>Timely rate</x:v>
      </x:c>
      <x:c r="B15" s="17" t="str">
        <x:v>Documented</x:v>
      </x:c>
      <x:c r="C15" s="17" t="n">
        <x:v>47</x:v>
      </x:c>
      <x:c r="D15" s="18" t="n">
        <x:f>C15/48</x:f>
        <x:v>0.9791666666666666</x:v>
      </x:c>
      <x:c r="E15" s="18" t="n">
        <x:f>D15</x:f>
        <x:v>0.9791666666666666</x:v>
      </x:c>
      <x:c r="F15" s="17" t="str">
        <x:v>EXC-260713-006</x:v>
      </x:c>
    </x:row>
    <x:row r="16">
      <x:c r="A16" s="17" t="str">
        <x:v>Final rate</x:v>
      </x:c>
      <x:c r="B16" s="17" t="str">
        <x:v>Confirmed</x:v>
      </x:c>
      <x:c r="C16" s="17" t="n">
        <x:v>48</x:v>
      </x:c>
      <x:c r="D16" s="18" t="n">
        <x:f>C16/48</x:f>
        <x:v>1</x:v>
      </x:c>
      <x:c r="E16" s="18" t="n">
        <x:f>D16</x:f>
        <x:v>1</x:v>
      </x:c>
      <x:c r="F16" s="17" t="str">
        <x:v>Residual Medium</x:v>
      </x:c>
    </x:row>
    <x:row r="17">
      <x:c r="A17" s="17" t="str">
        <x:v>Retention</x:v>
      </x:c>
      <x:c r="B17" s="17" t="str">
        <x:v>Applicable</x:v>
      </x:c>
      <x:c r="C17" s="17" t="n">
        <x:v>18</x:v>
      </x:c>
      <x:c r="D17" s="19" t="n">
        <x:f>C17</x:f>
        <x:v>18</x:v>
      </x:c>
      <x:c r="E17" s="19" t="n">
        <x:f>D17</x:f>
        <x:v>18</x:v>
      </x:c>
      <x:c r="F17" s="17" t="str">
        <x:v>Synthetic minimum months</x:v>
      </x:c>
    </x:row>
    <x:row r="19" ht="42" customHeight="1">
      <x:c r="A19" s="23" t="str">
        <x:v>Dependency reconciliation: document a review handoff; focus: residual-risk statement; specific decision lens: review timely-attestation measure to the source purpose and record a bounded follow-up; conclusion: For 2026-07-15, this working file document a review handoff focused on residual-risk statement; it supports a Medium residual-risk conclusion without asserting live-system access.; spine: org.cobalt-harbor; team.grc; rel.risk-031.treatment; date.2026-07-15; term.no-kio-claim. This is synthetic physical-artifact evidence only; no Kio claim.</x:v>
      </x:c>
      <x:c r="B19" s="23"/>
      <x:c r="C19" s="23"/>
      <x:c r="D19" s="23"/>
      <x:c r="E19" s="23"/>
      <x:c r="F19" s="23"/>
    </x:row>
    <x:row r="20" ht="42" customHeight="1">
      <x:c r="A20" s="23"/>
      <x:c r="B20" s="23"/>
      <x:c r="C20" s="23"/>
      <x:c r="D20" s="23"/>
      <x:c r="E20" s="23"/>
      <x:c r="F20" s="23"/>
    </x:row>
  </x:sheetData>
  <x:mergeCells>
    <x:mergeCell ref="A1:F1"/>
    <x:mergeCell ref="A2:F2"/>
    <x:mergeCell ref="D4:F4"/>
    <x:mergeCell ref="A12:F12"/>
    <x:mergeCell ref="A19:F20"/>
  </x:mergeCells>
  <x:pageMargins left="0.7" right="0.7" top="0.75" bottom="0.75" header="0.3" footer="0.3"/>
</x:worksheet>
</file>