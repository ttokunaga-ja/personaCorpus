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5ae28073d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79a2ddd12ed14e69"/>
    <x:sheet xmlns:r="http://schemas.openxmlformats.org/officeDocument/2006/relationships" name="Dependency Record" sheetId="2" r:id="R4b7217fe33d74a06"/>
    <x:sheet xmlns:r="http://schemas.openxmlformats.org/officeDocument/2006/relationships" name="Control Notes" sheetId="3" r:id="Ra956504e297b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5B7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2354A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54A"/>
      </x:patternFill>
    </x:fill>
    <x:fill>
      <x:patternFill patternType="solid">
        <x:fgColor rgb="FFE7F1F4"/>
      </x:patternFill>
    </x:fill>
    <x:fill>
      <x:patternFill patternType="solid">
        <x:fgColor rgb="FF245B76"/>
      </x:patternFill>
    </x:fill>
    <x:fill>
      <x:patternFill patternType="solid">
        <x:fgColor rgb="FFD9EAF0"/>
      </x:patternFill>
    </x:fill>
    <x:fill>
      <x:patternFill patternType="solid">
        <x:fgColor rgb="FFF4F8FA"/>
      </x:patternFill>
    </x:fill>
  </x:fills>
  <x:borders count="2"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4" fillId="6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167ef133b4856" /><Relationship Type="http://schemas.openxmlformats.org/officeDocument/2006/relationships/theme" Target="/xl/theme/theme1.xml" Id="R2712d1af921f4bcc" /><Relationship Type="http://schemas.openxmlformats.org/officeDocument/2006/relationships/sharedStrings" Target="/xl/sharedStrings.xml" Id="R0e47a4cb2f1d4435" /><Relationship Type="http://schemas.openxmlformats.org/officeDocument/2006/relationships/worksheet" Target="/xl/worksheets/sheet1.xml" Id="R79a2ddd12ed14e69" /><Relationship Type="http://schemas.openxmlformats.org/officeDocument/2006/relationships/worksheet" Target="/xl/worksheets/sheet2.xml" Id="R4b7217fe33d74a06" /><Relationship Type="http://schemas.openxmlformats.org/officeDocument/2006/relationships/worksheet" Target="/xl/worksheets/sheet3.xml" Id="Ra956504e297b40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15" hidden="0" customWidth="1"/>
    <x:col min="5" max="5" width="16" hidden="0" customWidth="1"/>
    <x:col min="6" max="6" width="18" hidden="0" customWidth="1"/>
    <x:col min="7" max="7" width="22" hidden="0" customWidth="1"/>
    <x:col min="8" max="8" width="42" hidden="0" customWidth="1"/>
  </x:cols>
  <x:sheetData>
    <x:row r="1">
      <x:c r="A1" s="3" t="str">
        <x:v>AC-27 Shared Register Control Workbook</x:v>
      </x:c>
      <x:c r="B1" s="3"/>
      <x:c r="C1" s="3"/>
      <x:c r="D1" s="3"/>
      <x:c r="E1" s="3"/>
      <x:c r="F1" s="3"/>
      <x:c r="G1" s="3"/>
      <x:c r="H1" s="3"/>
    </x:row>
    <x:row r="2">
      <x:c r="A2" s="6" t="str">
        <x:v>Target review period: 2026-Q3 | Cobalt Harbor Systems | Synthetic defensive evidence | p03-full-002689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Control measure</x:v>
      </x:c>
      <x:c r="B4" s="10" t="str">
        <x:v>Population</x:v>
      </x:c>
      <x:c r="C4" s="10" t="str">
        <x:v>Timely</x:v>
      </x:c>
      <x:c r="D4" s="10" t="str">
        <x:v>Final</x:v>
      </x:c>
      <x:c r="E4" s="10" t="str">
        <x:v>Timely rate</x:v>
      </x:c>
      <x:c r="F4" s="10" t="str">
        <x:v>Final rate</x:v>
      </x:c>
      <x:c r="G4" s="10" t="str">
        <x:v>Variance</x:v>
      </x:c>
      <x:c r="H4" s="10" t="str">
        <x:v>Review note</x:v>
      </x:c>
    </x:row>
    <x:row r="5" ht="34" customHeight="1">
      <x:c r="A5" s="12" t="str">
        <x:v>AC-27 attestation status</x:v>
      </x:c>
      <x:c r="B5" s="14" t="n">
        <x:v>48</x:v>
      </x:c>
      <x:c r="C5" s="14" t="n">
        <x:v>47</x:v>
      </x:c>
      <x:c r="D5" s="14" t="n">
        <x:v>48</x:v>
      </x:c>
      <x:c r="E5" s="13" t="n">
        <x:f>C5/B5</x:f>
        <x:v>0.9791666666666666</x:v>
      </x:c>
      <x:c r="F5" s="13" t="n">
        <x:f>D5/B5</x:f>
        <x:v>1</x:v>
      </x:c>
      <x:c r="G5" s="11" t="n">
        <x:f>D5-C5</x:f>
        <x:v>1</x:v>
      </x:c>
      <x:c r="H5" s="15" t="str">
        <x:v>One record completed after timing review</x:v>
      </x:c>
    </x:row>
    <x:row r="6" ht="34" customHeight="1">
      <x:c r="A6" s="12" t="str">
        <x:v>Evidence-set reconciliation</x:v>
      </x:c>
      <x:c r="B6" s="14" t="n">
        <x:v>184</x:v>
      </x:c>
      <x:c r="C6" s="14" t="n">
        <x:v>184</x:v>
      </x:c>
      <x:c r="D6" s="14" t="n">
        <x:v>184</x:v>
      </x:c>
      <x:c r="E6" s="13" t="n">
        <x:f>C6/B6</x:f>
        <x:v>1</x:v>
      </x:c>
      <x:c r="F6" s="13" t="n">
        <x:f>D6/B6</x:f>
        <x:v>1</x:v>
      </x:c>
      <x:c r="G6" s="11" t="n">
        <x:f>D6-C6</x:f>
        <x:v>0</x:v>
      </x:c>
      <x:c r="H6" s="15" t="str">
        <x:v>Evidence set remains bounded and synthetic</x:v>
      </x:c>
    </x:row>
    <x:row r="7" ht="34" customHeight="1">
      <x:c r="A7" s="12" t="str">
        <x:v>Residual-risk disposition</x:v>
      </x:c>
      <x:c r="B7" s="14" t="n">
        <x:v>1</x:v>
      </x:c>
      <x:c r="C7" s="14" t="n">
        <x:v>1</x:v>
      </x:c>
      <x:c r="D7" s="14" t="n">
        <x:v>1</x:v>
      </x:c>
      <x:c r="E7" s="13" t="n">
        <x:f>C7/B7</x:f>
        <x:v>1</x:v>
      </x:c>
      <x:c r="F7" s="13" t="n">
        <x:f>D7/B7</x:f>
        <x:v>1</x:v>
      </x:c>
      <x:c r="G7" s="11" t="n">
        <x:f>D7-C7</x:f>
        <x:v>0</x:v>
      </x:c>
      <x:c r="H7" s="15" t="str">
        <x:v>Residual risk: Medium</x:v>
      </x:c>
    </x:row>
    <x:row r="8" ht="34" customHeight="1">
      <x:c r="A8" s="12" t="str">
        <x:v>Target-period control review</x:v>
      </x:c>
      <x:c r="B8" s="14" t="n">
        <x:v>48</x:v>
      </x:c>
      <x:c r="C8" s="14" t="n">
        <x:v>47</x:v>
      </x:c>
      <x:c r="D8" s="14" t="n">
        <x:v>48</x:v>
      </x:c>
      <x:c r="E8" s="13" t="n">
        <x:f>C8/B8</x:f>
        <x:v>0.9791666666666666</x:v>
      </x:c>
      <x:c r="F8" s="13" t="n">
        <x:f>D8/B8</x:f>
        <x:v>1</x:v>
      </x:c>
      <x:c r="G8" s="11" t="n">
        <x:f>D8-C8</x:f>
        <x:v>1</x:v>
      </x:c>
      <x:c r="H8" s="15" t="str">
        <x:v>Target period is 2026-Q3; source date is recorded separately</x:v>
      </x:c>
    </x:row>
    <x:row r="9">
      <x:c r="A9" s="12"/>
      <x:c r="B9" s="11"/>
      <x:c r="C9" s="11"/>
      <x:c r="D9" s="11"/>
      <x:c r="E9" s="11"/>
      <x:c r="F9" s="11"/>
      <x:c r="G9" s="11"/>
      <x:c r="H9" s="11"/>
    </x:row>
    <x:row r="10">
      <x:c r="A10" s="18" t="str">
        <x:v>Control conclusion</x:v>
      </x:c>
      <x:c r="B10" s="18"/>
      <x:c r="C10" s="18"/>
      <x:c r="D10" s="18"/>
      <x:c r="E10" s="18"/>
      <x:c r="F10" s="18"/>
      <x:c r="G10" s="18"/>
      <x:c r="H10" s="18"/>
    </x:row>
    <x:row r="11" ht="42" customHeight="1">
      <x:c r="A11" s="25" t="str">
        <x:v>Final completion is 48 of 48 (100.0%); timely attestations are 47 of 48 (97.9%). The one-record variance is explicitly retained for AC-27 follow-up. This workbook evaluates the target 2026-Q3 review while preserving the dependency's 2026-07-15 record date.</x:v>
      </x:c>
      <x:c r="B11" s="26"/>
      <x:c r="C11" s="26"/>
      <x:c r="D11" s="26"/>
      <x:c r="E11" s="26"/>
      <x:c r="F11" s="26"/>
      <x:c r="G11" s="26"/>
      <x:c r="H11" s="26"/>
    </x:row>
    <x:row r="12">
      <x:c r="A12" s="27"/>
      <x:c r="B12" s="27"/>
      <x:c r="C12" s="27"/>
      <x:c r="D12" s="27"/>
      <x:c r="E12" s="27"/>
      <x:c r="F12" s="27"/>
      <x:c r="G12" s="27"/>
      <x:c r="H12" s="27"/>
    </x:row>
  </x:sheetData>
  <x:mergeCells>
    <x:mergeCell ref="A1:H1"/>
    <x:mergeCell ref="A2:H2"/>
    <x:mergeCell ref="A10:H10"/>
    <x:mergeCell ref="A11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8" hidden="0" customWidth="1"/>
  </x:cols>
  <x:sheetData>
    <x:row r="1">
      <x:c r="A1" s="29" t="str">
        <x:v>Direct dependency record</x:v>
      </x:c>
      <x:c r="B1" s="29"/>
      <x:c r="C1" s="29"/>
      <x:c r="D1" s="29"/>
    </x:row>
    <x:row r="2">
      <x:c r="A2" s="5" t="str">
        <x:v>Parsed from the direct CSV/TSV record; fields are labelled rather than copied as serialized rows.</x:v>
      </x:c>
      <x:c r="B2" s="5"/>
      <x:c r="C2" s="5"/>
      <x:c r="D2" s="5"/>
    </x:row>
    <x:row r="4">
      <x:c r="A4" s="30" t="str">
        <x:v>Field</x:v>
      </x:c>
      <x:c r="B4" s="30" t="str">
        <x:v>Verified source fact</x:v>
      </x:c>
    </x:row>
    <x:row r="5" ht="26" customHeight="1">
      <x:c r="A5" s="19" t="str">
        <x:v>Artifact ID</x:v>
      </x:c>
      <x:c r="B5" s="15" t="str">
        <x:v>p03-full-000296</x:v>
      </x:c>
    </x:row>
    <x:row r="6" ht="26" customHeight="1">
      <x:c r="A6" s="19" t="str">
        <x:v>Source review date</x:v>
      </x:c>
      <x:c r="B6" s="15" t="str">
        <x:v>2026-07-15</x:v>
      </x:c>
    </x:row>
    <x:row r="7" ht="26" customHeight="1">
      <x:c r="A7" s="19" t="str">
        <x:v>Target review period</x:v>
      </x:c>
      <x:c r="B7" s="15" t="str">
        <x:v>2026-Q3</x:v>
      </x:c>
    </x:row>
    <x:row r="8" ht="26" customHeight="1">
      <x:c r="A8" s="19" t="str">
        <x:v>Team topic</x:v>
      </x:c>
      <x:c r="B8" s="15" t="str">
        <x:v>handoff</x:v>
      </x:c>
    </x:row>
    <x:row r="9" ht="26" customHeight="1">
      <x:c r="A9" s="19" t="str">
        <x:v>Record focus</x:v>
      </x:c>
      <x:c r="B9" s="15" t="str">
        <x:v>evidence metrics reconciliation</x:v>
      </x:c>
    </x:row>
    <x:row r="10" ht="26" customHeight="1">
      <x:c r="A10" s="19" t="str">
        <x:v>Population</x:v>
      </x:c>
      <x:c r="B10" s="15" t="n">
        <x:v>48</x:v>
      </x:c>
    </x:row>
    <x:row r="11" ht="26" customHeight="1">
      <x:c r="A11" s="19" t="str">
        <x:v>Timely attestations</x:v>
      </x:c>
      <x:c r="B11" s="15" t="n">
        <x:v>47</x:v>
      </x:c>
    </x:row>
    <x:row r="12" ht="26" customHeight="1">
      <x:c r="A12" s="19" t="str">
        <x:v>Final completion</x:v>
      </x:c>
      <x:c r="B12" s="15" t="n">
        <x:v>48</x:v>
      </x:c>
    </x:row>
    <x:row r="13" ht="26" customHeight="1">
      <x:c r="A13" s="19" t="str">
        <x:v>Residual risk</x:v>
      </x:c>
      <x:c r="B13" s="15" t="str">
        <x:v>Medium</x:v>
      </x:c>
    </x:row>
    <x:row r="14" ht="26" customHeight="1">
      <x:c r="A14" s="19" t="str">
        <x:v>Evidence set</x:v>
      </x:c>
      <x:c r="B14" s="15" t="n">
        <x:v>184</x:v>
      </x:c>
    </x:row>
    <x:row r="15" ht="42" customHeight="1">
      <x:c r="A15" s="19" t="str">
        <x:v>Record locator</x:v>
      </x:c>
      <x:c r="B15" s="15" t="str">
        <x:v>2026-07-15-team-assurance-handoff-evidence-metrics-csv</x:v>
      </x:c>
    </x:row>
    <x:row r="16" ht="42" customHeight="1">
      <x:c r="A16" s="19" t="str">
        <x:v>Assigned source slot</x:v>
      </x:c>
      <x:c r="B16" s="15" t="str">
        <x:v>000296</x:v>
      </x:c>
    </x:row>
    <x:row r="17" ht="26" customHeight="1">
      <x:c r="A17" s="19" t="str">
        <x:v>Source control context</x:v>
      </x:c>
      <x:c r="B17" s="15" t="str">
        <x:v>Privacy Assurance owns privacy-risk assessments and data-use reviews</x:v>
      </x:c>
    </x:row>
    <x:row r="18" ht="26" customHeight="1">
      <x:c r="A18" s="19" t="str">
        <x:v>Classification</x:v>
      </x:c>
      <x:c r="B18" s="15" t="str">
        <x:v>synthetic-defensive</x:v>
      </x:c>
    </x:row>
    <x:row r="20" ht="30" customHeight="1">
      <x:c r="A20" s="31" t="str">
        <x:v>Direct dependency path: cloud/team-shared/foundation/data/2026-07-15-team-assurance-handoff-evidence-metrics-csv-s000296.csv</x:v>
      </x:c>
      <x:c r="B20" s="31"/>
    </x:row>
  </x:sheetData>
  <x:mergeCells>
    <x:mergeCell ref="A1:D1"/>
    <x:mergeCell ref="A2:D2"/>
    <x:mergeCell ref="A20:B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6" hidden="0" customWidth="1"/>
  </x:cols>
  <x:sheetData>
    <x:row r="1">
      <x:c r="A1" s="29" t="str">
        <x:v>Auditability and control notes</x:v>
      </x:c>
      <x:c r="B1" s="29"/>
      <x:c r="C1" s="29"/>
      <x:c r="D1" s="29"/>
      <x:c r="E1" s="29"/>
      <x:c r="F1" s="29"/>
    </x:row>
    <x:row r="3">
      <x:c r="A3" s="30" t="str">
        <x:v>Control attribute</x:v>
      </x:c>
      <x:c r="B3" s="30" t="str">
        <x:v>Documented position</x:v>
      </x:c>
    </x:row>
    <x:row r="4" ht="32" customHeight="1">
      <x:c r="A4" s="19" t="str">
        <x:v>Evidence boundary</x:v>
      </x:c>
      <x:c r="B4" s="15" t="str">
        <x:v>Evidence set 184; synthetic defensive records only</x:v>
      </x:c>
    </x:row>
    <x:row r="5" ht="32" customHeight="1">
      <x:c r="A5" s="19" t="str">
        <x:v>Control owner</x:v>
      </x:c>
      <x:c r="B5" s="15" t="str">
        <x:v>Security GRC Analyst with Security Operations handoff</x:v>
      </x:c>
    </x:row>
    <x:row r="6" ht="32" customHeight="1">
      <x:c r="A6" s="19" t="str">
        <x:v>Review distinction</x:v>
      </x:c>
      <x:c r="B6" s="15" t="str">
        <x:v>Target review 2026-Q3; source evidence record 2026-07-15</x:v>
      </x:c>
    </x:row>
    <x:row r="7" ht="32" customHeight="1">
      <x:c r="A7" s="19" t="str">
        <x:v>Outcome</x:v>
      </x:c>
      <x:c r="B7" s="15" t="str">
        <x:v>No Kio indexing, history, search, or performance claim is made</x:v>
      </x:c>
    </x:row>
  </x:sheetData>
  <x:mergeCells>
    <x:mergeCell ref="A1:F1"/>
  </x:mergeCells>
  <x:pageMargins left="0.7" right="0.7" top="0.75" bottom="0.75" header="0.3" footer="0.3"/>
</x:worksheet>
</file>