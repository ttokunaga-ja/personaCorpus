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08b2ddb30f47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Summary" sheetId="1" r:id="Rc752f048e52346ae"/>
    <x:sheet xmlns:r="http://schemas.openxmlformats.org/officeDocument/2006/relationships" name="Evidence Register" sheetId="2" r:id="Rb05f65cc1f654f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A53"/>
      </x:patternFill>
    </x:fill>
    <x:fill>
      <x:patternFill patternType="solid">
        <x:fgColor rgb="FFE8F0F4"/>
      </x:patternFill>
    </x:fill>
  </x:fills>
  <x:borders count="10">
    <x:border/>
    <x:border>
      <x:left style="thin">
        <x:color rgb="FF9AA9B5"/>
      </x:left>
      <x:top style="thin">
        <x:color rgb="FF9AA9B5"/>
      </x:top>
    </x:border>
    <x:border>
      <x:top style="thin">
        <x:color rgb="FF9AA9B5"/>
      </x:top>
    </x:border>
    <x:border>
      <x:right style="thin">
        <x:color rgb="FF9AA9B5"/>
      </x:right>
      <x:top style="thin">
        <x:color rgb="FF9AA9B5"/>
      </x:top>
    </x:border>
    <x:border>
      <x:left style="thin">
        <x:color rgb="FF9AA9B5"/>
      </x:left>
    </x:border>
    <x:border>
      <x:right style="thin">
        <x:color rgb="FF9AA9B5"/>
      </x:right>
    </x:border>
    <x:border>
      <x:left style="thin">
        <x:color rgb="FF9AA9B5"/>
      </x:left>
      <x:bottom style="thin">
        <x:color rgb="FF9AA9B5"/>
      </x:bottom>
    </x:border>
    <x:border>
      <x:bottom style="thin">
        <x:color rgb="FF9AA9B5"/>
      </x:bottom>
    </x:border>
    <x:border>
      <x:right style="thin">
        <x:color rgb="FF9AA9B5"/>
      </x:right>
      <x:bottom style="thin">
        <x:color rgb="FF9AA9B5"/>
      </x:bottom>
    </x:border>
    <x:border>
      <x:left style="thin">
        <x:color rgb="FFCBD5DF"/>
      </x:left>
      <x:right style="thin">
        <x:color rgb="FFCBD5DF"/>
      </x:right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wrapText="1"/>
    </x:xf>
    <x:xf numFmtId="201" fontId="0" fillId="0" borderId="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1765021ef24b3e" /><Relationship Type="http://schemas.openxmlformats.org/officeDocument/2006/relationships/theme" Target="/xl/theme/theme1.xml" Id="R5a93030d694e44de" /><Relationship Type="http://schemas.openxmlformats.org/officeDocument/2006/relationships/sharedStrings" Target="/xl/sharedStrings.xml" Id="R7a89e079b4fd4d4d" /><Relationship Type="http://schemas.openxmlformats.org/officeDocument/2006/relationships/worksheet" Target="/xl/worksheets/sheet1.xml" Id="Rc752f048e52346ae" /><Relationship Type="http://schemas.openxmlformats.org/officeDocument/2006/relationships/worksheet" Target="/xl/worksheets/sheet2.xml" Id="Rb05f65cc1f654fa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2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8" customHeight="1">
      <x:c r="A1" s="8" t="str">
        <x:v>AC-27 Reference Workbook — 2026 q3 reference evidence template control workbook xlsx</x:v>
      </x:c>
      <x:c r="B1" s="8"/>
      <x:c r="C1" s="8"/>
      <x:c r="D1" s="8"/>
      <x:c r="E1" s="8"/>
      <x:c r="F1" s="8"/>
    </x:row>
    <x:row r="3">
      <x:c r="A3" s="16" t="str">
        <x:v>Artifact ID</x:v>
      </x:c>
      <x:c r="B3" s="17" t="str">
        <x:v>p03-full-009339</x:v>
      </x:c>
      <x:c r="C3" s="17"/>
      <x:c r="D3" s="18" t="str">
        <x:v>Metric</x:v>
      </x:c>
      <x:c r="E3" s="18" t="str">
        <x:v>Value</x:v>
      </x:c>
      <x:c r="F3" s="19" t="str">
        <x:v>Completion rate</x:v>
      </x:c>
    </x:row>
    <x:row r="4">
      <x:c r="A4" s="20" t="str">
        <x:v>Control</x:v>
      </x:c>
      <x:c r="B4" s="12" t="str">
        <x:v>Aegis Control AC-27</x:v>
      </x:c>
      <x:c r="C4" s="12"/>
      <x:c r="D4" s="12" t="str">
        <x:v>Population reviewed</x:v>
      </x:c>
      <x:c r="E4" s="14" t="n">
        <x:v>48</x:v>
      </x:c>
      <x:c r="F4" s="21" t="n">
        <x:f>E4/E4</x:f>
        <x:v>1</x:v>
      </x:c>
    </x:row>
    <x:row r="5">
      <x:c r="A5" s="20" t="str">
        <x:v>Review context</x:v>
      </x:c>
      <x:c r="B5" s="12" t="str">
        <x:v>Cobalt Harbor Systems / evidence set 184</x:v>
      </x:c>
      <x:c r="C5" s="12"/>
      <x:c r="D5" s="12" t="str">
        <x:v>Timely attestations</x:v>
      </x:c>
      <x:c r="E5" s="14" t="n">
        <x:v>47</x:v>
      </x:c>
      <x:c r="F5" s="21" t="n">
        <x:f>E5/E4</x:f>
        <x:v>0.9791666666666666</x:v>
      </x:c>
    </x:row>
    <x:row r="6">
      <x:c r="A6" s="20" t="str">
        <x:v>Dependency</x:v>
      </x:c>
      <x:c r="B6" s="12" t="str">
        <x:v>p03-full-002798 (documents/reference/foundation/data/2026-q3-reference-review-guide-evidence-metrics-csv-s002798.csv)</x:v>
      </x:c>
      <x:c r="C6" s="12"/>
      <x:c r="D6" s="12" t="str">
        <x:v>Final completion</x:v>
      </x:c>
      <x:c r="E6" s="14" t="n">
        <x:v>48</x:v>
      </x:c>
      <x:c r="F6" s="21" t="n">
        <x:f>E6/E4</x:f>
        <x:v>1</x:v>
      </x:c>
    </x:row>
    <x:row r="7">
      <x:c r="A7" s="20" t="str">
        <x:v>Review status</x:v>
      </x:c>
      <x:c r="B7" s="12" t="str">
        <x:v>Compensating review tracked</x:v>
      </x:c>
      <x:c r="C7" s="12"/>
      <x:c r="D7" s="12"/>
      <x:c r="E7" s="12"/>
      <x:c r="F7" s="22"/>
    </x:row>
    <x:row r="8">
      <x:c r="A8" s="20" t="str">
        <x:v>Boundary</x:v>
      </x:c>
      <x:c r="B8" s="12" t="str">
        <x:v>Synthetic defensive evidence only; no Kio claim</x:v>
      </x:c>
      <x:c r="C8" s="12"/>
      <x:c r="D8" s="12"/>
      <x:c r="E8" s="12"/>
      <x:c r="F8" s="22"/>
    </x:row>
    <x:row r="9" ht="80" customHeight="1">
      <x:c r="A9" s="23" t="str">
        <x:v>Dependency excerpt</x:v>
      </x:c>
      <x:c r="B9" s="24" t="str">
        <x:v>Data record: 2026-q3-reference-review-guide-evidence-metrics-csv-s002798; checkpoint AC27-RF-dcp; 2026-07-13 AC-27; evidence 184; reviewed 48; timely 47; final 48; residual Medium.</x:v>
      </x:c>
      <x:c r="C9" s="24"/>
      <x:c r="D9" s="24"/>
      <x:c r="E9" s="24"/>
      <x:c r="F9" s="25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1" hidden="0" customWidth="1"/>
    <x:col min="3" max="3" width="14" hidden="0" customWidth="1"/>
    <x:col min="4" max="4" width="28" hidden="0" customWidth="1"/>
    <x:col min="5" max="5" width="18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t="str">
        <x:v>Evidence register — p03-full-009339</x:v>
      </x:c>
    </x:row>
    <x:row r="3">
      <x:c r="A3" s="13" t="str">
        <x:v>Evidence ID</x:v>
      </x:c>
      <x:c r="B3" s="13" t="str">
        <x:v>Evidence type</x:v>
      </x:c>
      <x:c r="C3" s="13" t="str">
        <x:v>Review date</x:v>
      </x:c>
      <x:c r="D3" s="13" t="str">
        <x:v>Control requirement</x:v>
      </x:c>
      <x:c r="E3" s="13" t="str">
        <x:v>Owner role</x:v>
      </x:c>
      <x:c r="F3" s="13" t="str">
        <x:v>Exception</x:v>
      </x:c>
      <x:c r="G3" s="13" t="str">
        <x:v>Disposition</x:v>
      </x:c>
      <x:c r="H3" s="13" t="str">
        <x:v>QA note</x:v>
      </x:c>
    </x:row>
    <x:row r="4">
      <x:c r="A4" s="28" t="str">
        <x:v>EV-184-01</x:v>
      </x:c>
      <x:c r="B4" s="28" t="str">
        <x:v>Population summary</x:v>
      </x:c>
      <x:c r="C4" s="28" t="str">
        <x:v>2026-07-13</x:v>
      </x:c>
      <x:c r="D4" s="28" t="str">
        <x:v>Quarterly access review</x:v>
      </x:c>
      <x:c r="E4" s="28" t="str">
        <x:v>GRC reviewer</x:v>
      </x:c>
      <x:c r="F4" s="28" t="str">
        <x:v>No</x:v>
      </x:c>
      <x:c r="G4" s="28" t="str">
        <x:v>Verified</x:v>
      </x:c>
      <x:c r="H4" s="28" t="str">
        <x:v>48 reviewed; 47 timely</x:v>
      </x:c>
    </x:row>
    <x:row r="5">
      <x:c r="A5" s="28" t="str">
        <x:v>EV-184-07</x:v>
      </x:c>
      <x:c r="B5" s="28" t="str">
        <x:v>Minimized export</x:v>
      </x:c>
      <x:c r="C5" s="28" t="str">
        <x:v>2026-07-13</x:v>
      </x:c>
      <x:c r="D5" s="28" t="str">
        <x:v>Bounded evidence intake</x:v>
      </x:c>
      <x:c r="E5" s="28" t="str">
        <x:v>SOC duty</x:v>
      </x:c>
      <x:c r="F5" s="28" t="str">
        <x:v>No</x:v>
      </x:c>
      <x:c r="G5" s="28" t="str">
        <x:v>Verified</x:v>
      </x:c>
      <x:c r="H5" s="28" t="str">
        <x:v>Categories and counts only</x:v>
      </x:c>
    </x:row>
    <x:row r="6">
      <x:c r="A6" s="28" t="str">
        <x:v>EV-184-19</x:v>
      </x:c>
      <x:c r="B6" s="28" t="str">
        <x:v>Checksum reconciliation</x:v>
      </x:c>
      <x:c r="C6" s="28" t="str">
        <x:v>2026-07-14</x:v>
      </x:c>
      <x:c r="D6" s="28" t="str">
        <x:v>Integrity confirmation</x:v>
      </x:c>
      <x:c r="E6" s="28" t="str">
        <x:v>GRC reviewer</x:v>
      </x:c>
      <x:c r="F6" s="28" t="str">
        <x:v>No</x:v>
      </x:c>
      <x:c r="G6" s="28" t="str">
        <x:v>Verified</x:v>
      </x:c>
      <x:c r="H6" s="28" t="str">
        <x:v>24 of 24 items reconciled</x:v>
      </x:c>
    </x:row>
    <x:row r="7">
      <x:c r="A7" s="28" t="str">
        <x:v>EXC-260713-006</x:v>
      </x:c>
      <x:c r="B7" s="28" t="str">
        <x:v>Delayed attestation</x:v>
      </x:c>
      <x:c r="C7" s="28" t="str">
        <x:v>2026-07-14</x:v>
      </x:c>
      <x:c r="D7" s="28" t="str">
        <x:v>Exception disposition</x:v>
      </x:c>
      <x:c r="E7" s="28" t="str">
        <x:v>Control owner</x:v>
      </x:c>
      <x:c r="F7" s="28" t="str">
        <x:v>Yes</x:v>
      </x:c>
      <x:c r="G7" s="28" t="str">
        <x:v>Closed</x:v>
      </x:c>
      <x:c r="H7" s="28" t="str">
        <x:v>Compensating review complete</x:v>
      </x:c>
    </x:row>
  </x:sheetData>
  <x:mergeCells>
    <x:mergeCell ref="A1:H1"/>
  </x:mergeCells>
  <x:pageMargins left="0.7" right="0.7" top="0.75" bottom="0.75" header="0.3" footer="0.3"/>
</x:worksheet>
</file>