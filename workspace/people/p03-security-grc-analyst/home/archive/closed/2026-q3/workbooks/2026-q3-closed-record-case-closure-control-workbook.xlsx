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447bf9f4044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ure Review" sheetId="1" r:id="R72f0ae4b5a8d4f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4E5B"/>
      </x:patternFill>
    </x:fill>
  </x:fills>
  <x:borders count="2">
    <x:border/>
    <x:border>
      <x:left style="thin">
        <x:color rgb="FFB8C7CC"/>
      </x:left>
      <x:right style="thin">
        <x:color rgb="FFB8C7CC"/>
      </x:right>
      <x:top style="thin">
        <x:color rgb="FFB8C7CC"/>
      </x:top>
      <x:bottom style="thin">
        <x:color rgb="FFB8C7C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8c059956c4355" /><Relationship Type="http://schemas.openxmlformats.org/officeDocument/2006/relationships/theme" Target="/xl/theme/theme1.xml" Id="Rd207027382644919" /><Relationship Type="http://schemas.openxmlformats.org/officeDocument/2006/relationships/sharedStrings" Target="/xl/sharedStrings.xml" Id="R03ab636551644a19" /><Relationship Type="http://schemas.openxmlformats.org/officeDocument/2006/relationships/worksheet" Target="/xl/worksheets/sheet1.xml" Id="R72f0ae4b5a8d4f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8" hidden="0" customWidth="1"/>
    <x:col min="4" max="4" width="26" hidden="0" customWidth="1"/>
    <x:col min="5" max="5" width="17" hidden="0" customWidth="1"/>
    <x:col min="6" max="6" width="17" hidden="0" customWidth="1"/>
  </x:cols>
  <x:sheetData>
    <x:row r="1">
      <x:c r="A1" s="4" t="str">
        <x:v>CLOSED RECORD CONTROL WORKBOOK</x:v>
      </x:c>
      <x:c r="B1" s="4"/>
      <x:c r="C1" s="4"/>
      <x:c r="D1" s="4"/>
      <x:c r="E1" s="4"/>
      <x:c r="F1" s="4"/>
    </x:row>
    <x:row r="2">
      <x:c r="A2" s="8" t="str">
        <x:v>Cobalt Harbor Systems | Aegis Control AC-27 | p03-full-004860</x:v>
      </x:c>
      <x:c r="B2" s="8"/>
      <x:c r="C2" s="8"/>
      <x:c r="D2" s="8"/>
      <x:c r="E2" s="8"/>
      <x:c r="F2" s="8"/>
    </x:row>
    <x:row r="3">
      <x:c r="A3" s="8"/>
      <x:c r="B3" s="8"/>
      <x:c r="C3" s="8"/>
      <x:c r="D3" s="8"/>
      <x:c r="E3" s="8"/>
      <x:c r="F3" s="8"/>
    </x:row>
    <x:row r="4">
      <x:c r="A4" s="9" t="str">
        <x:v>Review date</x:v>
      </x:c>
      <x:c r="B4" s="9" t="str">
        <x:v>Evidence set</x:v>
      </x:c>
      <x:c r="C4" s="9" t="str">
        <x:v>Dependency</x:v>
      </x:c>
      <x:c r="D4" s="9" t="str">
        <x:v>Review population</x:v>
      </x:c>
      <x:c r="E4" s="9" t="str">
        <x:v>Timely rate</x:v>
      </x:c>
      <x:c r="F4" s="9" t="str">
        <x:v>Final rate</x:v>
      </x:c>
    </x:row>
    <x:row r="5">
      <x:c r="A5" s="10" t="str">
        <x:v>2026-q3</x:v>
      </x:c>
      <x:c r="B5" s="10" t="n">
        <x:v>184</x:v>
      </x:c>
      <x:c r="C5" s="10" t="str">
        <x:v>p03-full-001496</x:v>
      </x:c>
      <x:c r="D5" s="10" t="n">
        <x:v>48</x:v>
      </x:c>
      <x:c r="E5" s="11" t="n">
        <x:v>0.979</x:v>
      </x:c>
      <x:c r="F5" s="11" t="n">
        <x:v>1</x:v>
      </x:c>
    </x:row>
    <x:row r="6">
      <x:c r="A6" s="10"/>
      <x:c r="B6" s="10"/>
      <x:c r="C6" s="10"/>
      <x:c r="D6" s="10"/>
      <x:c r="E6" s="10"/>
      <x:c r="F6" s="10"/>
    </x:row>
    <x:row r="7">
      <x:c r="A7" s="10"/>
      <x:c r="B7" s="10"/>
      <x:c r="C7" s="10"/>
      <x:c r="D7" s="10"/>
      <x:c r="E7" s="10"/>
      <x:c r="F7" s="10"/>
    </x:row>
    <x:row r="8">
      <x:c r="A8" s="9" t="str">
        <x:v>Closure check</x:v>
      </x:c>
      <x:c r="B8" s="9" t="str">
        <x:v>Result</x:v>
      </x:c>
      <x:c r="C8" s="9" t="str">
        <x:v>Bounded finding</x:v>
      </x:c>
      <x:c r="D8" s="9" t="str">
        <x:v>Disposition</x:v>
      </x:c>
      <x:c r="E8" s="9" t="str">
        <x:v>Owner</x:v>
      </x:c>
      <x:c r="F8" s="9" t="str">
        <x:v>Follow-up</x:v>
      </x:c>
    </x:row>
    <x:row r="9">
      <x:c r="A9" s="10" t="str">
        <x:v>Evidence completeness</x:v>
      </x:c>
      <x:c r="B9" s="10" t="n">
        <x:v>24</x:v>
      </x:c>
      <x:c r="C9" s="10" t="str">
        <x:v>24 of 24 verified</x:v>
      </x:c>
      <x:c r="D9" s="10" t="str">
        <x:v>Retain</x:v>
      </x:c>
      <x:c r="E9" s="10" t="str">
        <x:v>Security GRC</x:v>
      </x:c>
      <x:c r="F9" s="10" t="str">
        <x:v>2026-07-20</x:v>
      </x:c>
    </x:row>
    <x:row r="10">
      <x:c r="A10" s="10" t="str">
        <x:v>Exception linkage</x:v>
      </x:c>
      <x:c r="B10" s="10" t="str">
        <x:v>EXC-260713-006</x:v>
      </x:c>
      <x:c r="C10" s="10" t="str">
        <x:v>Compensating review complete</x:v>
      </x:c>
      <x:c r="D10" s="10" t="str">
        <x:v>Closed</x:v>
      </x:c>
      <x:c r="E10" s="10" t="str">
        <x:v>Control owner</x:v>
      </x:c>
      <x:c r="F10" s="10" t="str">
        <x:v>2026-07-14</x:v>
      </x:c>
    </x:row>
    <x:row r="11">
      <x:c r="A11" s="10" t="str">
        <x:v>Residual risk</x:v>
      </x:c>
      <x:c r="B11" s="10" t="str">
        <x:v>Medium</x:v>
      </x:c>
      <x:c r="C11" s="10" t="str">
        <x:v>RISK-031</x:v>
      </x:c>
      <x:c r="D11" s="10" t="str">
        <x:v>Residual Medium</x:v>
      </x:c>
      <x:c r="E11" s="10" t="str">
        <x:v>Security GRC</x:v>
      </x:c>
      <x:c r="F11" s="10" t="str">
        <x:v>2026-07-20</x:v>
      </x:c>
    </x:row>
    <x:row r="12">
      <x:c r="A12" s="10" t="str">
        <x:v>Production boundary</x:v>
      </x:c>
      <x:c r="B12" s="10" t="str">
        <x:v>No Kio claim</x:v>
      </x:c>
      <x:c r="C12" s="10" t="str">
        <x:v>Synthetic only</x:v>
      </x:c>
      <x:c r="D12" s="10" t="str">
        <x:v>Confirmed</x:v>
      </x:c>
      <x:c r="E12" s="10" t="str">
        <x:v>Security GRC</x:v>
      </x:c>
      <x:c r="F12" s="10" t="str">
        <x:v>N/A</x:v>
      </x:c>
    </x:row>
    <x:row r="13">
      <x:c r="A13" s="8"/>
      <x:c r="B13" s="8"/>
      <x:c r="C13" s="8"/>
      <x:c r="D13" s="8"/>
      <x:c r="E13" s="8"/>
      <x:c r="F13" s="8"/>
    </x:row>
    <x:row r="14">
      <x:c r="A14" s="9" t="str">
        <x:v>Formula control</x:v>
      </x:c>
      <x:c r="B14" s="9" t="str">
        <x:v>Result</x:v>
      </x:c>
      <x:c r="C14" s="8"/>
      <x:c r="D14" s="8"/>
      <x:c r="E14" s="8"/>
      <x:c r="F14" s="8"/>
    </x:row>
    <x:row r="15">
      <x:c r="A15" s="10" t="str">
        <x:v>Evidence complete</x:v>
      </x:c>
      <x:c r="B15" s="10" t="b">
        <x:f>B9=24</x:f>
        <x:v>1</x:v>
      </x:c>
      <x:c r="C15" s="8"/>
      <x:c r="D15" s="8"/>
      <x:c r="E15" s="8"/>
      <x:c r="F15" s="8"/>
    </x:row>
    <x:row r="16">
      <x:c r="A16" s="10" t="str">
        <x:v>Completion confirmed</x:v>
      </x:c>
      <x:c r="B16" s="10" t="b">
        <x:f>F5=1</x:f>
        <x:v>1</x:v>
      </x:c>
      <x:c r="C16" s="8"/>
      <x:c r="D16" s="8"/>
      <x:c r="E16" s="8"/>
      <x:c r="F16" s="8"/>
    </x:row>
  </x:sheetData>
  <x:mergeCells>
    <x:mergeCell ref="A1:F1"/>
    <x:mergeCell ref="A2:F2"/>
  </x:mergeCells>
  <x:pageMargins left="0.7" right="0.7" top="0.75" bottom="0.75" header="0.3" footer="0.3"/>
</x:worksheet>
</file>