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tection Review" sheetId="1" state="visible" r:id="rId3"/>
    <sheet name="Source Trac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<sst xmlns="http://schemas.openxmlformats.org/spreadsheetml/2006/main" count="48" uniqueCount="44">
  <si>
    <t xml:space="preserve">DETECTION REVIEW CONTROL WORKBOOK</t>
  </si>
  <si>
    <t xml:space="preserve">Cobalt Harbor Systems | Aegis Control AC-27 | p03-full-008412</t>
  </si>
  <si>
    <t xml:space="preserve">Review window</t>
  </si>
  <si>
    <t xml:space="preserve">Evidence
set</t>
  </si>
  <si>
    <t xml:space="preserve">Source
artifact</t>
  </si>
  <si>
    <t xml:space="preserve">Focus</t>
  </si>
  <si>
    <t xml:space="preserve">Disposition</t>
  </si>
  <si>
    <t xml:space="preserve">Synthetic
only</t>
  </si>
  <si>
    <t xml:space="preserve">2026-07-14</t>
  </si>
  <si>
    <t xml:space="preserve">p03-full-
000016</t>
  </si>
  <si>
    <t xml:space="preserve">Rule assurance</t>
  </si>
  <si>
    <t xml:space="preserve">Retain
summary</t>
  </si>
  <si>
    <t xml:space="preserve">Compensating review</t>
  </si>
  <si>
    <t xml:space="preserve">Confirm
AC-27</t>
  </si>
  <si>
    <t xml:space="preserve">Checksum reconciliation</t>
  </si>
  <si>
    <t xml:space="preserve">Residual
Medium</t>
  </si>
  <si>
    <t xml:space="preserve">Assurance check</t>
  </si>
  <si>
    <t xml:space="preserve">Result</t>
  </si>
  <si>
    <t xml:space="preserve">24/24 reconciled</t>
  </si>
  <si>
    <t xml:space="preserve">Population complete</t>
  </si>
  <si>
    <t xml:space="preserve">Final completion</t>
  </si>
  <si>
    <t xml:space="preserve">No Kio claim</t>
  </si>
  <si>
    <t xml:space="preserve">Direct dependency facts are recorded on the Source Trace sheet.</t>
  </si>
  <si>
    <t xml:space="preserve">Synthetic defensive governance evidence only. No live telemetry, credentials, identities, targets, or Kio claim.</t>
  </si>
  <si>
    <t xml:space="preserve">Source Trace</t>
  </si>
  <si>
    <t xml:space="preserve">Verified direct dependency facts</t>
  </si>
  <si>
    <t xml:space="preserve">Dependency evidence</t>
  </si>
  <si>
    <t xml:space="preserve">p03-full-000016: record=p03-full-000016</t>
  </si>
  <si>
    <t xml:space="preserve">Fact 1</t>
  </si>
  <si>
    <t xml:space="preserve">date=2026-07-15</t>
  </si>
  <si>
    <t xml:space="preserve">Fact 2</t>
  </si>
  <si>
    <t xml:space="preserve">topic=rule assurance</t>
  </si>
  <si>
    <t xml:space="preserve">Fact 3</t>
  </si>
  <si>
    <t xml:space="preserve">control=AC-27</t>
  </si>
  <si>
    <t xml:space="preserve">Fact 4</t>
  </si>
  <si>
    <t xml:space="preserve">metrics=48 reviewed/47 timely/48 final</t>
  </si>
  <si>
    <t xml:space="preserve">Fact 5</t>
  </si>
  <si>
    <t xml:space="preserve">completeness=24 of 24</t>
  </si>
  <si>
    <t xml:space="preserve">Fact 6</t>
  </si>
  <si>
    <t xml:space="preserve">residual=Medium</t>
  </si>
  <si>
    <t xml:space="preserve">Fact 7</t>
  </si>
  <si>
    <t xml:space="preserve">decision=AC-27 control review confirms preparer and reviewer separation</t>
  </si>
  <si>
    <t xml:space="preserve">Fact 8</t>
  </si>
  <si>
    <t xml:space="preserve">CASE-260713-184 retains RISK-031 at Medium residual risk.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</si>
</sst>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163A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B5E55"/>
      <name val="Calibri"/>
      <family val="0"/>
      <charset val="1"/>
    </font>
    <font>
      <i val="true"/>
      <sz val="11"/>
      <color rgb="FF174F4A"/>
      <name val="Calibri"/>
      <family val="0"/>
      <charset val="1"/>
    </font>
    <font>
      <i val="true"/>
      <sz val="11"/>
      <color rgb="FF334155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A5F"/>
        <bgColor rgb="FF334155"/>
      </patternFill>
    </fill>
    <fill>
      <patternFill patternType="solid">
        <fgColor rgb="FFDCEAF2"/>
        <bgColor rgb="FFE9F4F3"/>
      </patternFill>
    </fill>
    <fill>
      <patternFill patternType="solid">
        <fgColor rgb="FFE9F4F3"/>
        <bgColor rgb="FFF3F7FA"/>
      </patternFill>
    </fill>
    <fill>
      <patternFill patternType="solid">
        <fgColor rgb="FFF3F7FA"/>
        <bgColor rgb="FFE9F4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7D0"/>
      </left>
      <right style="thin">
        <color rgb="FFB9C7D0"/>
      </right>
      <top style="thin">
        <color rgb="FFB9C7D0"/>
      </top>
      <bottom style="thin">
        <color rgb="FFB9C7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E55"/>
      <rgbColor rgb="FFB9C7D0"/>
      <rgbColor rgb="FF808080"/>
      <rgbColor rgb="FF9999FF"/>
      <rgbColor rgb="FF993366"/>
      <rgbColor rgb="FFF3F7FA"/>
      <rgbColor rgb="FFE9F4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63A5F"/>
      <rgbColor rgb="FF339966"/>
      <rgbColor rgb="FF174F4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9.41"/>
    <col collapsed="false" customWidth="true" hidden="false" outlineLevel="0" max="3" min="3" style="0" width="8.47"/>
    <col collapsed="false" customWidth="true" hidden="false" outlineLevel="0" max="4" min="4" style="0" width="18.81"/>
    <col collapsed="false" customWidth="true" hidden="false" outlineLevel="0" max="6" min="5" style="0" width="9.41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6.4" hidden="false" customHeight="true" outlineLevel="0" collapsed="false">
      <c r="A5" s="4" t="s">
        <v>8</v>
      </c>
      <c r="B5" s="4" t="n">
        <v>184</v>
      </c>
      <c r="C5" s="4" t="s">
        <v>9</v>
      </c>
      <c r="D5" s="4" t="s">
        <v>10</v>
      </c>
      <c r="E5" s="4" t="s">
        <v>11</v>
      </c>
      <c r="F5" s="4" t="b">
        <f aca="false">TRUE()</f>
        <v>1</v>
      </c>
    </row>
    <row r="6" customFormat="false" ht="26.4" hidden="false" customHeight="true" outlineLevel="0" collapsed="false">
      <c r="A6" s="4" t="s">
        <v>8</v>
      </c>
      <c r="B6" s="4" t="n">
        <v>184</v>
      </c>
      <c r="C6" s="4" t="s">
        <v>9</v>
      </c>
      <c r="D6" s="4" t="s">
        <v>12</v>
      </c>
      <c r="E6" s="4" t="s">
        <v>13</v>
      </c>
      <c r="F6" s="4" t="b">
        <f aca="false">TRUE()</f>
        <v>1</v>
      </c>
    </row>
    <row r="7" customFormat="false" ht="39.6" hidden="false" customHeight="true" outlineLevel="0" collapsed="false">
      <c r="A7" s="4" t="s">
        <v>8</v>
      </c>
      <c r="B7" s="4" t="n">
        <v>184</v>
      </c>
      <c r="C7" s="4" t="s">
        <v>9</v>
      </c>
      <c r="D7" s="4" t="s">
        <v>14</v>
      </c>
      <c r="E7" s="4" t="s">
        <v>15</v>
      </c>
      <c r="F7" s="4" t="b">
        <f aca="false">TRUE()</f>
        <v>1</v>
      </c>
    </row>
    <row r="10" customFormat="false" ht="15" hidden="false" customHeight="true" outlineLevel="0" collapsed="false">
      <c r="A10" s="5" t="s">
        <v>16</v>
      </c>
      <c r="B10" s="5" t="s">
        <v>17</v>
      </c>
    </row>
    <row r="11" customFormat="false" ht="15" hidden="false" customHeight="true" outlineLevel="0" collapsed="false">
      <c r="A11" s="6" t="s">
        <v>18</v>
      </c>
      <c r="B11" s="7" t="b">
        <f aca="false">IF(COUNTA(A5:A7)=3,TRUE(),FALSE())</f>
        <v>1</v>
      </c>
    </row>
    <row r="12" customFormat="false" ht="15" hidden="false" customHeight="true" outlineLevel="0" collapsed="false">
      <c r="A12" s="6" t="s">
        <v>19</v>
      </c>
      <c r="B12" s="7" t="b">
        <f aca="false">IF(COUNTIF(B5:B7,184)=3,TRUE(),FALSE())</f>
        <v>1</v>
      </c>
    </row>
    <row r="13" customFormat="false" ht="15" hidden="false" customHeight="true" outlineLevel="0" collapsed="false">
      <c r="A13" s="6" t="s">
        <v>20</v>
      </c>
      <c r="B13" s="7" t="b">
        <f aca="false">IF(COUNTIF(F5:F7,TRUE())=3,TRUE(),FALSE())</f>
        <v>1</v>
      </c>
    </row>
    <row r="14" customFormat="false" ht="15" hidden="false" customHeight="true" outlineLevel="0" collapsed="false">
      <c r="A14" s="6" t="s">
        <v>21</v>
      </c>
      <c r="B14" s="7" t="b">
        <f aca="false">IF(AND(B11,B12,B13),TRUE(),FALSE())</f>
        <v>1</v>
      </c>
    </row>
    <row r="16" customFormat="false" ht="22" hidden="false" customHeight="true" outlineLevel="0" collapsed="false">
      <c r="A16" s="8" t="s">
        <v>22</v>
      </c>
      <c r="B16" s="8"/>
      <c r="C16" s="8"/>
      <c r="D16" s="8"/>
      <c r="E16" s="8"/>
      <c r="F16" s="8"/>
    </row>
    <row r="18" customFormat="false" ht="26.4" hidden="false" customHeight="true" outlineLevel="0" collapsed="false">
      <c r="A18" s="9" t="s">
        <v>23</v>
      </c>
      <c r="B18" s="9"/>
      <c r="C18" s="9"/>
      <c r="D18" s="9"/>
      <c r="E18" s="9"/>
      <c r="F18" s="9"/>
    </row>
  </sheetData>
  <mergeCells count="4">
    <mergeCell ref="A1:F1"/>
    <mergeCell ref="A2:F2"/>
    <mergeCell ref="A16:F16"/>
    <mergeCell ref="A18:F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6.93"/>
    <col collapsed="false" customWidth="true" hidden="false" outlineLevel="0" max="2" min="2" style="0" width="39.51"/>
  </cols>
  <sheetData>
    <row r="1" customFormat="false" ht="15" hidden="false" customHeight="true" outlineLevel="0" collapsed="false">
      <c r="A1" s="10" t="s">
        <v>24</v>
      </c>
      <c r="B1" s="10" t="s">
        <v>25</v>
      </c>
    </row>
    <row r="2" customFormat="false" ht="34" hidden="false" customHeight="true" outlineLevel="0" collapsed="false">
      <c r="A2" s="4" t="s">
        <v>26</v>
      </c>
      <c r="B2" s="4" t="s">
        <v>27</v>
      </c>
    </row>
    <row r="3" customFormat="false" ht="15" hidden="false" customHeight="true" outlineLevel="0" collapsed="false">
      <c r="A3" s="4" t="s">
        <v>28</v>
      </c>
      <c r="B3" s="4" t="s">
        <v>29</v>
      </c>
    </row>
    <row r="4" customFormat="false" ht="15" hidden="false" customHeight="true" outlineLevel="0" collapsed="false">
      <c r="A4" s="4" t="s">
        <v>30</v>
      </c>
      <c r="B4" s="4" t="s">
        <v>31</v>
      </c>
    </row>
    <row r="5" customFormat="false" ht="15" hidden="false" customHeight="true" outlineLevel="0" collapsed="false">
      <c r="A5" s="4" t="s">
        <v>32</v>
      </c>
      <c r="B5" s="4" t="s">
        <v>33</v>
      </c>
    </row>
    <row r="6" customFormat="false" ht="15" hidden="false" customHeight="true" outlineLevel="0" collapsed="false">
      <c r="A6" s="4" t="s">
        <v>34</v>
      </c>
      <c r="B6" s="4" t="s">
        <v>35</v>
      </c>
    </row>
    <row r="7" customFormat="false" ht="15" hidden="false" customHeight="true" outlineLevel="0" collapsed="false">
      <c r="A7" s="4" t="s">
        <v>36</v>
      </c>
      <c r="B7" s="4" t="s">
        <v>37</v>
      </c>
    </row>
    <row r="8" customFormat="false" ht="15" hidden="false" customHeight="true" outlineLevel="0" collapsed="false">
      <c r="A8" s="4" t="s">
        <v>38</v>
      </c>
      <c r="B8" s="4" t="s">
        <v>39</v>
      </c>
    </row>
    <row r="9" customFormat="false" ht="26.4" hidden="false" customHeight="true" outlineLevel="0" collapsed="false">
      <c r="A9" s="4" t="s">
        <v>40</v>
      </c>
      <c r="B9" s="4" t="s">
        <v>41</v>
      </c>
    </row>
    <row r="10" customFormat="false" ht="26.4" hidden="false" customHeight="true" outlineLevel="0" collapsed="false">
      <c r="A10" s="4" t="s">
        <v>42</v>
      </c>
      <c r="B10" s="4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