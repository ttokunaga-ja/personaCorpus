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bd297baa247490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ntrol Review" sheetId="1" r:id="Rda1af0bbdc124a46"/>
    <x:sheet xmlns:r="http://schemas.openxmlformats.org/officeDocument/2006/relationships" name="QA v2 Traceability" sheetId="2" r:id="R26790bb74ca94d9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"/>
    <x:numFmt numFmtId="201" formatCode="0.0%"/>
    <x:numFmt numFmtId="202" formatCode="@"/>
  </x:numFmts>
  <x:fonts count="8">
    <x:font>
      <x:sz val="11"/>
      <x:name val="Carlito"/>
    </x:font>
    <x:font>
      <x:b/>
      <x:sz val="16"/>
      <x:color rgb="FFFFFFFF"/>
      <x:name val="Carlito"/>
    </x:font>
    <x:font>
      <x:i/>
      <x:sz val="11"/>
      <x:color rgb="FF17365D"/>
      <x:name val="Carlito"/>
    </x:font>
    <x:font>
      <x:b/>
      <x:sz val="11"/>
      <x:color rgb="FFFFFFFF"/>
      <x:name val="Carlito"/>
    </x:font>
    <x:font>
      <x:i/>
      <x:sz val="11"/>
      <x:color rgb="FF7F6000"/>
      <x:name val="Carlito"/>
    </x:font>
    <x:font>
      <x:b/>
      <x:sz val="14"/>
      <x:color rgb="FFFFFFFF"/>
      <x:name val="Carlito"/>
    </x:font>
    <x:font>
      <x:i/>
      <x:sz val="11"/>
      <x:color rgb="FF1D4E6D"/>
      <x:name val="Carlito"/>
    </x:font>
    <x:font>
      <x:b/>
      <x:sz val="11"/>
      <x:color rgb="FF123047"/>
      <x:name val="Carlito"/>
    </x:font>
  </x:fonts>
  <x:fills count="11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EAF0F7"/>
      </x:patternFill>
    </x:fill>
    <x:fill>
      <x:patternFill patternType="solid">
        <x:fgColor rgb="FF2F75B5"/>
      </x:patternFill>
    </x:fill>
    <x:fill>
      <x:patternFill patternType="solid">
        <x:fgColor rgb="FF5B9BD5"/>
      </x:patternFill>
    </x:fill>
    <x:fill>
      <x:patternFill patternType="solid">
        <x:fgColor rgb="FFFFF2CC"/>
      </x:patternFill>
    </x:fill>
    <x:fill>
      <x:patternFill patternType="solid">
        <x:fgColor rgb="FF123047"/>
      </x:patternFill>
    </x:fill>
    <x:fill>
      <x:patternFill patternType="solid">
        <x:fgColor rgb="FFE8F1F8"/>
      </x:patternFill>
    </x:fill>
    <x:fill>
      <x:patternFill patternType="solid">
        <x:fgColor rgb="FFD9EAF7"/>
      </x:patternFill>
    </x:fill>
    <x:fill>
      <x:patternFill patternType="solid">
        <x:fgColor rgb="FF1D4E6D"/>
      </x:patternFill>
    </x:fill>
  </x:fills>
  <x:borders count="4">
    <x:border/>
    <x:border>
      <x:left style="thin">
        <x:color rgb="FFB8C7D9"/>
      </x:left>
      <x:right style="thin">
        <x:color rgb="FFB8C7D9"/>
      </x:right>
      <x:top style="thin">
        <x:color rgb="FFB8C7D9"/>
      </x:top>
      <x:bottom style="thin">
        <x:color rgb="FFB8C7D9"/>
      </x:bottom>
    </x:border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B8C7D1"/>
      </x:left>
      <x:right style="thin">
        <x:color rgb="FFB8C7D1"/>
      </x:right>
      <x:top style="thin">
        <x:color rgb="FFB8C7D1"/>
      </x:top>
      <x:bottom style="thin">
        <x:color rgb="FFB8C7D1"/>
      </x:bottom>
    </x:border>
  </x:borders>
  <x:cellStyleXfs count="1">
    <x:xf numFmtId="0" fontId="0" fillId="0" borderId="0"/>
  </x:cellStyleXfs>
  <x:cellXfs count="4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0" fillId="0" borderId="1" xfId="0" applyNumberFormat="1" applyFont="1" applyFill="1" applyBorder="1"/>
    <x:xf numFmtId="200" fontId="0" fillId="0" borderId="1" xfId="0" applyNumberFormat="1" applyFont="1" applyFill="1" applyBorder="1"/>
    <x:xf numFmtId="0" fontId="3" fillId="2" borderId="0" xfId="0" applyNumberFormat="1" applyFont="1" applyFill="1" applyBorder="1"/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3" fillId="5" borderId="2" xfId="0" applyNumberFormat="1" applyFont="1" applyFill="1" applyBorder="1"/>
    <x:xf numFmtId="0" fontId="0" fillId="0" borderId="2" xfId="0" applyNumberFormat="1" applyFont="1" applyFill="1" applyBorder="1"/>
    <x:xf numFmtId="201" fontId="0" fillId="0" borderId="2" xfId="0" applyNumberFormat="1" applyFont="1" applyFill="1" applyBorder="1"/>
    <x:xf numFmtId="200" fontId="0" fillId="0" borderId="2" xfId="0" applyNumberFormat="1" applyFont="1" applyFill="1" applyBorder="1"/>
    <x:xf numFmtId="0" fontId="0" fillId="6" borderId="0" xfId="0" applyNumberFormat="1" applyFont="1" applyFill="1" applyBorder="1"/>
    <x:xf numFmtId="0" fontId="4" fillId="6" borderId="0" xfId="0" applyNumberFormat="1" applyFont="1" applyFill="1" applyBorder="1"/>
    <x:xf numFmtId="0" fontId="4" fillId="6" borderId="0" xfId="0" applyNumberFormat="1" applyFont="1" applyFill="1" applyBorder="1" applyAlignment="1">
      <x:alignment wrapText="1"/>
    </x:xf>
    <x:xf numFmtId="0" fontId="4" fillId="6" borderId="0" xfId="0" applyNumberFormat="1" applyFont="1" applyFill="1" applyBorder="1" applyAlignment="1">
      <x:alignment vertical="center" wrapText="1"/>
    </x:xf>
    <x:xf numFmtId="0" fontId="0" fillId="7" borderId="0" xfId="0" applyNumberFormat="1" applyFont="1" applyFill="1" applyBorder="1"/>
    <x:xf numFmtId="0" fontId="5" fillId="7" borderId="0" xfId="0" applyNumberFormat="1" applyFont="1" applyFill="1" applyBorder="1"/>
    <x:xf numFmtId="0" fontId="5" fillId="7" borderId="0" xfId="0" applyNumberFormat="1" applyFont="1" applyFill="1" applyBorder="1" applyAlignment="1">
      <x:alignment horizontal="center"/>
    </x:xf>
    <x:xf numFmtId="0" fontId="5" fillId="7" borderId="0" xfId="0" applyNumberFormat="1" applyFont="1" applyFill="1" applyBorder="1" applyAlignment="1">
      <x:alignment horizontal="center" vertical="center"/>
    </x:xf>
    <x:xf numFmtId="0" fontId="0" fillId="8" borderId="0" xfId="0" applyNumberFormat="1" applyFont="1" applyFill="1" applyBorder="1"/>
    <x:xf numFmtId="0" fontId="6" fillId="8" borderId="0" xfId="0" applyNumberFormat="1" applyFont="1" applyFill="1" applyBorder="1"/>
    <x:xf numFmtId="0" fontId="6" fillId="8" borderId="0" xfId="0" applyNumberFormat="1" applyFont="1" applyFill="1" applyBorder="1" applyAlignment="1">
      <x:alignment wrapText="1"/>
    </x:xf>
    <x:xf numFmtId="0" fontId="6" fillId="8" borderId="0" xfId="0" applyNumberFormat="1" applyFont="1" applyFill="1" applyBorder="1" applyAlignment="1">
      <x:alignment vertical="center" wrapText="1"/>
    </x:xf>
    <x:xf numFmtId="0" fontId="0" fillId="9" borderId="0" xfId="0" applyNumberFormat="1" applyFont="1" applyFill="1" applyBorder="1"/>
    <x:xf numFmtId="0" fontId="7" fillId="9" borderId="0" xfId="0" applyNumberFormat="1" applyFont="1" applyFill="1" applyBorder="1"/>
    <x:xf numFmtId="0" fontId="7" fillId="9" borderId="0" xfId="0" applyNumberFormat="1" applyFont="1" applyFill="1" applyBorder="1" applyAlignment="1">
      <x:alignment wrapText="1"/>
    </x:xf>
    <x:xf numFmtId="0" fontId="7" fillId="9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7" fillId="9" borderId="3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202" fontId="0" fillId="0" borderId="3" xfId="0" applyNumberFormat="1" applyFont="1" applyFill="1" applyBorder="1" applyAlignment="1">
      <x:alignment vertical="top" wrapText="1"/>
    </x:xf>
    <x:xf numFmtId="0" fontId="0" fillId="10" borderId="0" xfId="0" applyNumberFormat="1" applyFont="1" applyFill="1" applyBorder="1"/>
    <x:xf numFmtId="0" fontId="3" fillId="10" borderId="0" xfId="0" applyNumberFormat="1" applyFont="1" applyFill="1" applyBorder="1"/>
    <x:xf numFmtId="0" fontId="3" fillId="10" borderId="0" xfId="0" applyNumberFormat="1" applyFont="1" applyFill="1" applyBorder="1" applyAlignment="1">
      <x:alignment horizontal="left"/>
    </x:xf>
    <x:xf numFmtId="0" fontId="7" fillId="9" borderId="0" xfId="0" applyNumberFormat="1" applyFont="1" applyFill="1" applyBorder="1" applyAlignment="1">
      <x:alignment horizontal="center" wrapText="1"/>
    </x:xf>
    <x:xf numFmtId="0" fontId="7" fillId="9" borderId="0" xfId="0" applyNumberFormat="1" applyFont="1" applyFill="1" applyBorder="1" applyAlignment="1">
      <x:alignment horizontal="center" vertical="center" wrapText="1"/>
    </x:xf>
    <x:xf numFmtId="0" fontId="7" fillId="9" borderId="3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377c6b84bd54074" /><Relationship Type="http://schemas.openxmlformats.org/officeDocument/2006/relationships/theme" Target="/xl/theme/theme1.xml" Id="Rd00a1fa2ee06412d" /><Relationship Type="http://schemas.openxmlformats.org/officeDocument/2006/relationships/sharedStrings" Target="/xl/sharedStrings.xml" Id="R52c4426b54fe471d" /><Relationship Type="http://schemas.openxmlformats.org/officeDocument/2006/relationships/worksheet" Target="/xl/worksheets/sheet1.xml" Id="Rda1af0bbdc124a46" /><Relationship Type="http://schemas.openxmlformats.org/officeDocument/2006/relationships/worksheet" Target="/xl/worksheets/sheet2.xml" Id="R26790bb74ca94d9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29" hidden="0" customWidth="1"/>
    <x:col min="6" max="6" width="25" hidden="0" customWidth="1"/>
  </x:cols>
  <x:sheetData>
    <x:row r="1" ht="28" customHeight="1">
      <x:c r="A1" s="4" t="str">
        <x:v>AC-27 Policy Control Workbook</x:v>
      </x:c>
      <x:c r="B1" s="4"/>
      <x:c r="C1" s="4"/>
      <x:c r="D1" s="4"/>
      <x:c r="E1" s="4"/>
      <x:c r="F1" s="4"/>
    </x:row>
    <x:row r="2">
      <x:c r="A2" s="6" t="str">
        <x:v>Cobalt Harbor Systems | Approval separation | 2026-07-13 | p03-full-000111</x:v>
      </x:c>
      <x:c r="B2" s="6"/>
      <x:c r="C2" s="6"/>
      <x:c r="D2" s="6"/>
      <x:c r="E2" s="6"/>
      <x:c r="F2" s="6"/>
    </x:row>
    <x:row r="4">
      <x:c r="A4" s="9" t="str">
        <x:v>Review field</x:v>
      </x:c>
      <x:c r="B4" s="9" t="str">
        <x:v>Recorded value</x:v>
      </x:c>
      <x:c r="D4" s="8" t="str">
        <x:v>Completion metrics</x:v>
      </x:c>
      <x:c r="E4" s="8"/>
      <x:c r="F4" s="8"/>
    </x:row>
    <x:row r="5">
      <x:c r="A5" s="10" t="str">
        <x:v>Control</x:v>
      </x:c>
      <x:c r="B5" s="10" t="str">
        <x:v>Aegis Control AC-27</x:v>
      </x:c>
      <x:c r="D5" s="10" t="str">
        <x:v>Population</x:v>
      </x:c>
      <x:c r="E5" s="11" t="n">
        <x:v>48</x:v>
      </x:c>
      <x:c r="F5" s="10" t="str">
        <x:v>synthetic privileged roles</x:v>
      </x:c>
    </x:row>
    <x:row r="6">
      <x:c r="A6" s="10" t="str">
        <x:v>Evidence set</x:v>
      </x:c>
      <x:c r="B6" s="10" t="n">
        <x:v>184</x:v>
      </x:c>
      <x:c r="D6" s="10" t="str">
        <x:v>Timely attestations</x:v>
      </x:c>
      <x:c r="E6" s="11" t="n">
        <x:v>47</x:v>
      </x:c>
      <x:c r="F6" s="10" t="str">
        <x:v>before compensating review</x:v>
      </x:c>
    </x:row>
    <x:row r="7">
      <x:c r="A7" s="10" t="str">
        <x:v>Dependency</x:v>
      </x:c>
      <x:c r="B7" s="10" t="str">
        <x:v>p03-full-001086</x:v>
      </x:c>
      <x:c r="D7" s="10" t="str">
        <x:v>Final completion</x:v>
      </x:c>
      <x:c r="E7" s="11" t="n">
        <x:v>48</x:v>
      </x:c>
      <x:c r="F7" s="10" t="str">
        <x:v>after compensating review</x:v>
      </x:c>
    </x:row>
    <x:row r="8">
      <x:c r="A8" s="10" t="str">
        <x:v>Artifact review date</x:v>
      </x:c>
      <x:c r="B8" s="10" t="str">
        <x:v>2026-07-13</x:v>
      </x:c>
      <x:c r="D8" s="10" t="str">
        <x:v>Evidence completeness</x:v>
      </x:c>
      <x:c r="E8" s="11" t="n">
        <x:v>24</x:v>
      </x:c>
      <x:c r="F8" s="10" t="str">
        <x:v>of 24 required synthetic items</x:v>
      </x:c>
    </x:row>
    <x:row r="9">
      <x:c r="A9" s="10" t="str">
        <x:v>Dependency source date</x:v>
      </x:c>
      <x:c r="B9" s="10" t="str">
        <x:v>2026-07-13</x:v>
      </x:c>
    </x:row>
    <x:row r="10">
      <x:c r="A10" s="12" t="str">
        <x:v>Decision and quality checks</x:v>
      </x:c>
      <x:c r="B10" s="12"/>
      <x:c r="C10" s="12"/>
      <x:c r="D10" s="12"/>
      <x:c r="E10" s="12"/>
      <x:c r="F10" s="12"/>
    </x:row>
    <x:row r="11">
      <x:c r="A11" s="15" t="str">
        <x:v>Check</x:v>
      </x:c>
      <x:c r="B11" s="15" t="str">
        <x:v>Status</x:v>
      </x:c>
      <x:c r="C11" s="15" t="str">
        <x:v>Measure</x:v>
      </x:c>
      <x:c r="D11" s="15" t="str">
        <x:v>Formula</x:v>
      </x:c>
      <x:c r="E11" s="15" t="str">
        <x:v>Interpretation</x:v>
      </x:c>
      <x:c r="F11" s="15" t="str">
        <x:v>Control note</x:v>
      </x:c>
    </x:row>
    <x:row r="12">
      <x:c r="A12" s="16" t="str">
        <x:v>Evidence completeness</x:v>
      </x:c>
      <x:c r="B12" s="16" t="str">
        <x:v>Verified</x:v>
      </x:c>
      <x:c r="C12" s="16" t="n">
        <x:v>24</x:v>
      </x:c>
      <x:c r="D12" s="17" t="n">
        <x:f>C12/24</x:f>
        <x:v>1</x:v>
      </x:c>
      <x:c r="E12" s="16" t="str">
        <x:v>All required synthetic items are present</x:v>
      </x:c>
      <x:c r="F12" s="16" t="str">
        <x:v>No live-source claim</x:v>
      </x:c>
    </x:row>
    <x:row r="13">
      <x:c r="A13" s="16" t="str">
        <x:v>Timely rate</x:v>
      </x:c>
      <x:c r="B13" s="16" t="str">
        <x:v>Documented</x:v>
      </x:c>
      <x:c r="C13" s="17" t="n">
        <x:v>0.979</x:v>
      </x:c>
      <x:c r="D13" s="17" t="n">
        <x:f>C13</x:f>
        <x:v>0.979</x:v>
      </x:c>
      <x:c r="E13" s="16" t="str">
        <x:v>47 of 48 before review</x:v>
      </x:c>
      <x:c r="F13" s="16" t="str">
        <x:v>EXC-260713-006</x:v>
      </x:c>
    </x:row>
    <x:row r="14">
      <x:c r="A14" s="16" t="str">
        <x:v>Final rate</x:v>
      </x:c>
      <x:c r="B14" s="16" t="str">
        <x:v>Confirmed</x:v>
      </x:c>
      <x:c r="C14" s="17" t="n">
        <x:v>1</x:v>
      </x:c>
      <x:c r="D14" s="17" t="n">
        <x:f>C14</x:f>
        <x:v>1</x:v>
      </x:c>
      <x:c r="E14" s="16" t="str">
        <x:v>48 of 48 after review</x:v>
      </x:c>
      <x:c r="F14" s="16" t="str">
        <x:v>Residual Medium</x:v>
      </x:c>
    </x:row>
    <x:row r="15">
      <x:c r="A15" s="16" t="str">
        <x:v>Retention</x:v>
      </x:c>
      <x:c r="B15" s="16" t="str">
        <x:v>Applicable</x:v>
      </x:c>
      <x:c r="C15" s="16" t="n">
        <x:v>18</x:v>
      </x:c>
      <x:c r="D15" s="18" t="n">
        <x:f>C15</x:f>
        <x:v>18</x:v>
      </x:c>
      <x:c r="E15" s="16" t="str">
        <x:v>Synthetic minimum months</x:v>
      </x:c>
      <x:c r="F15" s="16" t="str">
        <x:v>DEC-260713-004</x:v>
      </x:c>
    </x:row>
    <x:row r="17">
      <x:c r="A17" s="22" t="str">
        <x:v>Use note: This workbook is synthetic physical-artifact evidence. It does not establish Kio indexing, history, chunks, search quality, or performance.</x:v>
      </x:c>
      <x:c r="B17" s="22"/>
      <x:c r="C17" s="22"/>
      <x:c r="D17" s="22"/>
      <x:c r="E17" s="22"/>
      <x:c r="F17" s="22"/>
    </x:row>
    <x:row r="18">
      <x:c r="A18" s="22"/>
      <x:c r="B18" s="22"/>
      <x:c r="C18" s="22"/>
      <x:c r="D18" s="22"/>
      <x:c r="E18" s="22"/>
      <x:c r="F18" s="22"/>
    </x:row>
  </x:sheetData>
  <x:mergeCells>
    <x:mergeCell ref="A1:F1"/>
    <x:mergeCell ref="A2:F2"/>
    <x:mergeCell ref="D4:F4"/>
    <x:mergeCell ref="A10:F10"/>
    <x:mergeCell ref="A17:F18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</x:cols>
  <x:sheetData>
    <x:row r="1" ht="28" customHeight="1">
      <x:c r="A1" s="26" t="str">
        <x:v>QA v2 Traceability — Assurance Review</x:v>
      </x:c>
      <x:c r="B1" s="26"/>
      <x:c r="C1" s="26"/>
      <x:c r="D1" s="26"/>
      <x:c r="E1" s="26"/>
      <x:c r="F1" s="26"/>
      <x:c r="G1" s="26"/>
    </x:row>
    <x:row r="3" ht="32" customHeight="1">
      <x:c r="A3" s="30" t="str">
        <x:v>Purpose: record the assurance reasoning added during QA v2 for Policy Approval Separation.</x:v>
      </x:c>
      <x:c r="B3" s="30"/>
      <x:c r="C3" s="30"/>
      <x:c r="D3" s="30"/>
      <x:c r="E3" s="30"/>
      <x:c r="F3" s="30"/>
      <x:c r="G3" s="30"/>
    </x:row>
    <x:row r="5" ht="44" customHeight="1">
      <x:c r="A5" s="37" t="str">
        <x:v>Assurance question</x:v>
      </x:c>
      <x:c r="B5" s="38" t="str">
        <x:v>Does Cobalt Harbor have documented evidence that policy approval separation addresses RISK-031 before the 2026-07-13 review decision?</x:v>
      </x:c>
      <x:c r="C5" s="36"/>
      <x:c r="D5" s="36"/>
      <x:c r="E5" s="36"/>
      <x:c r="F5" s="36"/>
      <x:c r="G5" s="36"/>
    </x:row>
    <x:row r="6" ht="44" customHeight="1">
      <x:c r="A6" s="37" t="str">
        <x:v>Organization</x:v>
      </x:c>
      <x:c r="B6" s="38" t="str">
        <x:v>Cobalt Harbor is the accountable organization for this assurance record.</x:v>
      </x:c>
      <x:c r="C6" s="36"/>
      <x:c r="D6" s="36"/>
      <x:c r="E6" s="36"/>
      <x:c r="F6" s="36"/>
      <x:c r="G6" s="36"/>
    </x:row>
    <x:row r="7" ht="44" customHeight="1">
      <x:c r="A7" s="37" t="str">
        <x:v>Risk reference</x:v>
      </x:c>
      <x:c r="B7" s="38" t="str">
        <x:v>RISK-031 is assessed here as a control-evidence integrity risk requiring documented review.</x:v>
      </x:c>
      <x:c r="C7" s="36"/>
      <x:c r="D7" s="36"/>
      <x:c r="E7" s="36"/>
      <x:c r="F7" s="36"/>
      <x:c r="G7" s="36"/>
    </x:row>
    <x:row r="8" ht="44" customHeight="1">
      <x:c r="A8" s="37" t="str">
        <x:v>Review date</x:v>
      </x:c>
      <x:c r="B8" s="39" t="str">
        <x:v>2026-07-13</x:v>
      </x:c>
      <x:c r="C8" s="36"/>
      <x:c r="D8" s="36"/>
      <x:c r="E8" s="36"/>
      <x:c r="F8" s="36"/>
      <x:c r="G8" s="36"/>
    </x:row>
    <x:row r="9" ht="44" customHeight="1">
      <x:c r="A9" s="37" t="str">
        <x:v>Declared relationship</x:v>
      </x:c>
      <x:c r="B9" s="38" t="str">
        <x:v>rel.audit.request-027 is the ledger relationship context for this workbook; its supporting linkage is maintained through declared dependency p03-full-001086 (source p03-src-001086).</x:v>
      </x:c>
      <x:c r="C9" s="36"/>
      <x:c r="D9" s="36"/>
      <x:c r="E9" s="36"/>
      <x:c r="F9" s="36"/>
      <x:c r="G9" s="36"/>
    </x:row>
    <x:row r="10" ht="58" customHeight="1">
      <x:c r="A10" s="37" t="str">
        <x:v>Evidence-register cross-reference</x:v>
      </x:c>
      <x:c r="B10" s="38" t="str">
        <x:v>AC-27 / Evidence Set 184 is the corpus evidence-register cross-reference used for assurance review. It is not asserted here as this row's declared relationship unless the ledger explicitly says so.</x:v>
      </x:c>
      <x:c r="C10" s="36"/>
      <x:c r="D10" s="36"/>
      <x:c r="E10" s="36"/>
      <x:c r="F10" s="36"/>
      <x:c r="G10" s="36"/>
    </x:row>
    <x:row r="11" ht="44" customHeight="1">
      <x:c r="A11" s="37" t="str">
        <x:v>Declared dependency</x:v>
      </x:c>
      <x:c r="B11" s="38" t="str">
        <x:v>This workbook relies on artifact p03-full-001086 (canonical source p03-src-001086) as its linked supporting record.</x:v>
      </x:c>
      <x:c r="C11" s="36"/>
      <x:c r="D11" s="36"/>
      <x:c r="E11" s="36"/>
      <x:c r="F11" s="36"/>
      <x:c r="G11" s="36"/>
    </x:row>
    <x:row r="12" ht="58" customHeight="1">
      <x:c r="A12" s="37" t="str">
        <x:v>Boundary statement</x:v>
      </x:c>
      <x:c r="B12" s="38" t="str">
        <x:v>No Kio system, service, repository, account, credential, or workflow is involved in this evidence review; the statement is a scope boundary, not an operational claim.</x:v>
      </x:c>
      <x:c r="C12" s="36"/>
      <x:c r="D12" s="36"/>
      <x:c r="E12" s="36"/>
      <x:c r="F12" s="36"/>
      <x:c r="G12" s="36"/>
    </x:row>
    <x:row r="14" ht="26" customHeight="1">
      <x:c r="A14" s="42" t="str">
        <x:v>Review linkage and decision context</x:v>
      </x:c>
      <x:c r="B14" s="42"/>
      <x:c r="C14" s="42"/>
      <x:c r="D14" s="42"/>
      <x:c r="E14" s="42"/>
      <x:c r="F14" s="42"/>
      <x:c r="G14" s="42"/>
    </x:row>
    <x:row r="15" ht="32" customHeight="1">
      <x:c r="A15" s="45" t="str">
        <x:v>Control</x:v>
      </x:c>
      <x:c r="B15" s="45" t="str">
        <x:v>Evidence set</x:v>
      </x:c>
      <x:c r="C15" s="45" t="str">
        <x:v>Accountable organization</x:v>
      </x:c>
      <x:c r="D15" s="45" t="str">
        <x:v>Review date</x:v>
      </x:c>
      <x:c r="E15" s="45" t="str">
        <x:v>Relationship</x:v>
      </x:c>
      <x:c r="F15" s="45" t="str">
        <x:v>Dependency</x:v>
      </x:c>
      <x:c r="G15" s="45" t="str">
        <x:v>Boundary decision</x:v>
      </x:c>
    </x:row>
    <x:row r="16" ht="58" customHeight="1">
      <x:c r="A16" s="38" t="str">
        <x:v>AC-27</x:v>
      </x:c>
      <x:c r="B16" s="38" t="str">
        <x:v>Evidence Set 184</x:v>
      </x:c>
      <x:c r="C16" s="38" t="str">
        <x:v>Cobalt Harbor</x:v>
      </x:c>
      <x:c r="D16" s="38" t="str">
        <x:v>2026-07-13</x:v>
      </x:c>
      <x:c r="E16" s="38" t="str">
        <x:v>rel.audit.request-027; dependency establishes the row-specific linkage.</x:v>
      </x:c>
      <x:c r="F16" s="38" t="str">
        <x:v>p03-full-001086; p03-src-001086</x:v>
      </x:c>
      <x:c r="G16" s="38" t="str">
        <x:v>No Kio involvement; review is limited to the declared corpus evidence.</x:v>
      </x:c>
    </x:row>
  </x:sheetData>
  <x:mergeCells>
    <x:mergeCell ref="A1:G1"/>
    <x:mergeCell ref="A3:G3"/>
    <x:mergeCell ref="A14:G14"/>
    <x:mergeCell ref="B5:G5"/>
    <x:mergeCell ref="B6:G6"/>
    <x:mergeCell ref="B7:G7"/>
    <x:mergeCell ref="B8:G8"/>
    <x:mergeCell ref="B9:G9"/>
    <x:mergeCell ref="B10:G10"/>
    <x:mergeCell ref="B11:G11"/>
    <x:mergeCell ref="B12:G12"/>
  </x:mergeCells>
  <x:pageMargins left="0.7" right="0.7" top="0.75" bottom="0.75" header="0.3" footer="0.3"/>
</x:worksheet>
</file>