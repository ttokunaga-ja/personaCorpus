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7349cc1b4b43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6c46c019ed1145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4D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</x:fills>
  <x:borders count="3">
    <x:border/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4" borderId="1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0" borderId="2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54403fb7b641a7" /><Relationship Type="http://schemas.openxmlformats.org/officeDocument/2006/relationships/theme" Target="/xl/theme/theme1.xml" Id="R3bbea6560d7b4261" /><Relationship Type="http://schemas.openxmlformats.org/officeDocument/2006/relationships/sharedStrings" Target="/xl/sharedStrings.xml" Id="Rcb8fa7cafb2b4c7d" /><Relationship Type="http://schemas.openxmlformats.org/officeDocument/2006/relationships/worksheet" Target="/xl/worksheets/sheet1.xml" Id="R6c46c019ed1145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36" hidden="0" customWidth="1"/>
  </x:cols>
  <x:sheetData>
    <x:row r="1" ht="30" customHeight="1">
      <x:c r="A1" s="4" t="str">
        <x:v>AC-27 AUDIT REQUEST CONTROL WORKBOOK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p03-full-008111</x:v>
      </x:c>
    </x:row>
    <x:row r="4">
      <x:c r="A4" s="7" t="str">
        <x:v>Assigned review period</x:v>
      </x:c>
      <x:c r="B4" s="8" t="str">
        <x:v>2026-07-20</x:v>
      </x:c>
    </x:row>
    <x:row r="5">
      <x:c r="A5" s="7" t="str">
        <x:v>Canonical review type</x:v>
      </x:c>
      <x:c r="B5" s="8" t="str">
        <x:v>retention disposition</x:v>
      </x:c>
    </x:row>
    <x:row r="6">
      <x:c r="A6" s="7" t="str">
        <x:v>Audit request</x:v>
      </x:c>
      <x:c r="B6" s="8" t="str">
        <x:v>AR-260713-027</x:v>
      </x:c>
    </x:row>
    <x:row r="7">
      <x:c r="A7" s="7" t="str">
        <x:v>Control</x:v>
      </x:c>
      <x:c r="B7" s="8" t="str">
        <x:v>AC-27</x:v>
      </x:c>
    </x:row>
    <x:row r="8">
      <x:c r="A8" s="7" t="str">
        <x:v>Foundation</x:v>
      </x:c>
      <x:c r="B8" s="8" t="str">
        <x:v>p03-full-001467 (source period 2026-q3)</x:v>
      </x:c>
    </x:row>
    <x:row r="9">
      <x:c r="A9" s="7" t="str">
        <x:v>Source evidence topic</x:v>
      </x:c>
      <x:c r="B9" s="8" t="str">
        <x:v>retention disposition</x:v>
      </x:c>
    </x:row>
    <x:row r="10">
      <x:c r="A10" s="7" t="str">
        <x:v>Evidence ref.</x:v>
      </x:c>
      <x:c r="B10" s="8" t="str">
        <x:v>EV-184-01</x:v>
      </x:c>
    </x:row>
    <x:row r="11">
      <x:c r="A11" s="14" t="str">
        <x:v>Measure</x:v>
      </x:c>
      <x:c r="B11" s="14" t="str">
        <x:v>Baseline</x:v>
      </x:c>
      <x:c r="C11" s="15" t="str">
        <x:v>Compensating review</x:v>
      </x:c>
      <x:c r="D11" s="15" t="str">
        <x:v>Final</x:v>
      </x:c>
      <x:c r="E11" s="15" t="str">
        <x:v>Formula check</x:v>
      </x:c>
      <x:c r="F11" s="15" t="str">
        <x:v>Interpretation</x:v>
      </x:c>
    </x:row>
    <x:row r="12">
      <x:c r="A12" s="19" t="str">
        <x:v>Population</x:v>
      </x:c>
      <x:c r="B12" s="17" t="n">
        <x:v>48</x:v>
      </x:c>
      <x:c r="C12" s="17"/>
      <x:c r="D12" s="17" t="n">
        <x:f>B12</x:f>
        <x:v>48</x:v>
      </x:c>
      <x:c r="E12" s="18" t="n">
        <x:f>D12/B12</x:f>
        <x:v>1</x:v>
      </x:c>
      <x:c r="F12" s="16" t="str">
        <x:v>Synthetic privileged-role records</x:v>
      </x:c>
    </x:row>
    <x:row r="13">
      <x:c r="A13" s="19" t="str">
        <x:v>Timely attestations</x:v>
      </x:c>
      <x:c r="B13" s="17" t="n">
        <x:v>47</x:v>
      </x:c>
      <x:c r="C13" s="17" t="n">
        <x:v>1</x:v>
      </x:c>
      <x:c r="D13" s="17" t="n">
        <x:f>B13+C13</x:f>
        <x:v>48</x:v>
      </x:c>
      <x:c r="E13" s="18" t="n">
        <x:f>D13/B12</x:f>
        <x:v>1</x:v>
      </x:c>
      <x:c r="F13" s="16" t="str">
        <x:v>47 timely before compensating review</x:v>
      </x:c>
    </x:row>
    <x:row r="14">
      <x:c r="A14" s="19" t="str">
        <x:v>Evidence items</x:v>
      </x:c>
      <x:c r="B14" s="17" t="n">
        <x:v>24</x:v>
      </x:c>
      <x:c r="C14" s="17" t="n">
        <x:v>0</x:v>
      </x:c>
      <x:c r="D14" s="17" t="n">
        <x:f>B14+C14</x:f>
        <x:v>24</x:v>
      </x:c>
      <x:c r="E14" s="18" t="n">
        <x:f>D14/B14</x:f>
        <x:v>1</x:v>
      </x:c>
      <x:c r="F14" s="16" t="str">
        <x:v>24 of 24 verified synthetic items</x:v>
      </x:c>
    </x:row>
    <x:row r="15">
      <x:c r="A15" s="19" t="str">
        <x:v>Residual risk</x:v>
      </x:c>
      <x:c r="B15" s="16"/>
      <x:c r="C15" s="16"/>
      <x:c r="D15" s="16" t="str">
        <x:v>Medium</x:v>
      </x:c>
      <x:c r="E15" s="16" t="str">
        <x:v>Residual rating</x:v>
      </x:c>
      <x:c r="F15" s="16" t="str">
        <x:v>RISK-031 remains Medium</x:v>
      </x:c>
    </x:row>
    <x:row r="17">
      <x:c r="A17" s="21" t="str">
        <x:v>Decision boundary</x:v>
      </x:c>
      <x:c r="B17" s="21"/>
      <x:c r="C17" s="21"/>
      <x:c r="D17" s="21"/>
      <x:c r="E17" s="21"/>
      <x:c r="F17" s="21"/>
    </x:row>
    <x:row r="18" ht="26" customHeight="1">
      <x:c r="A18" s="23" t="str">
        <x:v>This workbook documents bounded synthetic control evidence for Cobalt Harbor Systems. It supports AR-260713-027 review coordination only; it makes no Kio indexing, history, chunks, search-quality, or performance claim.</x:v>
      </x:c>
      <x:c r="B18" s="23"/>
      <x:c r="C18" s="23"/>
      <x:c r="D18" s="23"/>
      <x:c r="E18" s="23"/>
      <x:c r="F18" s="23"/>
    </x:row>
    <x:row r="19" ht="26" customHeight="1">
      <x:c r="A19" s="23"/>
      <x:c r="B19" s="23"/>
      <x:c r="C19" s="23"/>
      <x:c r="D19" s="23"/>
      <x:c r="E19" s="23"/>
      <x:c r="F19" s="23"/>
    </x:row>
    <x:row r="20" ht="26" customHeight="1">
      <x:c r="A20" s="23"/>
      <x:c r="B20" s="23"/>
      <x:c r="C20" s="23"/>
      <x:c r="D20" s="23"/>
      <x:c r="E20" s="23"/>
      <x:c r="F20" s="23"/>
    </x:row>
  </x:sheetData>
  <x:mergeCells>
    <x:mergeCell ref="A1:F1"/>
    <x:mergeCell ref="A17:F17"/>
    <x:mergeCell ref="A18:F18"/>
    <x:mergeCell ref="A19:F19"/>
    <x:mergeCell ref="A20:F20"/>
  </x:mergeCells>
  <x:pageMargins left="0.7" right="0.7" top="0.75" bottom="0.75" header="0.3" footer="0.3"/>
</x:worksheet>
</file>