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5b6c3198f04a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vidence Review" sheetId="1" r:id="R18172da6d6864af4"/>
    <x:sheet xmlns:r="http://schemas.openxmlformats.org/officeDocument/2006/relationships" name="QA v2 Traceability" sheetId="2" r:id="R4c3881851172445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@"/>
  </x:numFmts>
  <x:fonts count="1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95959"/>
      <x:name val="Carlito"/>
    </x:font>
    <x:font>
      <x:b/>
      <x:sz val="11"/>
      <x:color rgb="FF0B2545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b/>
      <x:sz val="10"/>
      <x:color rgb="FFFFFFFF"/>
      <x:name val="Aptos"/>
    </x:font>
    <x:font>
      <x:i/>
      <x:sz val="10"/>
      <x:color rgb="FF595959"/>
      <x:name val="Aptos"/>
    </x:font>
    <x:font>
      <x:sz val="10"/>
      <x:name val="Aptos"/>
    </x:font>
    <x:font>
      <x:b/>
      <x:sz val="10"/>
      <x:color rgb="FF0B2545"/>
      <x:name val="Aptos"/>
    </x:font>
    <x:font>
      <x:b/>
      <x:sz val="10"/>
      <x:name val="Aptos"/>
    </x:font>
    <x:font>
      <x:b/>
      <x:sz val="16"/>
      <x:color rgb="FFFFFFFF"/>
      <x:name val="Aptos Display"/>
    </x:font>
    <x:font>
      <x:b/>
      <x:sz val="14"/>
      <x:color rgb="FFFFFFFF"/>
      <x:name val="Carlito"/>
    </x:font>
    <x:font>
      <x:i/>
      <x:sz val="11"/>
      <x:color rgb="FF1D4E6D"/>
      <x:name val="Carlito"/>
    </x:font>
    <x:font>
      <x:b/>
      <x:sz val="11"/>
      <x:color rgb="FF123047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0B2545"/>
      </x:patternFill>
    </x:fill>
    <x:fill>
      <x:patternFill patternType="solid">
        <x:fgColor rgb="FFE8EEF5"/>
      </x:patternFill>
    </x:fill>
    <x:fill>
      <x:patternFill patternType="solid">
        <x:fgColor rgb="FFF2F4F7"/>
      </x:patternFill>
    </x:fill>
    <x:fill>
      <x:patternFill patternType="solid">
        <x:fgColor rgb="FF123047"/>
      </x:patternFill>
    </x:fill>
    <x:fill>
      <x:patternFill patternType="solid">
        <x:fgColor rgb="FFE8F1F8"/>
      </x:patternFill>
    </x:fill>
    <x:fill>
      <x:patternFill patternType="solid">
        <x:fgColor rgb="FFD9EAF7"/>
      </x:patternFill>
    </x:fill>
    <x:fill>
      <x:patternFill patternType="solid">
        <x:fgColor rgb="FF1D4E6D"/>
      </x:patternFill>
    </x:fill>
  </x:fills>
  <x:borders count="3">
    <x:border/>
    <x:border>
      <x:left style="thin">
        <x:color rgb="FFC9D4E2"/>
      </x:left>
      <x:right style="thin">
        <x:color rgb="FFC9D4E2"/>
      </x:right>
      <x:top style="thin">
        <x:color rgb="FFC9D4E2"/>
      </x:top>
      <x:bottom style="thin">
        <x:color rgb="FFC9D4E2"/>
      </x:bottom>
    </x:border>
    <x:border>
      <x:left style="thin">
        <x:color rgb="FFB8C7D1"/>
      </x:left>
      <x:right style="thin">
        <x:color rgb="FFB8C7D1"/>
      </x:right>
      <x:top style="thin">
        <x:color rgb="FFB8C7D1"/>
      </x:top>
      <x:bottom style="thin">
        <x:color rgb="FFB8C7D1"/>
      </x:bottom>
    </x:border>
  </x:borders>
  <x:cellStyleXfs count="1">
    <x:xf numFmtId="0" fontId="0" fillId="0" borderId="0"/>
  </x:cellStyleXfs>
  <x:cellXfs count="4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0" fillId="0" borderId="1" xfId="0" applyNumberFormat="1" applyFont="1" applyFill="1" applyBorder="1"/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200" fontId="0" fillId="0" borderId="1" xfId="0" applyNumberFormat="1" applyFont="1" applyFill="1" applyBorder="1"/>
    <x:xf numFmtId="0" fontId="5" fillId="2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6" fillId="2" borderId="0" xfId="0" applyNumberFormat="1" applyFont="1" applyFill="1" applyBorder="1" applyAlignment="1">
      <x:alignment horizontal="left" vertical="center"/>
    </x:xf>
    <x:xf numFmtId="0" fontId="7" fillId="0" borderId="0" xfId="0" applyNumberFormat="1" applyFont="1" applyFill="1" applyBorder="1" applyAlignment="1">
      <x:alignment horizontal="left"/>
    </x:xf>
    <x:xf numFmtId="0" fontId="8" fillId="0" borderId="0" xfId="0" applyNumberFormat="1" applyFont="1" applyFill="1" applyBorder="1"/>
    <x:xf numFmtId="0" fontId="9" fillId="3" borderId="1" xfId="0" applyNumberFormat="1" applyFont="1" applyFill="1" applyBorder="1"/>
    <x:xf numFmtId="0" fontId="8" fillId="0" borderId="1" xfId="0" applyNumberFormat="1" applyFont="1" applyFill="1" applyBorder="1"/>
    <x:xf numFmtId="0" fontId="9" fillId="3" borderId="0" xfId="0" applyNumberFormat="1" applyFont="1" applyFill="1" applyBorder="1"/>
    <x:xf numFmtId="0" fontId="10" fillId="4" borderId="1" xfId="0" applyNumberFormat="1" applyFont="1" applyFill="1" applyBorder="1"/>
    <x:xf numFmtId="200" fontId="8" fillId="0" borderId="1" xfId="0" applyNumberFormat="1" applyFont="1" applyFill="1" applyBorder="1"/>
    <x:xf numFmtId="0" fontId="6" fillId="2" borderId="0" xfId="0" applyNumberFormat="1" applyFont="1" applyFill="1" applyBorder="1"/>
    <x:xf numFmtId="0" fontId="8" fillId="0" borderId="0" xfId="0" applyNumberFormat="1" applyFont="1" applyFill="1" applyBorder="1" applyAlignment="1">
      <x:alignment vertical="top" wrapText="1"/>
    </x:xf>
    <x:xf numFmtId="0" fontId="11" fillId="2" borderId="0" xfId="0" applyNumberFormat="1" applyFont="1" applyFill="1" applyBorder="1" applyAlignment="1">
      <x:alignment horizontal="left" vertical="center"/>
    </x:xf>
    <x:xf numFmtId="0" fontId="0" fillId="5" borderId="0" xfId="0" applyNumberFormat="1" applyFont="1" applyFill="1" applyBorder="1"/>
    <x:xf numFmtId="0" fontId="12" fillId="5" borderId="0" xfId="0" applyNumberFormat="1" applyFont="1" applyFill="1" applyBorder="1"/>
    <x:xf numFmtId="0" fontId="12" fillId="5" borderId="0" xfId="0" applyNumberFormat="1" applyFont="1" applyFill="1" applyBorder="1" applyAlignment="1">
      <x:alignment horizontal="center"/>
    </x:xf>
    <x:xf numFmtId="0" fontId="12" fillId="5" borderId="0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13" fillId="6" borderId="0" xfId="0" applyNumberFormat="1" applyFont="1" applyFill="1" applyBorder="1"/>
    <x:xf numFmtId="0" fontId="13" fillId="6" borderId="0" xfId="0" applyNumberFormat="1" applyFont="1" applyFill="1" applyBorder="1" applyAlignment="1">
      <x:alignment wrapText="1"/>
    </x:xf>
    <x:xf numFmtId="0" fontId="13" fillId="6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14" fillId="7" borderId="0" xfId="0" applyNumberFormat="1" applyFont="1" applyFill="1" applyBorder="1"/>
    <x:xf numFmtId="0" fontId="14" fillId="7" borderId="0" xfId="0" applyNumberFormat="1" applyFont="1" applyFill="1" applyBorder="1" applyAlignment="1">
      <x:alignment wrapText="1"/>
    </x:xf>
    <x:xf numFmtId="0" fontId="14" fillId="7" borderId="0" xfId="0" applyNumberFormat="1" applyFont="1" applyFill="1" applyBorder="1" applyAlignment="1">
      <x:alignment vertical="top" wrapText="1"/>
    </x:xf>
    <x:xf numFmtId="0" fontId="14" fillId="7" borderId="2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201" fontId="0" fillId="0" borderId="2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5" fillId="8" borderId="0" xfId="0" applyNumberFormat="1" applyFont="1" applyFill="1" applyBorder="1" applyAlignment="1">
      <x:alignment horizontal="left"/>
    </x:xf>
    <x:xf numFmtId="0" fontId="14" fillId="7" borderId="0" xfId="0" applyNumberFormat="1" applyFont="1" applyFill="1" applyBorder="1" applyAlignment="1">
      <x:alignment horizontal="center" wrapText="1"/>
    </x:xf>
    <x:xf numFmtId="0" fontId="14" fillId="7" borderId="0" xfId="0" applyNumberFormat="1" applyFont="1" applyFill="1" applyBorder="1" applyAlignment="1">
      <x:alignment horizontal="center" vertical="center" wrapText="1"/>
    </x:xf>
    <x:xf numFmtId="0" fontId="14" fillId="7" borderId="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7593348f2142cc" /><Relationship Type="http://schemas.openxmlformats.org/officeDocument/2006/relationships/theme" Target="/xl/theme/theme1.xml" Id="R5fc8e8ffb4d44538" /><Relationship Type="http://schemas.openxmlformats.org/officeDocument/2006/relationships/sharedStrings" Target="/xl/sharedStrings.xml" Id="Rbaf9b5ed9a1c418f" /><Relationship Type="http://schemas.openxmlformats.org/officeDocument/2006/relationships/worksheet" Target="/xl/worksheets/sheet1.xml" Id="R18172da6d6864af4" /><Relationship Type="http://schemas.openxmlformats.org/officeDocument/2006/relationships/worksheet" Target="/xl/worksheets/sheet2.xml" Id="R4c3881851172445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14" hidden="0" customWidth="1"/>
    <x:col min="4" max="4" width="18" hidden="0" customWidth="1"/>
    <x:col min="5" max="5" width="14" hidden="0" customWidth="1"/>
    <x:col min="6" max="6" width="14" hidden="0" customWidth="1"/>
    <x:col min="7" max="7" width="14" hidden="0" customWidth="1"/>
    <x:col min="8" max="8" width="28" hidden="0" customWidth="1"/>
  </x:cols>
  <x:sheetData>
    <x:row r="1" ht="28" customHeight="1">
      <x:c r="A1" s="27" t="str">
        <x:v>AC-27 Evidence Review Workbook</x:v>
      </x:c>
      <x:c r="B1" s="27"/>
      <x:c r="C1" s="27"/>
      <x:c r="D1" s="27"/>
      <x:c r="E1" s="27"/>
      <x:c r="F1" s="27"/>
      <x:c r="G1" s="27"/>
      <x:c r="H1" s="27"/>
    </x:row>
    <x:row r="2">
      <x:c r="A2" s="18" t="str">
        <x:v>Assigned review date / period: 2026-07-14 | Dependency source date: 2026-07-14 | p03-full-007011</x:v>
      </x:c>
      <x:c r="B2" s="18"/>
      <x:c r="C2" s="18"/>
      <x:c r="D2" s="18"/>
      <x:c r="E2" s="18"/>
      <x:c r="F2" s="18"/>
      <x:c r="G2" s="18"/>
      <x:c r="H2" s="18"/>
    </x:row>
    <x:row r="3">
      <x:c r="A3" s="19"/>
      <x:c r="B3" s="19"/>
      <x:c r="C3" s="19"/>
      <x:c r="D3" s="19"/>
      <x:c r="E3" s="19"/>
      <x:c r="F3" s="19"/>
      <x:c r="G3" s="19"/>
      <x:c r="H3" s="19"/>
    </x:row>
    <x:row r="4">
      <x:c r="A4" s="20" t="str">
        <x:v>Control</x:v>
      </x:c>
      <x:c r="B4" s="21" t="str">
        <x:v>AC-27</x:v>
      </x:c>
      <x:c r="C4" s="19"/>
      <x:c r="D4" s="22" t="str">
        <x:v>Control completion metrics</x:v>
      </x:c>
      <x:c r="E4" s="22"/>
      <x:c r="F4" s="22"/>
      <x:c r="G4" s="22"/>
      <x:c r="H4" s="22"/>
    </x:row>
    <x:row r="5">
      <x:c r="A5" s="20" t="str">
        <x:v>Case</x:v>
      </x:c>
      <x:c r="B5" s="21" t="str">
        <x:v>CASE-260713-184</x:v>
      </x:c>
      <x:c r="C5" s="19"/>
      <x:c r="D5" s="23" t="str">
        <x:v>Metric</x:v>
      </x:c>
      <x:c r="E5" s="23" t="str">
        <x:v>Source value</x:v>
      </x:c>
      <x:c r="F5" s="23" t="str">
        <x:v>Derived check</x:v>
      </x:c>
      <x:c r="G5" s="23" t="str">
        <x:v>Status</x:v>
      </x:c>
      <x:c r="H5" s="23" t="str">
        <x:v>Interpretation</x:v>
      </x:c>
    </x:row>
    <x:row r="6">
      <x:c r="A6" s="20" t="str">
        <x:v>Risk</x:v>
      </x:c>
      <x:c r="B6" s="21" t="str">
        <x:v>RISK-031</x:v>
      </x:c>
      <x:c r="C6" s="19"/>
      <x:c r="D6" s="21" t="str">
        <x:v>Population</x:v>
      </x:c>
      <x:c r="E6" s="21" t="n">
        <x:v>48</x:v>
      </x:c>
      <x:c r="F6" s="24" t="n">
        <x:f>E6/E6</x:f>
        <x:v>1</x:v>
      </x:c>
      <x:c r="G6" s="21" t="str">
        <x:v>Verified</x:v>
      </x:c>
      <x:c r="H6" s="21" t="str">
        <x:v>Synthetic privileged-role records</x:v>
      </x:c>
    </x:row>
    <x:row r="7">
      <x:c r="A7" s="20" t="str">
        <x:v>Evidence set</x:v>
      </x:c>
      <x:c r="B7" s="21" t="n">
        <x:v>184</x:v>
      </x:c>
      <x:c r="C7" s="19"/>
      <x:c r="D7" s="21" t="str">
        <x:v>Timely attestation</x:v>
      </x:c>
      <x:c r="E7" s="21" t="n">
        <x:v>47</x:v>
      </x:c>
      <x:c r="F7" s="24" t="n">
        <x:f>E7/E6</x:f>
        <x:v>0.9791666666666666</x:v>
      </x:c>
      <x:c r="G7" s="21" t="str">
        <x:v>Observed</x:v>
      </x:c>
      <x:c r="H7" s="21" t="str">
        <x:v>Before compensating review</x:v>
      </x:c>
    </x:row>
    <x:row r="8">
      <x:c r="A8" s="20" t="str">
        <x:v>Assigned review date / period</x:v>
      </x:c>
      <x:c r="B8" s="21" t="str">
        <x:v>2026-07-14</x:v>
      </x:c>
      <x:c r="C8" s="19"/>
      <x:c r="D8" s="21" t="str">
        <x:v>Final completion</x:v>
      </x:c>
      <x:c r="E8" s="21" t="n">
        <x:v>48</x:v>
      </x:c>
      <x:c r="F8" s="24" t="n">
        <x:f>E8/E6</x:f>
        <x:v>1</x:v>
      </x:c>
      <x:c r="G8" s="21" t="str">
        <x:v>Verified</x:v>
      </x:c>
      <x:c r="H8" s="21" t="str">
        <x:v>After compensating review</x:v>
      </x:c>
    </x:row>
    <x:row r="9">
      <x:c r="A9" s="20" t="str">
        <x:v>Dependency source date</x:v>
      </x:c>
      <x:c r="B9" s="21" t="str">
        <x:v>2026-07-14</x:v>
      </x:c>
      <x:c r="C9" s="19"/>
      <x:c r="D9" s="21" t="str">
        <x:v>Evidence items</x:v>
      </x:c>
      <x:c r="E9" s="21" t="n">
        <x:v>24</x:v>
      </x:c>
      <x:c r="F9" s="24" t="n">
        <x:f>E9/24</x:f>
        <x:v>1</x:v>
      </x:c>
      <x:c r="G9" s="21" t="str">
        <x:v>Verified</x:v>
      </x:c>
      <x:c r="H9" s="21" t="str">
        <x:v>Required items verified</x:v>
      </x:c>
    </x:row>
    <x:row r="10">
      <x:c r="A10" s="20" t="str">
        <x:v>Source evidence card</x:v>
      </x:c>
      <x:c r="B10" s="21" t="str">
        <x:v>EV-184-12</x:v>
      </x:c>
      <x:c r="C10" s="19"/>
      <x:c r="D10" s="19"/>
      <x:c r="E10" s="19"/>
      <x:c r="F10" s="19"/>
      <x:c r="G10" s="19"/>
      <x:c r="H10" s="19"/>
    </x:row>
    <x:row r="11">
      <x:c r="A11" s="19"/>
      <x:c r="B11" s="19"/>
      <x:c r="C11" s="19"/>
      <x:c r="D11" s="19"/>
      <x:c r="E11" s="19"/>
      <x:c r="F11" s="19"/>
      <x:c r="G11" s="19"/>
      <x:c r="H11" s="19"/>
    </x:row>
    <x:row r="12">
      <x:c r="A12" s="25" t="str">
        <x:v>Review and retention notes</x:v>
      </x:c>
      <x:c r="B12" s="25"/>
      <x:c r="C12" s="25"/>
      <x:c r="D12" s="25"/>
      <x:c r="E12" s="25"/>
      <x:c r="F12" s="25"/>
      <x:c r="G12" s="25"/>
      <x:c r="H12" s="25"/>
    </x:row>
    <x:row r="13">
      <x:c r="A13" s="26" t="str">
        <x:v>AC-27 requires preparer and reviewer role separation for exception dispositions. RISK-031 retains a residual Medium rating after bounded remediation. This workbook is a synthetic evidence coordination record and establishes no Kio indexing, history, search, or performance claim.</x:v>
      </x:c>
      <x:c r="B13" s="26"/>
      <x:c r="C13" s="26"/>
      <x:c r="D13" s="26"/>
      <x:c r="E13" s="26"/>
      <x:c r="F13" s="26"/>
      <x:c r="G13" s="26"/>
      <x:c r="H13" s="26"/>
    </x:row>
    <x:row r="14">
      <x:c r="A14" s="26" t="str">
        <x:v>Evidence set 184 contains 24 synthetic items: 12 access-review attestations, 6 approval records, 4 checksum manifests, and 2 exception records.</x:v>
      </x:c>
      <x:c r="B14" s="26"/>
      <x:c r="C14" s="26"/>
      <x:c r="D14" s="26"/>
      <x:c r="E14" s="26"/>
      <x:c r="F14" s="26"/>
      <x:c r="G14" s="26"/>
      <x:c r="H14" s="26"/>
    </x:row>
    <x:row r="15">
      <x:c r="A15" s="26" t="str">
        <x:v>Retain source p03-full-000923 (normalization, lane PRIV-12) under the synthetic 18-month minimum.</x:v>
      </x:c>
      <x:c r="B15" s="26"/>
      <x:c r="C15" s="26"/>
      <x:c r="D15" s="26"/>
      <x:c r="E15" s="26"/>
      <x:c r="F15" s="26"/>
      <x:c r="G15" s="26"/>
      <x:c r="H15" s="26"/>
    </x:row>
    <x:row r="16">
      <x:c r="A16" s="26" t="str">
        <x:v>Working-paper sequence: 923. Review outcome is limited to supplied evidence facts.</x:v>
      </x:c>
      <x:c r="B16" s="26"/>
      <x:c r="C16" s="26"/>
      <x:c r="D16" s="26"/>
      <x:c r="E16" s="26"/>
      <x:c r="F16" s="26"/>
      <x:c r="G16" s="26"/>
      <x:c r="H16" s="26"/>
    </x:row>
  </x:sheetData>
  <x:mergeCells>
    <x:mergeCell ref="A1:H1"/>
    <x:mergeCell ref="A2:H2"/>
    <x:mergeCell ref="D4:H4"/>
    <x:mergeCell ref="A12:H12"/>
    <x:mergeCell ref="A13:H13"/>
    <x:mergeCell ref="A14:H14"/>
    <x:mergeCell ref="A15:H15"/>
    <x:mergeCell ref="A16:H1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8" customHeight="1">
      <x:c r="A1" s="31" t="str">
        <x:v>QA v2 Traceability — Assurance Review</x:v>
      </x:c>
      <x:c r="B1" s="31"/>
      <x:c r="C1" s="31"/>
      <x:c r="D1" s="31"/>
      <x:c r="E1" s="31"/>
      <x:c r="F1" s="31"/>
      <x:c r="G1" s="31"/>
    </x:row>
    <x:row r="3" ht="32" customHeight="1">
      <x:c r="A3" s="35" t="str">
        <x:v>Purpose: record the assurance reasoning added during QA v2 for Control Evidence Index.</x:v>
      </x:c>
      <x:c r="B3" s="35"/>
      <x:c r="C3" s="35"/>
      <x:c r="D3" s="35"/>
      <x:c r="E3" s="35"/>
      <x:c r="F3" s="35"/>
      <x:c r="G3" s="35"/>
    </x:row>
    <x:row r="5" ht="44" customHeight="1">
      <x:c r="A5" s="40" t="str">
        <x:v>Assurance question</x:v>
      </x:c>
      <x:c r="B5" s="41" t="str">
        <x:v>Does Cobalt Harbor have documented evidence that control evidence index addresses RISK-031 before the 2026-07-14 review decision?</x:v>
      </x:c>
      <x:c r="C5" s="16"/>
      <x:c r="D5" s="16"/>
      <x:c r="E5" s="16"/>
      <x:c r="F5" s="16"/>
      <x:c r="G5" s="16"/>
    </x:row>
    <x:row r="6" ht="44" customHeight="1">
      <x:c r="A6" s="40" t="str">
        <x:v>Organization</x:v>
      </x:c>
      <x:c r="B6" s="41" t="str">
        <x:v>Cobalt Harbor is the accountable organization for this assurance record.</x:v>
      </x:c>
      <x:c r="C6" s="16"/>
      <x:c r="D6" s="16"/>
      <x:c r="E6" s="16"/>
      <x:c r="F6" s="16"/>
      <x:c r="G6" s="16"/>
    </x:row>
    <x:row r="7" ht="44" customHeight="1">
      <x:c r="A7" s="40" t="str">
        <x:v>Risk reference</x:v>
      </x:c>
      <x:c r="B7" s="41" t="str">
        <x:v>RISK-031 is assessed here as a control-evidence integrity risk requiring documented review.</x:v>
      </x:c>
      <x:c r="C7" s="16"/>
      <x:c r="D7" s="16"/>
      <x:c r="E7" s="16"/>
      <x:c r="F7" s="16"/>
      <x:c r="G7" s="16"/>
    </x:row>
    <x:row r="8" ht="44" customHeight="1">
      <x:c r="A8" s="40" t="str">
        <x:v>Review date</x:v>
      </x:c>
      <x:c r="B8" s="42" t="str">
        <x:v>2026-07-14</x:v>
      </x:c>
      <x:c r="C8" s="16"/>
      <x:c r="D8" s="16"/>
      <x:c r="E8" s="16"/>
      <x:c r="F8" s="16"/>
      <x:c r="G8" s="16"/>
    </x:row>
    <x:row r="9" ht="44" customHeight="1">
      <x:c r="A9" s="40" t="str">
        <x:v>Declared relationship</x:v>
      </x:c>
      <x:c r="B9" s="41" t="str">
        <x:v>rel.ac27.evidence-184 is the ledger relationship context for this workbook; its supporting linkage is maintained through declared dependency p03-full-000923 (source p03-src-000923).</x:v>
      </x:c>
      <x:c r="C9" s="16"/>
      <x:c r="D9" s="16"/>
      <x:c r="E9" s="16"/>
      <x:c r="F9" s="16"/>
      <x:c r="G9" s="16"/>
    </x:row>
    <x:row r="10" ht="58" customHeight="1">
      <x:c r="A10" s="40" t="str">
        <x:v>Evidence-register cross-reference</x:v>
      </x:c>
      <x:c r="B10" s="41" t="str">
        <x:v>AC-27 / Evidence Set 184 is the corpus evidence-register cross-reference used for assurance review. It is not asserted here as this row's declared relationship unless the ledger explicitly says so.</x:v>
      </x:c>
      <x:c r="C10" s="16"/>
      <x:c r="D10" s="16"/>
      <x:c r="E10" s="16"/>
      <x:c r="F10" s="16"/>
      <x:c r="G10" s="16"/>
    </x:row>
    <x:row r="11" ht="44" customHeight="1">
      <x:c r="A11" s="40" t="str">
        <x:v>Declared dependency</x:v>
      </x:c>
      <x:c r="B11" s="41" t="str">
        <x:v>This workbook relies on artifact p03-full-000923 (canonical source p03-src-000923) as its linked supporting record.</x:v>
      </x:c>
      <x:c r="C11" s="16"/>
      <x:c r="D11" s="16"/>
      <x:c r="E11" s="16"/>
      <x:c r="F11" s="16"/>
      <x:c r="G11" s="16"/>
    </x:row>
    <x:row r="12" ht="58" customHeight="1">
      <x:c r="A12" s="40" t="str">
        <x:v>Boundary statement</x:v>
      </x:c>
      <x:c r="B12" s="41" t="str">
        <x:v>No Kio system, service, repository, account, credential, or workflow is involved in this evidence review; the statement is a scope boundary, not an operational claim.</x:v>
      </x:c>
      <x:c r="C12" s="16"/>
      <x:c r="D12" s="16"/>
      <x:c r="E12" s="16"/>
      <x:c r="F12" s="16"/>
      <x:c r="G12" s="16"/>
    </x:row>
    <x:row r="14" ht="26" customHeight="1">
      <x:c r="A14" s="45" t="str">
        <x:v>Review linkage and decision context</x:v>
      </x:c>
      <x:c r="B14" s="45"/>
      <x:c r="C14" s="45"/>
      <x:c r="D14" s="45"/>
      <x:c r="E14" s="45"/>
      <x:c r="F14" s="45"/>
      <x:c r="G14" s="45"/>
    </x:row>
    <x:row r="15" ht="32" customHeight="1">
      <x:c r="A15" s="48" t="str">
        <x:v>Control</x:v>
      </x:c>
      <x:c r="B15" s="48" t="str">
        <x:v>Evidence set</x:v>
      </x:c>
      <x:c r="C15" s="48" t="str">
        <x:v>Accountable organization</x:v>
      </x:c>
      <x:c r="D15" s="48" t="str">
        <x:v>Review date</x:v>
      </x:c>
      <x:c r="E15" s="48" t="str">
        <x:v>Relationship</x:v>
      </x:c>
      <x:c r="F15" s="48" t="str">
        <x:v>Dependency</x:v>
      </x:c>
      <x:c r="G15" s="48" t="str">
        <x:v>Boundary decision</x:v>
      </x:c>
    </x:row>
    <x:row r="16" ht="58" customHeight="1">
      <x:c r="A16" s="41" t="str">
        <x:v>AC-27</x:v>
      </x:c>
      <x:c r="B16" s="41" t="str">
        <x:v>Evidence Set 184</x:v>
      </x:c>
      <x:c r="C16" s="41" t="str">
        <x:v>Cobalt Harbor</x:v>
      </x:c>
      <x:c r="D16" s="41" t="str">
        <x:v>2026-07-14</x:v>
      </x:c>
      <x:c r="E16" s="41" t="str">
        <x:v>rel.ac27.evidence-184; dependency establishes the row-specific linkage.</x:v>
      </x:c>
      <x:c r="F16" s="41" t="str">
        <x:v>p03-full-000923; p03-src-000923</x:v>
      </x:c>
      <x:c r="G16" s="41" t="str">
        <x:v>No Kio involvement; review is limited to the declared corpus evidence.</x:v>
      </x:c>
    </x:row>
  </x:sheetData>
  <x:mergeCells>
    <x:mergeCell ref="A1:G1"/>
    <x:mergeCell ref="A3:G3"/>
    <x:mergeCell ref="A14:G14"/>
    <x:mergeCell ref="B5:G5"/>
    <x:mergeCell ref="B6:G6"/>
    <x:mergeCell ref="B7:G7"/>
    <x:mergeCell ref="B8:G8"/>
    <x:mergeCell ref="B9:G9"/>
    <x:mergeCell ref="B10:G10"/>
    <x:mergeCell ref="B11:G11"/>
    <x:mergeCell ref="B12:G12"/>
  </x:mergeCells>
  <x:pageMargins left="0.7" right="0.7" top="0.75" bottom="0.75" header="0.3" footer="0.3"/>
</x:worksheet>
</file>