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131df0f0c64f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view" sheetId="1" r:id="Reae59687b9044f54"/>
    <x:sheet xmlns:r="http://schemas.openxmlformats.org/officeDocument/2006/relationships" name="QA v2 Traceability" sheetId="2" r:id="R505b3c36475341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0B25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0B2545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/>
    <x:xf numFmtId="200" fontId="8" fillId="0" borderId="1" xfId="0" applyNumberFormat="1" applyFont="1" applyFill="1" applyBorder="1"/>
    <x:xf numFmtId="0" fontId="6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2b3c00394841b1" /><Relationship Type="http://schemas.openxmlformats.org/officeDocument/2006/relationships/theme" Target="/xl/theme/theme1.xml" Id="R7e36ab456c76491b" /><Relationship Type="http://schemas.openxmlformats.org/officeDocument/2006/relationships/sharedStrings" Target="/xl/sharedStrings.xml" Id="R1d69f7d5fc6d4708" /><Relationship Type="http://schemas.openxmlformats.org/officeDocument/2006/relationships/worksheet" Target="/xl/worksheets/sheet1.xml" Id="Reae59687b9044f54" /><Relationship Type="http://schemas.openxmlformats.org/officeDocument/2006/relationships/worksheet" Target="/xl/worksheets/sheet2.xml" Id="R505b3c36475341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27" t="str">
        <x:v>AC-27 Evidence Review Workbook</x:v>
      </x:c>
      <x:c r="B1" s="27"/>
      <x:c r="C1" s="27"/>
      <x:c r="D1" s="27"/>
      <x:c r="E1" s="27"/>
      <x:c r="F1" s="27"/>
      <x:c r="G1" s="27"/>
      <x:c r="H1" s="27"/>
    </x:row>
    <x:row r="2">
      <x:c r="A2" s="18" t="str">
        <x:v>Assigned review date / period: 2026-07-14 | Dependency source date: 2026-07-20 | p03-full-000009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Control</x:v>
      </x:c>
      <x:c r="B4" s="21" t="str">
        <x:v>AC-27</x:v>
      </x:c>
      <x:c r="C4" s="19"/>
      <x:c r="D4" s="22" t="str">
        <x:v>Control completion metrics</x:v>
      </x:c>
      <x:c r="E4" s="22"/>
      <x:c r="F4" s="22"/>
      <x:c r="G4" s="22"/>
      <x:c r="H4" s="22"/>
    </x:row>
    <x:row r="5">
      <x:c r="A5" s="20" t="str">
        <x:v>Case</x:v>
      </x:c>
      <x:c r="B5" s="21" t="str">
        <x:v>CASE-260713-184</x:v>
      </x:c>
      <x:c r="C5" s="19"/>
      <x:c r="D5" s="23" t="str">
        <x:v>Metric</x:v>
      </x:c>
      <x:c r="E5" s="23" t="str">
        <x:v>Source value</x:v>
      </x:c>
      <x:c r="F5" s="23" t="str">
        <x:v>Derived check</x:v>
      </x:c>
      <x:c r="G5" s="23" t="str">
        <x:v>Status</x:v>
      </x:c>
      <x:c r="H5" s="23" t="str">
        <x:v>Interpretation</x:v>
      </x:c>
    </x:row>
    <x:row r="6">
      <x:c r="A6" s="20" t="str">
        <x:v>Risk</x:v>
      </x:c>
      <x:c r="B6" s="21" t="str">
        <x:v>RISK-031</x:v>
      </x:c>
      <x:c r="C6" s="19"/>
      <x:c r="D6" s="21" t="str">
        <x:v>Population</x:v>
      </x:c>
      <x:c r="E6" s="21" t="n">
        <x:v>48</x:v>
      </x:c>
      <x:c r="F6" s="24" t="n">
        <x:f>E6/E6</x:f>
        <x:v>1</x:v>
      </x:c>
      <x:c r="G6" s="21" t="str">
        <x:v>Verified</x:v>
      </x:c>
      <x:c r="H6" s="21" t="str">
        <x:v>Synthetic privileged-role records</x:v>
      </x:c>
    </x:row>
    <x:row r="7">
      <x:c r="A7" s="20" t="str">
        <x:v>Evidence set</x:v>
      </x:c>
      <x:c r="B7" s="21" t="n">
        <x:v>184</x:v>
      </x:c>
      <x:c r="C7" s="19"/>
      <x:c r="D7" s="21" t="str">
        <x:v>Timely attestation</x:v>
      </x:c>
      <x:c r="E7" s="21" t="n">
        <x:v>47</x:v>
      </x:c>
      <x:c r="F7" s="24" t="n">
        <x:f>E7/E6</x:f>
        <x:v>0.9791666666666666</x:v>
      </x:c>
      <x:c r="G7" s="21" t="str">
        <x:v>Observed</x:v>
      </x:c>
      <x:c r="H7" s="21" t="str">
        <x:v>Before compensating review</x:v>
      </x:c>
    </x:row>
    <x:row r="8">
      <x:c r="A8" s="20" t="str">
        <x:v>Assigned review date / period</x:v>
      </x:c>
      <x:c r="B8" s="21" t="str">
        <x:v>2026-07-14</x:v>
      </x:c>
      <x:c r="C8" s="19"/>
      <x:c r="D8" s="21" t="str">
        <x:v>Final completion</x:v>
      </x:c>
      <x:c r="E8" s="21" t="n">
        <x:v>48</x:v>
      </x:c>
      <x:c r="F8" s="24" t="n">
        <x:f>E8/E6</x:f>
        <x:v>1</x:v>
      </x:c>
      <x:c r="G8" s="21" t="str">
        <x:v>Verified</x:v>
      </x:c>
      <x:c r="H8" s="21" t="str">
        <x:v>After compensating review</x:v>
      </x:c>
    </x:row>
    <x:row r="9">
      <x:c r="A9" s="20" t="str">
        <x:v>Dependency source date</x:v>
      </x:c>
      <x:c r="B9" s="21" t="str">
        <x:v>2026-07-20</x:v>
      </x:c>
      <x:c r="C9" s="19"/>
      <x:c r="D9" s="21" t="str">
        <x:v>Evidence items</x:v>
      </x:c>
      <x:c r="E9" s="21" t="n">
        <x:v>24</x:v>
      </x:c>
      <x:c r="F9" s="24" t="n">
        <x:f>E9/24</x:f>
        <x:v>1</x:v>
      </x:c>
      <x:c r="G9" s="21" t="str">
        <x:v>Verified</x:v>
      </x:c>
      <x:c r="H9" s="21" t="str">
        <x:v>Required items verified</x:v>
      </x:c>
    </x:row>
    <x:row r="10">
      <x:c r="A10" s="20" t="str">
        <x:v>Source evidence card</x:v>
      </x:c>
      <x:c r="B10" s="21" t="str">
        <x:v>EV-184-09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5" t="str">
        <x:v>Review and retention notes</x:v>
      </x:c>
      <x:c r="B12" s="25"/>
      <x:c r="C12" s="25"/>
      <x:c r="D12" s="25"/>
      <x:c r="E12" s="25"/>
      <x:c r="F12" s="25"/>
      <x:c r="G12" s="25"/>
      <x:c r="H12" s="25"/>
    </x:row>
    <x:row r="13">
      <x:c r="A13" s="26" t="str">
        <x:v>AC-27 requires preparer and reviewer role separation for exception dispositions. RISK-031 retains a residual Medium rating after bounded remediation. This workbook is a synthetic evidence coordination record and establishes no Kio indexing, history, search, or performance claim.</x:v>
      </x:c>
      <x:c r="B13" s="26"/>
      <x:c r="C13" s="26"/>
      <x:c r="D13" s="26"/>
      <x:c r="E13" s="26"/>
      <x:c r="F13" s="26"/>
      <x:c r="G13" s="26"/>
      <x:c r="H13" s="26"/>
    </x:row>
    <x:row r="14">
      <x:c r="A14" s="26" t="str">
        <x:v>Evidence set 184 contains 24 synthetic items: 12 access-review attestations, 6 approval records, 4 checksum manifests, and 2 exception records.</x:v>
      </x:c>
      <x:c r="B14" s="26"/>
      <x:c r="C14" s="26"/>
      <x:c r="D14" s="26"/>
      <x:c r="E14" s="26"/>
      <x:c r="F14" s="26"/>
      <x:c r="G14" s="26"/>
      <x:c r="H14" s="26"/>
    </x:row>
    <x:row r="15">
      <x:c r="A15" s="26" t="str">
        <x:v>Retain source p03-full-001952 (follow-up, lane PRIV-33) under the synthetic 18-month minimum.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Working-paper sequence: 1952. Review outcome is limited to supplied evidence facts.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1" t="str">
        <x:v>QA v2 Traceability — Assurance Review</x:v>
      </x:c>
      <x:c r="B1" s="31"/>
      <x:c r="C1" s="31"/>
      <x:c r="D1" s="31"/>
      <x:c r="E1" s="31"/>
      <x:c r="F1" s="31"/>
      <x:c r="G1" s="31"/>
    </x:row>
    <x:row r="3" ht="32" customHeight="1">
      <x:c r="A3" s="35" t="str">
        <x:v>Purpose: record the assurance reasoning added during QA v2 for Control Evidence Review Population.</x:v>
      </x:c>
      <x:c r="B3" s="35"/>
      <x:c r="C3" s="35"/>
      <x:c r="D3" s="35"/>
      <x:c r="E3" s="35"/>
      <x:c r="F3" s="35"/>
      <x:c r="G3" s="35"/>
    </x:row>
    <x:row r="5" ht="44" customHeight="1">
      <x:c r="A5" s="40" t="str">
        <x:v>Assurance question</x:v>
      </x:c>
      <x:c r="B5" s="41" t="str">
        <x:v>Does Cobalt Harbor have documented evidence that control evidence review population addresses RISK-031 before the 2026-07-14 review decision?</x:v>
      </x:c>
      <x:c r="C5" s="16"/>
      <x:c r="D5" s="16"/>
      <x:c r="E5" s="16"/>
      <x:c r="F5" s="16"/>
      <x:c r="G5" s="16"/>
    </x:row>
    <x:row r="6" ht="44" customHeight="1">
      <x:c r="A6" s="40" t="str">
        <x:v>Organization</x:v>
      </x:c>
      <x:c r="B6" s="41" t="str">
        <x:v>Cobalt Harbor is the accountable organization for this assurance record.</x:v>
      </x:c>
      <x:c r="C6" s="16"/>
      <x:c r="D6" s="16"/>
      <x:c r="E6" s="16"/>
      <x:c r="F6" s="16"/>
      <x:c r="G6" s="16"/>
    </x:row>
    <x:row r="7" ht="44" customHeight="1">
      <x:c r="A7" s="40" t="str">
        <x:v>Risk reference</x:v>
      </x:c>
      <x:c r="B7" s="41" t="str">
        <x:v>RISK-031 is assessed here as a control-evidence integrity risk requiring documented review.</x:v>
      </x:c>
      <x:c r="C7" s="16"/>
      <x:c r="D7" s="16"/>
      <x:c r="E7" s="16"/>
      <x:c r="F7" s="16"/>
      <x:c r="G7" s="16"/>
    </x:row>
    <x:row r="8" ht="44" customHeight="1">
      <x:c r="A8" s="40" t="str">
        <x:v>Review date</x:v>
      </x:c>
      <x:c r="B8" s="42" t="str">
        <x:v>2026-07-14</x:v>
      </x:c>
      <x:c r="C8" s="16"/>
      <x:c r="D8" s="16"/>
      <x:c r="E8" s="16"/>
      <x:c r="F8" s="16"/>
      <x:c r="G8" s="16"/>
    </x:row>
    <x:row r="9" ht="44" customHeight="1">
      <x:c r="A9" s="40" t="str">
        <x:v>Declared relationship</x:v>
      </x:c>
      <x:c r="B9" s="41" t="str">
        <x:v>rel.ac27.evidence-184 is the ledger relationship context for this workbook; its supporting linkage is maintained through declared dependency p03-full-001952 (source p03-src-001952).</x:v>
      </x:c>
      <x:c r="C9" s="16"/>
      <x:c r="D9" s="16"/>
      <x:c r="E9" s="16"/>
      <x:c r="F9" s="16"/>
      <x:c r="G9" s="16"/>
    </x:row>
    <x:row r="10" ht="58" customHeight="1">
      <x:c r="A10" s="40" t="str">
        <x:v>Evidence-register cross-reference</x:v>
      </x:c>
      <x:c r="B10" s="41" t="str">
        <x:v>AC-27 / Evidence Set 184 is the corpus evidence-register cross-reference used for assurance review. It is not asserted here as this row's declared relationship unless the ledger explicitly says so.</x:v>
      </x:c>
      <x:c r="C10" s="16"/>
      <x:c r="D10" s="16"/>
      <x:c r="E10" s="16"/>
      <x:c r="F10" s="16"/>
      <x:c r="G10" s="16"/>
    </x:row>
    <x:row r="11" ht="44" customHeight="1">
      <x:c r="A11" s="40" t="str">
        <x:v>Declared dependency</x:v>
      </x:c>
      <x:c r="B11" s="41" t="str">
        <x:v>This workbook relies on artifact p03-full-001952 (canonical source p03-src-001952) as its linked supporting record.</x:v>
      </x:c>
      <x:c r="C11" s="16"/>
      <x:c r="D11" s="16"/>
      <x:c r="E11" s="16"/>
      <x:c r="F11" s="16"/>
      <x:c r="G11" s="16"/>
    </x:row>
    <x:row r="12" ht="58" customHeight="1">
      <x:c r="A12" s="40" t="str">
        <x:v>Boundary statement</x:v>
      </x:c>
      <x:c r="B12" s="41" t="str">
        <x:v>No Kio system, service, repository, account, credential, or workflow is involved in this evidence review; the statement is a scope boundary, not an operational claim.</x:v>
      </x:c>
      <x:c r="C12" s="16"/>
      <x:c r="D12" s="16"/>
      <x:c r="E12" s="16"/>
      <x:c r="F12" s="16"/>
      <x:c r="G12" s="16"/>
    </x:row>
    <x:row r="14" ht="26" customHeight="1">
      <x:c r="A14" s="45" t="str">
        <x:v>Review linkage and decision context</x:v>
      </x:c>
      <x:c r="B14" s="45"/>
      <x:c r="C14" s="45"/>
      <x:c r="D14" s="45"/>
      <x:c r="E14" s="45"/>
      <x:c r="F14" s="45"/>
      <x:c r="G14" s="45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41" t="str">
        <x:v>AC-27</x:v>
      </x:c>
      <x:c r="B16" s="41" t="str">
        <x:v>Evidence Set 184</x:v>
      </x:c>
      <x:c r="C16" s="41" t="str">
        <x:v>Cobalt Harbor</x:v>
      </x:c>
      <x:c r="D16" s="41" t="str">
        <x:v>2026-07-14</x:v>
      </x:c>
      <x:c r="E16" s="41" t="str">
        <x:v>rel.ac27.evidence-184; dependency establishes the row-specific linkage.</x:v>
      </x:c>
      <x:c r="F16" s="41" t="str">
        <x:v>p03-full-001952; p03-src-001952</x:v>
      </x:c>
      <x:c r="G16" s="4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