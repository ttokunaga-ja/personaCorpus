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418b3a71a545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47813cffedbc4359"/>
    <x:sheet xmlns:r="http://schemas.openxmlformats.org/officeDocument/2006/relationships" name="QA v2 Traceability" sheetId="2" r:id="R2bc997c0e2404a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1"/>
      <x:color rgb="FF52606D"/>
      <x:name val="Carlito"/>
    </x:font>
    <x:font>
      <x:b/>
      <x:sz val="11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A5A"/>
      </x:patternFill>
    </x:fill>
    <x:fill>
      <x:patternFill patternType="solid">
        <x:fgColor rgb="FFDCE6F1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4"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left"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6" borderId="13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201" fontId="0" fillId="0" borderId="13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34268d0d8449f4" /><Relationship Type="http://schemas.openxmlformats.org/officeDocument/2006/relationships/theme" Target="/xl/theme/theme1.xml" Id="R9b2c4158a7be4809" /><Relationship Type="http://schemas.openxmlformats.org/officeDocument/2006/relationships/sharedStrings" Target="/xl/sharedStrings.xml" Id="R207abb3fae5d4bd6" /><Relationship Type="http://schemas.openxmlformats.org/officeDocument/2006/relationships/worksheet" Target="/xl/worksheets/sheet1.xml" Id="R47813cffedbc4359" /><Relationship Type="http://schemas.openxmlformats.org/officeDocument/2006/relationships/worksheet" Target="/xl/worksheets/sheet2.xml" Id="R2bc997c0e2404a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36" hidden="0" customWidth="1"/>
  </x:cols>
  <x:sheetData>
    <x:row r="1">
      <x:c r="A1" s="24" t="str">
        <x:v>Cobalt Harbor Systems | AC-27 export review | p03-full-000312</x:v>
      </x:c>
      <x:c r="B1" s="24"/>
      <x:c r="C1" s="24"/>
      <x:c r="D1" s="24"/>
      <x:c r="E1" s="24"/>
    </x:row>
    <x:row r="2">
      <x:c r="A2" s="25" t="str">
        <x:v>Assigned review date or period: 2026-Q3 | Foundation: p03-full-000485</x:v>
      </x:c>
      <x:c r="B2" s="25"/>
      <x:c r="C2" s="25"/>
      <x:c r="D2" s="25"/>
      <x:c r="E2" s="25"/>
    </x:row>
    <x:row r="3">
      <x:c r="A3" s="26" t="str">
        <x:v>Evidence item</x:v>
      </x:c>
      <x:c r="B3" s="27" t="str">
        <x:v>Required</x:v>
      </x:c>
      <x:c r="C3" s="27" t="str">
        <x:v>Verified</x:v>
      </x:c>
      <x:c r="D3" s="27" t="str">
        <x:v>Completion</x:v>
      </x:c>
      <x:c r="E3" s="28" t="str">
        <x:v>Decision note</x:v>
      </x:c>
    </x:row>
    <x:row r="4">
      <x:c r="A4" s="29" t="str">
        <x:v>Access-review attestations</x:v>
      </x:c>
      <x:c r="B4" s="30" t="n">
        <x:v>12</x:v>
      </x:c>
      <x:c r="C4" s="30" t="n">
        <x:v>12</x:v>
      </x:c>
      <x:c r="D4" s="31" t="n">
        <x:f>C4/B4</x:f>
        <x:v>1</x:v>
      </x:c>
      <x:c r="E4" s="32" t="str">
        <x:v>category completeness: 48-role population</x:v>
      </x:c>
    </x:row>
    <x:row r="5">
      <x:c r="A5" s="33" t="str">
        <x:v>Approval records</x:v>
      </x:c>
      <x:c r="B5" s="34" t="n">
        <x:v>6</x:v>
      </x:c>
      <x:c r="C5" s="34" t="n">
        <x:v>6</x:v>
      </x:c>
      <x:c r="D5" s="35" t="n">
        <x:f>C5/B5</x:f>
        <x:v>1</x:v>
      </x:c>
      <x:c r="E5" s="36" t="str">
        <x:v>Preparer/reviewer separation retained</x:v>
      </x:c>
    </x:row>
    <x:row r="6">
      <x:c r="A6" s="33" t="str">
        <x:v>Checksum manifests</x:v>
      </x:c>
      <x:c r="B6" s="34" t="n">
        <x:v>4</x:v>
      </x:c>
      <x:c r="C6" s="34" t="n">
        <x:v>4</x:v>
      </x:c>
      <x:c r="D6" s="35" t="n">
        <x:f>C6/B6</x:f>
        <x:v>1</x:v>
      </x:c>
      <x:c r="E6" s="36" t="str">
        <x:v>Foundation test: confirm all four evidence groupings before retention</x:v>
      </x:c>
    </x:row>
    <x:row r="7">
      <x:c r="A7" s="37" t="str">
        <x:v>Exception records</x:v>
      </x:c>
      <x:c r="B7" s="38" t="n">
        <x:v>2</x:v>
      </x:c>
      <x:c r="C7" s="38" t="n">
        <x:v>2</x:v>
      </x:c>
      <x:c r="D7" s="39" t="n">
        <x:f>C7/B7</x:f>
        <x:v>1</x:v>
      </x:c>
      <x:c r="E7" s="40" t="str">
        <x:v>Follow-up: reconcile category labels</x:v>
      </x:c>
    </x:row>
    <x:row r="8">
      <x:c r="A8" s="41"/>
      <x:c r="B8" s="41"/>
      <x:c r="C8" s="41"/>
      <x:c r="D8" s="41"/>
      <x:c r="E8" s="41"/>
    </x:row>
    <x:row r="9">
      <x:c r="A9" s="42" t="str">
        <x:v>Metric</x:v>
      </x:c>
      <x:c r="B9" s="42" t="str">
        <x:v>Value</x:v>
      </x:c>
      <x:c r="C9" s="41"/>
      <x:c r="D9" s="41"/>
      <x:c r="E9" s="41"/>
    </x:row>
    <x:row r="10">
      <x:c r="A10" s="41" t="str">
        <x:v>Evidence completeness</x:v>
      </x:c>
      <x:c r="B10" s="43" t="n">
        <x:f>SUM(C4:C7)/SUM(B4:B7)</x:f>
        <x:v>1</x:v>
      </x:c>
      <x:c r="C10" s="41"/>
      <x:c r="D10" s="41"/>
      <x:c r="E10" s="41"/>
    </x:row>
    <x:row r="11">
      <x:c r="A11" s="41" t="str">
        <x:v>Timely attestation rate</x:v>
      </x:c>
      <x:c r="B11" s="43" t="n">
        <x:v>0.979</x:v>
      </x:c>
      <x:c r="C11" s="41"/>
      <x:c r="D11" s="41"/>
      <x:c r="E11" s="41"/>
    </x:row>
    <x:row r="12">
      <x:c r="A12" s="41" t="str">
        <x:v>Final completion rate</x:v>
      </x:c>
      <x:c r="B12" s="43" t="n">
        <x:v>1</x:v>
      </x:c>
      <x:c r="C12" s="41"/>
      <x:c r="D12" s="41"/>
      <x:c r="E12" s="41"/>
    </x:row>
    <x:row r="13">
      <x:c r="A13" t="str">
        <x:v>Residual risk</x:v>
      </x:c>
      <x:c r="B13" t="str">
        <x:v>Medium</x:v>
      </x:c>
    </x:row>
    <x:row r="14">
      <x:c r="A14" t="str">
        <x:v>Review decision</x:v>
      </x:c>
      <x:c r="B14" t="str">
        <x:v>confirm all four evidence groupings before retention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47" t="str">
        <x:v>QA v2 Traceability — Assurance Review</x:v>
      </x:c>
      <x:c r="B1" s="47"/>
      <x:c r="C1" s="47"/>
      <x:c r="D1" s="47"/>
      <x:c r="E1" s="47"/>
      <x:c r="F1" s="47"/>
      <x:c r="G1" s="47"/>
    </x:row>
    <x:row r="3" ht="32" customHeight="1">
      <x:c r="A3" s="51" t="str">
        <x:v>Purpose: record the assurance reasoning added during QA v2 for Export Category Summary.</x:v>
      </x:c>
      <x:c r="B3" s="51"/>
      <x:c r="C3" s="51"/>
      <x:c r="D3" s="51"/>
      <x:c r="E3" s="51"/>
      <x:c r="F3" s="51"/>
      <x:c r="G3" s="51"/>
    </x:row>
    <x:row r="5" ht="44" customHeight="1">
      <x:c r="A5" s="57" t="str">
        <x:v>Assurance question</x:v>
      </x:c>
      <x:c r="B5" s="58" t="str">
        <x:v>Does Cobalt Harbor have documented evidence that export category summary addresses RISK-031 before the 2026-Q3 finalized 2026-07-20 review decision?</x:v>
      </x:c>
      <x:c r="C5" s="56"/>
      <x:c r="D5" s="56"/>
      <x:c r="E5" s="56"/>
      <x:c r="F5" s="56"/>
      <x:c r="G5" s="56"/>
    </x:row>
    <x:row r="6" ht="44" customHeight="1">
      <x:c r="A6" s="57" t="str">
        <x:v>Organization</x:v>
      </x:c>
      <x:c r="B6" s="58" t="str">
        <x:v>Cobalt Harbor is the accountable organization for this assurance record.</x:v>
      </x:c>
      <x:c r="C6" s="56"/>
      <x:c r="D6" s="56"/>
      <x:c r="E6" s="56"/>
      <x:c r="F6" s="56"/>
      <x:c r="G6" s="56"/>
    </x:row>
    <x:row r="7" ht="44" customHeight="1">
      <x:c r="A7" s="57" t="str">
        <x:v>Risk reference</x:v>
      </x:c>
      <x:c r="B7" s="58" t="str">
        <x:v>RISK-031 is assessed here as a control-evidence integrity risk requiring documented review.</x:v>
      </x:c>
      <x:c r="C7" s="56"/>
      <x:c r="D7" s="56"/>
      <x:c r="E7" s="56"/>
      <x:c r="F7" s="56"/>
      <x:c r="G7" s="56"/>
    </x:row>
    <x:row r="8" ht="44" customHeight="1">
      <x:c r="A8" s="57" t="str">
        <x:v>Review date</x:v>
      </x:c>
      <x:c r="B8" s="59" t="str">
        <x:v>2026-Q3 finalized 2026-07-20</x:v>
      </x:c>
      <x:c r="C8" s="56"/>
      <x:c r="D8" s="56"/>
      <x:c r="E8" s="56"/>
      <x:c r="F8" s="56"/>
      <x:c r="G8" s="56"/>
    </x:row>
    <x:row r="9" ht="44" customHeight="1">
      <x:c r="A9" s="57" t="str">
        <x:v>Declared relationship</x:v>
      </x:c>
      <x:c r="B9" s="58" t="str">
        <x:v>rel.siem.minimization is the ledger relationship context for this workbook; its supporting linkage is maintained through declared dependency p03-full-000485 (source p03-src-000485).</x:v>
      </x:c>
      <x:c r="C9" s="56"/>
      <x:c r="D9" s="56"/>
      <x:c r="E9" s="56"/>
      <x:c r="F9" s="56"/>
      <x:c r="G9" s="56"/>
    </x:row>
    <x:row r="10" ht="58" customHeight="1">
      <x:c r="A10" s="57" t="str">
        <x:v>Evidence-register cross-reference</x:v>
      </x:c>
      <x:c r="B10" s="58" t="str">
        <x:v>AC-27 / Evidence Set 184 is the corpus evidence-register cross-reference used for assurance review. It is not asserted here as this row's declared relationship unless the ledger explicitly says so.</x:v>
      </x:c>
      <x:c r="C10" s="56"/>
      <x:c r="D10" s="56"/>
      <x:c r="E10" s="56"/>
      <x:c r="F10" s="56"/>
      <x:c r="G10" s="56"/>
    </x:row>
    <x:row r="11" ht="44" customHeight="1">
      <x:c r="A11" s="57" t="str">
        <x:v>Declared dependency</x:v>
      </x:c>
      <x:c r="B11" s="58" t="str">
        <x:v>This workbook relies on artifact p03-full-000485 (canonical source p03-src-000485) as its linked supporting record.</x:v>
      </x:c>
      <x:c r="C11" s="56"/>
      <x:c r="D11" s="56"/>
      <x:c r="E11" s="56"/>
      <x:c r="F11" s="56"/>
      <x:c r="G11" s="56"/>
    </x:row>
    <x:row r="12" ht="58" customHeight="1">
      <x:c r="A12" s="57" t="str">
        <x:v>Boundary statement</x:v>
      </x:c>
      <x:c r="B12" s="58" t="str">
        <x:v>No Kio system, service, repository, account, credential, or workflow is involved in this evidence review; the statement is a scope boundary, not an operational claim.</x:v>
      </x:c>
      <x:c r="C12" s="56"/>
      <x:c r="D12" s="56"/>
      <x:c r="E12" s="56"/>
      <x:c r="F12" s="56"/>
      <x:c r="G12" s="56"/>
    </x:row>
    <x:row r="14" ht="26" customHeight="1">
      <x:c r="A14" s="62" t="str">
        <x:v>Review linkage and decision context</x:v>
      </x:c>
      <x:c r="B14" s="62"/>
      <x:c r="C14" s="62"/>
      <x:c r="D14" s="62"/>
      <x:c r="E14" s="62"/>
      <x:c r="F14" s="62"/>
      <x:c r="G14" s="62"/>
    </x:row>
    <x:row r="15" ht="32" customHeight="1">
      <x:c r="A15" s="65" t="str">
        <x:v>Control</x:v>
      </x:c>
      <x:c r="B15" s="65" t="str">
        <x:v>Evidence set</x:v>
      </x:c>
      <x:c r="C15" s="65" t="str">
        <x:v>Accountable organization</x:v>
      </x:c>
      <x:c r="D15" s="65" t="str">
        <x:v>Review date</x:v>
      </x:c>
      <x:c r="E15" s="65" t="str">
        <x:v>Relationship</x:v>
      </x:c>
      <x:c r="F15" s="65" t="str">
        <x:v>Dependency</x:v>
      </x:c>
      <x:c r="G15" s="65" t="str">
        <x:v>Boundary decision</x:v>
      </x:c>
    </x:row>
    <x:row r="16" ht="58" customHeight="1">
      <x:c r="A16" s="58" t="str">
        <x:v>AC-27</x:v>
      </x:c>
      <x:c r="B16" s="58" t="str">
        <x:v>Evidence Set 184</x:v>
      </x:c>
      <x:c r="C16" s="58" t="str">
        <x:v>Cobalt Harbor</x:v>
      </x:c>
      <x:c r="D16" s="58" t="str">
        <x:v>2026-Q3 finalized 2026-07-20</x:v>
      </x:c>
      <x:c r="E16" s="58" t="str">
        <x:v>rel.siem.minimization; dependency establishes the row-specific linkage.</x:v>
      </x:c>
      <x:c r="F16" s="58" t="str">
        <x:v>p03-full-000485; p03-src-000485</x:v>
      </x:c>
      <x:c r="G16" s="58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