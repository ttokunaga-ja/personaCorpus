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4a57ff48e43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616916ea4c9649a1"/>
    <x:sheet xmlns:r="http://schemas.openxmlformats.org/officeDocument/2006/relationships" name="QA v2 Traceability" sheetId="2" r:id="R078b127d59ac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fff733c764641" /><Relationship Type="http://schemas.openxmlformats.org/officeDocument/2006/relationships/theme" Target="/xl/theme/theme1.xml" Id="R2eb3f21660cc4c6d" /><Relationship Type="http://schemas.openxmlformats.org/officeDocument/2006/relationships/sharedStrings" Target="/xl/sharedStrings.xml" Id="R903a781e8ecc4aff" /><Relationship Type="http://schemas.openxmlformats.org/officeDocument/2006/relationships/worksheet" Target="/xl/worksheets/sheet1.xml" Id="R616916ea4c9649a1" /><Relationship Type="http://schemas.openxmlformats.org/officeDocument/2006/relationships/worksheet" Target="/xl/worksheets/sheet2.xml" Id="R078b127d59ac45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19" hidden="0" customWidth="1"/>
    <x:col min="4" max="4" width="16" hidden="0" customWidth="1"/>
    <x:col min="5" max="5" width="18" hidden="0" customWidth="1"/>
    <x:col min="6" max="6" width="31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15 intake disposition note control workbook xlsx s007963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3" t="str">
        <x:v>Artifact ID</x:v>
      </x:c>
      <x:c r="B5" s="21" t="str">
        <x:v>p03-full-007963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p03-full-007963</x:v>
      </x:c>
    </x:row>
    <x:row r="6">
      <x:c r="A6" s="23" t="str">
        <x:v>Source record</x:v>
      </x:c>
      <x:c r="B6" s="21" t="str">
        <x:v>INB-010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foundation-b001-010</x:v>
      </x:c>
    </x:row>
    <x:row r="7">
      <x:c r="A7" s="23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p03-full-000836</x:v>
      </x:c>
    </x:row>
    <x:row r="8">
      <x:c r="A8" s="23" t="str">
        <x:v>Own assigned date or period</x:v>
      </x:c>
      <x:c r="B8" s="21" t="str">
        <x:v>2026-07-15</x:v>
      </x:c>
      <x:c r="C8" s="21" t="str">
        <x:v>Artifact plan</x:v>
      </x:c>
      <x:c r="D8" s="21" t="str">
        <x:v>Recorded</x:v>
      </x:c>
      <x:c r="E8" s="21" t="str">
        <x:v>Own schedule</x:v>
      </x:c>
      <x:c r="F8" s="21" t="str">
        <x:v>2026-07-15</x:v>
      </x:c>
    </x:row>
    <x:row r="9">
      <x:c r="A9" s="23" t="str">
        <x:v>Source date and period</x:v>
      </x:c>
      <x:c r="B9" s="21" t="str">
        <x:v>2026-07-13 / 2026-Q3</x:v>
      </x:c>
      <x:c r="C9" s="21" t="str">
        <x:v>Dependency</x:v>
      </x:c>
      <x:c r="D9" s="21" t="str">
        <x:v>Recorded</x:v>
      </x:c>
      <x:c r="E9" s="21" t="str">
        <x:v>Source timing</x:v>
      </x:c>
      <x:c r="F9" s="21" t="str">
        <x:v>2026-07-13 / 2026-Q3</x:v>
      </x:c>
    </x:row>
    <x:row r="10">
      <x:c r="A10" s="23" t="str">
        <x:v>Audit and control</x:v>
      </x:c>
      <x:c r="B10" s="21" t="str">
        <x:v>AR-260713-027 / AC-27</x:v>
      </x:c>
      <x:c r="C10" s="21" t="str">
        <x:v>Request owner</x:v>
      </x:c>
      <x:c r="D10" s="21" t="str">
        <x:v>Recorded</x:v>
      </x:c>
      <x:c r="E10" s="21" t="str">
        <x:v>Control</x:v>
      </x:c>
      <x:c r="F10" s="21" t="str">
        <x:v>AC-27</x:v>
      </x:c>
    </x:row>
    <x:row r="11">
      <x:c r="A11" s="23" t="str">
        <x:v>Topic decision</x:v>
      </x:c>
      <x:c r="B11" s="21" t="str">
        <x:v>retain the recorded disposition without overclaiming closure</x:v>
      </x:c>
      <x:c r="C11" s="21" t="str">
        <x:v>Review owner</x:v>
      </x:c>
      <x:c r="D11" s="21" t="str">
        <x:v>Confirmed</x:v>
      </x:c>
      <x:c r="E11" s="21" t="str">
        <x:v>Focus</x:v>
      </x:c>
      <x:c r="F11" s="21" t="str">
        <x:v>Disposition handling</x:v>
      </x:c>
    </x:row>
    <x:row r="12">
      <x:c r="A12" s="23" t="str">
        <x:v>Review route</x:v>
      </x:c>
      <x:c r="B12" s="21" t="str">
        <x:v>marker continuity; then handling boundary; then disposition wording; then evidence-set boundary</x:v>
      </x:c>
      <x:c r="C12" s="21" t="str">
        <x:v>Analyst</x:v>
      </x:c>
      <x:c r="D12" s="21" t="str">
        <x:v>Recorded</x:v>
      </x:c>
      <x:c r="E12" s="21" t="str">
        <x:v>Route type</x:v>
      </x:c>
      <x:c r="F12" s="21" t="str">
        <x:v>Disposition note</x:v>
      </x:c>
    </x:row>
    <x:row r="14" ht="26" customHeight="1">
      <x:c r="A14" s="17" t="str">
        <x:v>Acceptance check</x:v>
      </x:c>
      <x:c r="B14" s="18" t="str">
        <x:v>Expected</x:v>
      </x:c>
      <x:c r="C14" s="18" t="str">
        <x:v>Observed</x:v>
      </x:c>
      <x:c r="D14" s="18" t="str">
        <x:v>Formula check</x:v>
      </x:c>
      <x:c r="E14" s="18" t="str">
        <x:v>Disposition</x:v>
      </x:c>
      <x:c r="F14" s="19" t="str">
        <x:v>Notes</x:v>
      </x:c>
    </x:row>
    <x:row r="15">
      <x:c r="A15" s="25" t="str">
        <x:v>Source marker</x:v>
      </x:c>
      <x:c r="B15" s="21" t="str">
        <x:v>foundation-b001-010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Direct marker for INB-010</x:v>
      </x:c>
    </x:row>
    <x:row r="16">
      <x:c r="A16" s="25" t="str">
        <x:v>Case linkage</x:v>
      </x:c>
      <x:c r="B16" s="21" t="str">
        <x:v>CASE-260713-184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Risk context: RISK-031</x:v>
      </x:c>
    </x:row>
    <x:row r="17">
      <x:c r="A17" s="25" t="str">
        <x:v>Disposition</x:v>
      </x:c>
      <x:c r="B17" s="21" t="str">
        <x:v>synthetic intake normalized; bounded review retained</x:v>
      </x:c>
      <x:c r="C17" s="21" t="n">
        <x:v>1</x:v>
      </x:c>
      <x:c r="D17" s="21" t="str">
        <x:f>IF(C17=1,"Pass","Review")</x:f>
        <x:v>Pass</x:v>
      </x:c>
      <x:c r="E17" s="21" t="str">
        <x:v>Pass</x:v>
      </x:c>
      <x:c r="F17" s="21" t="str">
        <x:v>retain the recorded disposition without overclaiming closure</x:v>
      </x:c>
    </x:row>
    <x:row r="18">
      <x:c r="A18" s="25" t="str">
        <x:v>Control reference</x:v>
      </x:c>
      <x:c r="B18" s="21" t="str">
        <x:v>AC-27</x:v>
      </x:c>
      <x:c r="C18" s="21" t="n">
        <x:v>1</x:v>
      </x:c>
      <x:c r="D18" s="21" t="str">
        <x:f>IF(C18=1,"Pass","Review")</x:f>
        <x:v>Pass</x:v>
      </x:c>
      <x:c r="E18" s="21" t="str">
        <x:v>Pass</x:v>
      </x:c>
      <x:c r="F18" s="21" t="str">
        <x:v>Review focus: Disposition handling</x:v>
      </x:c>
    </x:row>
    <x:row r="19">
      <x:c r="A19" s="25" t="str">
        <x:v>No-Kio boundary</x:v>
      </x:c>
      <x:c r="B19" s="21" t="str">
        <x:v>No readiness claim</x:v>
      </x:c>
      <x:c r="C19" s="21" t="n">
        <x:v>1</x:v>
      </x:c>
      <x:c r="D19" s="21" t="str">
        <x:f>IF(C19=1,"Pass","Review")</x:f>
        <x:v>Pass</x:v>
      </x:c>
      <x:c r="E19" s="21" t="str">
        <x:v>Pass</x:v>
      </x:c>
      <x:c r="F19" s="21" t="str">
        <x:v>No search or access assertion</x:v>
      </x:c>
    </x:row>
    <x:row r="21" ht="24" customHeight="1">
      <x:c r="A21" s="17" t="str">
        <x:v>Summary metric</x:v>
      </x:c>
      <x:c r="B21" s="18" t="str">
        <x:v>Value</x:v>
      </x:c>
      <x:c r="C21" s="18" t="str">
        <x:v>Formula</x:v>
      </x:c>
      <x:c r="D21" s="19" t="str">
        <x:v>Interpretation</x:v>
      </x:c>
    </x:row>
    <x:row r="22">
      <x:c r="A22" s="21" t="str">
        <x:v>Checks passed</x:v>
      </x:c>
      <x:c r="B22" s="21" t="n">
        <x:f>COUNTIF(D15:D19,"Pass")</x:f>
        <x:v>5</x:v>
      </x:c>
      <x:c r="C22" s="21" t="n">
        <x:f>COUNTIF(D15:D19,"Pass")</x:f>
        <x:v>5</x:v>
      </x:c>
      <x:c r="D22" s="21" t="str">
        <x:v>All intake checks must pass</x:v>
      </x:c>
    </x:row>
    <x:row r="23">
      <x:c r="A23" s="21" t="str">
        <x:v>Completion rate</x:v>
      </x:c>
      <x:c r="B23" s="26" t="n">
        <x:f>B22/5</x:f>
        <x:v>1</x:v>
      </x:c>
      <x:c r="C23" s="21" t="n">
        <x:f>B22/5</x:f>
        <x:v>1</x:v>
      </x:c>
      <x:c r="D23" s="21" t="str">
        <x:v>Recorded controls complete</x:v>
      </x:c>
    </x:row>
    <x:row r="25" ht="34" customHeight="1">
      <x:c r="A25" s="29" t="str">
        <x:v>Conclusion</x:v>
      </x:c>
      <x:c r="B25" s="29" t="str">
        <x:v>Disposition note: own assigned date or period 2026-07-15; source date and period 2026-07-13 / 2026-Q3. INB-010 supports retain the recorded disposition without overclaiming closure. Preserve foundation-b001-010; documentation handling only, not Kio readiness or control effectiveness.</x:v>
      </x:c>
      <x:c r="C25" s="29" t="str"/>
      <x:c r="D25" s="29" t="str"/>
      <x:c r="E25" s="29" t="str"/>
      <x:c r="F25" s="29" t="str"/>
    </x:row>
  </x:sheetData>
  <x:mergeCells>
    <x:mergeCell ref="A1:F1"/>
    <x:mergeCell ref="A2:F2"/>
    <x:mergeCell ref="B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3" t="str">
        <x:v>QA v2 Traceability — Assurance Review</x:v>
      </x:c>
      <x:c r="B1" s="33"/>
      <x:c r="C1" s="33"/>
      <x:c r="D1" s="33"/>
      <x:c r="E1" s="33"/>
      <x:c r="F1" s="33"/>
      <x:c r="G1" s="33"/>
    </x:row>
    <x:row r="3" ht="32" customHeight="1">
      <x:c r="A3" s="37" t="str">
        <x:v>Purpose: record the assurance reasoning added during QA v2 for Intake Disposition Note.</x:v>
      </x:c>
      <x:c r="B3" s="37"/>
      <x:c r="C3" s="37"/>
      <x:c r="D3" s="37"/>
      <x:c r="E3" s="37"/>
      <x:c r="F3" s="37"/>
      <x:c r="G3" s="37"/>
    </x:row>
    <x:row r="5" ht="44" customHeight="1">
      <x:c r="A5" s="43" t="str">
        <x:v>Assurance question</x:v>
      </x:c>
      <x:c r="B5" s="44" t="str">
        <x:v>Does Cobalt Harbor have documented evidence that intake disposition note addresses RISK-031 before the 2026-07-15 review decision?</x:v>
      </x:c>
      <x:c r="C5" s="42"/>
      <x:c r="D5" s="42"/>
      <x:c r="E5" s="42"/>
      <x:c r="F5" s="42"/>
      <x:c r="G5" s="42"/>
    </x:row>
    <x:row r="6" ht="44" customHeight="1">
      <x:c r="A6" s="43" t="str">
        <x:v>Organization</x:v>
      </x:c>
      <x:c r="B6" s="44" t="str">
        <x:v>Cobalt Harbor is the accountable organization for this assurance record.</x:v>
      </x:c>
      <x:c r="C6" s="42"/>
      <x:c r="D6" s="42"/>
      <x:c r="E6" s="42"/>
      <x:c r="F6" s="42"/>
      <x:c r="G6" s="42"/>
    </x:row>
    <x:row r="7" ht="44" customHeight="1">
      <x:c r="A7" s="43" t="str">
        <x:v>Risk reference</x:v>
      </x:c>
      <x:c r="B7" s="44" t="str">
        <x:v>RISK-031 is assessed here as a control-evidence integrity risk requiring documented review.</x:v>
      </x:c>
      <x:c r="C7" s="42"/>
      <x:c r="D7" s="42"/>
      <x:c r="E7" s="42"/>
      <x:c r="F7" s="42"/>
      <x:c r="G7" s="42"/>
    </x:row>
    <x:row r="8" ht="44" customHeight="1">
      <x:c r="A8" s="43" t="str">
        <x:v>Review date</x:v>
      </x:c>
      <x:c r="B8" s="45" t="str">
        <x:v>2026-07-15</x:v>
      </x:c>
      <x:c r="C8" s="42"/>
      <x:c r="D8" s="42"/>
      <x:c r="E8" s="42"/>
      <x:c r="F8" s="42"/>
      <x:c r="G8" s="42"/>
    </x:row>
    <x:row r="9" ht="44" customHeight="1">
      <x:c r="A9" s="43" t="str">
        <x:v>Declared relationship</x:v>
      </x:c>
      <x:c r="B9" s="44" t="str">
        <x:v>rel.audit.request-027 is the ledger relationship context for this workbook; its supporting linkage is maintained through declared dependency p03-full-000836 (source p03-src-000836).</x:v>
      </x:c>
      <x:c r="C9" s="42"/>
      <x:c r="D9" s="42"/>
      <x:c r="E9" s="42"/>
      <x:c r="F9" s="42"/>
      <x:c r="G9" s="42"/>
    </x:row>
    <x:row r="10" ht="58" customHeight="1">
      <x:c r="A10" s="43" t="str">
        <x:v>Evidence-register cross-reference</x:v>
      </x:c>
      <x:c r="B10" s="44" t="str">
        <x:v>AC-27 / Evidence Set 184 is the corpus evidence-register cross-reference used for assurance review. It is not asserted here as this row's declared relationship unless the ledger explicitly says so.</x:v>
      </x:c>
      <x:c r="C10" s="42"/>
      <x:c r="D10" s="42"/>
      <x:c r="E10" s="42"/>
      <x:c r="F10" s="42"/>
      <x:c r="G10" s="42"/>
    </x:row>
    <x:row r="11" ht="44" customHeight="1">
      <x:c r="A11" s="43" t="str">
        <x:v>Declared dependency</x:v>
      </x:c>
      <x:c r="B11" s="44" t="str">
        <x:v>This workbook relies on artifact p03-full-000836 (canonical source p03-src-000836) as its linked supporting record.</x:v>
      </x:c>
      <x:c r="C11" s="42"/>
      <x:c r="D11" s="42"/>
      <x:c r="E11" s="42"/>
      <x:c r="F11" s="42"/>
      <x:c r="G11" s="42"/>
    </x:row>
    <x:row r="12" ht="58" customHeight="1">
      <x:c r="A12" s="43" t="str">
        <x:v>Boundary statement</x:v>
      </x:c>
      <x:c r="B12" s="44" t="str">
        <x:v>No Kio system, service, repository, account, credential, or workflow is involved in this evidence review; the statement is a scope boundary, not an operational claim.</x:v>
      </x:c>
      <x:c r="C12" s="42"/>
      <x:c r="D12" s="42"/>
      <x:c r="E12" s="42"/>
      <x:c r="F12" s="42"/>
      <x:c r="G12" s="42"/>
    </x:row>
    <x:row r="14" ht="26" customHeight="1">
      <x:c r="A14" s="48" t="str">
        <x:v>Review linkage and decision context</x:v>
      </x:c>
      <x:c r="B14" s="48"/>
      <x:c r="C14" s="48"/>
      <x:c r="D14" s="48"/>
      <x:c r="E14" s="48"/>
      <x:c r="F14" s="48"/>
      <x:c r="G14" s="48"/>
    </x:row>
    <x:row r="15" ht="32" customHeight="1">
      <x:c r="A15" s="51" t="str">
        <x:v>Control</x:v>
      </x:c>
      <x:c r="B15" s="51" t="str">
        <x:v>Evidence set</x:v>
      </x:c>
      <x:c r="C15" s="51" t="str">
        <x:v>Accountable organization</x:v>
      </x:c>
      <x:c r="D15" s="51" t="str">
        <x:v>Review date</x:v>
      </x:c>
      <x:c r="E15" s="51" t="str">
        <x:v>Relationship</x:v>
      </x:c>
      <x:c r="F15" s="51" t="str">
        <x:v>Dependency</x:v>
      </x:c>
      <x:c r="G15" s="51" t="str">
        <x:v>Boundary decision</x:v>
      </x:c>
    </x:row>
    <x:row r="16" ht="58" customHeight="1">
      <x:c r="A16" s="44" t="str">
        <x:v>AC-27</x:v>
      </x:c>
      <x:c r="B16" s="44" t="str">
        <x:v>Evidence Set 184</x:v>
      </x:c>
      <x:c r="C16" s="44" t="str">
        <x:v>Cobalt Harbor</x:v>
      </x:c>
      <x:c r="D16" s="44" t="str">
        <x:v>2026-07-15</x:v>
      </x:c>
      <x:c r="E16" s="44" t="str">
        <x:v>rel.audit.request-027; dependency establishes the row-specific linkage.</x:v>
      </x:c>
      <x:c r="F16" s="44" t="str">
        <x:v>p03-full-000836; p03-src-000836</x:v>
      </x:c>
      <x:c r="G16" s="4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