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945c79d6c04a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8abd073ef7ee4ee9"/>
    <x:sheet xmlns:r="http://schemas.openxmlformats.org/officeDocument/2006/relationships" name="QA v2 Traceability" sheetId="2" r:id="R762b6287c9d04a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@"/>
  </x:numFmts>
  <x:fonts count="9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0415C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A4A2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0415C"/>
      </x:patternFill>
    </x:fill>
    <x:fill>
      <x:patternFill patternType="solid">
        <x:fgColor rgb="FFE8F1F5"/>
      </x:patternFill>
    </x:fill>
    <x:fill>
      <x:patternFill patternType="solid">
        <x:fgColor rgb="FF176B87"/>
      </x:patternFill>
    </x:fill>
    <x:fill>
      <x:patternFill patternType="solid">
        <x:fgColor rgb="FFF1F6F8"/>
      </x:patternFill>
    </x:fill>
    <x:fill>
      <x:patternFill patternType="solid">
        <x:fgColor rgb="FFF7FAFB"/>
      </x:patternFill>
    </x:fill>
    <x:fill>
      <x:patternFill patternType="solid">
        <x:fgColor rgb="FFFFF7E6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6">
    <x:border/>
    <x:border>
      <x:left style="thin">
        <x:color rgb="FF0D4C63"/>
      </x:left>
      <x:top style="thin">
        <x:color rgb="FF0D4C63"/>
      </x:top>
      <x:bottom style="thin">
        <x:color rgb="FF0D4C63"/>
      </x:bottom>
    </x:border>
    <x:border>
      <x:top style="thin">
        <x:color rgb="FF0D4C63"/>
      </x:top>
      <x:bottom style="thin">
        <x:color rgb="FF0D4C63"/>
      </x:bottom>
    </x:border>
    <x:border>
      <x:right style="thin">
        <x:color rgb="FF0D4C63"/>
      </x:right>
      <x:top style="thin">
        <x:color rgb="FF0D4C63"/>
      </x:top>
      <x:bottom style="thin">
        <x:color rgb="FF0D4C63"/>
      </x:bottom>
    </x:border>
    <x:border>
      <x:left style="thin">
        <x:color rgb="FFCBD8DE"/>
      </x:left>
      <x:right style="thin">
        <x:color rgb="FFCBD8DE"/>
      </x:right>
      <x:top style="thin">
        <x:color rgb="FFCBD8DE"/>
      </x:top>
      <x:bottom style="thin">
        <x:color rgb="FFCBD8DE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1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d696ff991e4f3d" /><Relationship Type="http://schemas.openxmlformats.org/officeDocument/2006/relationships/theme" Target="/xl/theme/theme1.xml" Id="R7b9d04e96c084256" /><Relationship Type="http://schemas.openxmlformats.org/officeDocument/2006/relationships/sharedStrings" Target="/xl/sharedStrings.xml" Id="Rf7cf7adc5f724d9c" /><Relationship Type="http://schemas.openxmlformats.org/officeDocument/2006/relationships/worksheet" Target="/xl/worksheets/sheet1.xml" Id="R8abd073ef7ee4ee9" /><Relationship Type="http://schemas.openxmlformats.org/officeDocument/2006/relationships/worksheet" Target="/xl/worksheets/sheet2.xml" Id="R762b6287c9d04a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7" hidden="0" customWidth="1"/>
    <x:col min="3" max="3" width="19" hidden="0" customWidth="1"/>
    <x:col min="4" max="4" width="16" hidden="0" customWidth="1"/>
    <x:col min="5" max="5" width="18" hidden="0" customWidth="1"/>
    <x:col min="6" max="6" width="30" hidden="0" customWidth="1"/>
  </x:cols>
  <x:sheetData>
    <x:row r="1" ht="26" customHeight="1">
      <x:c r="A1" s="4" t="str">
        <x:v>COBALT HARBOR SYSTEMS | AEGIS CONTROL AC-27</x:v>
      </x:c>
      <x:c r="B1" s="4"/>
      <x:c r="C1" s="4"/>
      <x:c r="D1" s="4"/>
      <x:c r="E1" s="4"/>
      <x:c r="F1" s="4"/>
    </x:row>
    <x:row r="2" ht="34" customHeight="1">
      <x:c r="A2" s="8" t="str">
        <x:v>2026 07 15 intake evidence package control workbook xlsx s009890</x:v>
      </x:c>
      <x:c r="B2" s="8"/>
      <x:c r="C2" s="8"/>
      <x:c r="D2" s="8"/>
      <x:c r="E2" s="8"/>
      <x:c r="F2" s="8"/>
    </x:row>
    <x:row r="4" ht="24" customHeight="1">
      <x:c r="A4" s="17" t="str">
        <x:v>Review field</x:v>
      </x:c>
      <x:c r="B4" s="18" t="str">
        <x:v>Recorded value</x:v>
      </x:c>
      <x:c r="C4" s="18" t="str">
        <x:v>Owner</x:v>
      </x:c>
      <x:c r="D4" s="18" t="str">
        <x:v>Status</x:v>
      </x:c>
      <x:c r="E4" s="18" t="str">
        <x:v>Check</x:v>
      </x:c>
      <x:c r="F4" s="19" t="str">
        <x:v>Result</x:v>
      </x:c>
    </x:row>
    <x:row r="5">
      <x:c r="A5" s="24" t="str">
        <x:v>Artifact ID</x:v>
      </x:c>
      <x:c r="B5" s="21" t="str">
        <x:v>p03-full-009890</x:v>
      </x:c>
      <x:c r="C5" s="21" t="str">
        <x:v>Security GRC</x:v>
      </x:c>
      <x:c r="D5" s="21" t="str">
        <x:v>Recorded</x:v>
      </x:c>
      <x:c r="E5" s="21" t="str">
        <x:v>Identifier</x:v>
      </x:c>
      <x:c r="F5" s="21" t="str">
        <x:v>p03-full-009890</x:v>
      </x:c>
    </x:row>
    <x:row r="6">
      <x:c r="A6" s="24" t="str">
        <x:v>Source record</x:v>
      </x:c>
      <x:c r="B6" s="21" t="str">
        <x:v>INB-004</x:v>
      </x:c>
      <x:c r="C6" s="21" t="str">
        <x:v>Intake review</x:v>
      </x:c>
      <x:c r="D6" s="21" t="str">
        <x:v>Reviewed</x:v>
      </x:c>
      <x:c r="E6" s="21" t="str">
        <x:v>Marker</x:v>
      </x:c>
      <x:c r="F6" s="21" t="str">
        <x:v>foundation-b001-004</x:v>
      </x:c>
    </x:row>
    <x:row r="7">
      <x:c r="A7" s="24" t="str">
        <x:v>Case and risk</x:v>
      </x:c>
      <x:c r="B7" s="21" t="str">
        <x:v>CASE-260713-184 / RISK-031</x:v>
      </x:c>
      <x:c r="C7" s="21" t="str">
        <x:v>Evidence owner</x:v>
      </x:c>
      <x:c r="D7" s="21" t="str">
        <x:v>Reviewed</x:v>
      </x:c>
      <x:c r="E7" s="21" t="str">
        <x:v>Linkage</x:v>
      </x:c>
      <x:c r="F7" s="21" t="str">
        <x:v>p03-full-000367</x:v>
      </x:c>
    </x:row>
    <x:row r="8">
      <x:c r="A8" s="24" t="str">
        <x:v>Audit and control</x:v>
      </x:c>
      <x:c r="B8" s="21" t="str">
        <x:v>AR-260713-027 / AC-27</x:v>
      </x:c>
      <x:c r="C8" s="21" t="str">
        <x:v>Request owner</x:v>
      </x:c>
      <x:c r="D8" s="21" t="str">
        <x:v>Recorded</x:v>
      </x:c>
      <x:c r="E8" s="21" t="str">
        <x:v>Date</x:v>
      </x:c>
      <x:c r="F8" s="21" t="str">
        <x:v>2026-07-15</x:v>
      </x:c>
    </x:row>
    <x:row r="9">
      <x:c r="A9" s="24" t="str">
        <x:v>Topic decision</x:v>
      </x:c>
      <x:c r="B9" s="21" t="str">
        <x:v>retain only the minimized review package</x:v>
      </x:c>
      <x:c r="C9" s="21" t="str">
        <x:v>Review owner</x:v>
      </x:c>
      <x:c r="D9" s="21" t="str">
        <x:v>Confirmed</x:v>
      </x:c>
      <x:c r="E9" s="21" t="str">
        <x:v>Focus</x:v>
      </x:c>
      <x:c r="F9" s="21" t="str">
        <x:v>Package minimization</x:v>
      </x:c>
    </x:row>
    <x:row r="10">
      <x:c r="A10" s="25" t="str">
        <x:v>Review route</x:v>
      </x:c>
      <x:c r="B10" t="str">
        <x:v>handling boundary; then control mapping; then handling boundary; then record identity</x:v>
      </x:c>
      <x:c r="C10" t="str">
        <x:v>Analyst</x:v>
      </x:c>
      <x:c r="D10" t="str">
        <x:v>Recorded</x:v>
      </x:c>
      <x:c r="E10" t="str">
        <x:v>Route type</x:v>
      </x:c>
      <x:c r="F10" t="str">
        <x:v>Evidence package</x:v>
      </x:c>
    </x:row>
    <x:row r="11" ht="26" customHeight="1">
      <x:c r="A11" s="17" t="str">
        <x:v>Acceptance check</x:v>
      </x:c>
      <x:c r="B11" s="18" t="str">
        <x:v>Expected</x:v>
      </x:c>
      <x:c r="C11" s="18" t="str">
        <x:v>Observed</x:v>
      </x:c>
      <x:c r="D11" s="18" t="str">
        <x:v>Formula check</x:v>
      </x:c>
      <x:c r="E11" s="18" t="str">
        <x:v>Disposition</x:v>
      </x:c>
      <x:c r="F11" s="19" t="str">
        <x:v>Notes</x:v>
      </x:c>
    </x:row>
    <x:row r="12">
      <x:c r="A12" s="27" t="str">
        <x:v>Source marker</x:v>
      </x:c>
      <x:c r="B12" s="21" t="str">
        <x:v>foundation-b001-004</x:v>
      </x:c>
      <x:c r="C12" s="21" t="n">
        <x:v>1</x:v>
      </x:c>
      <x:c r="D12" s="21" t="str">
        <x:f>IF(C12=1,"Pass","Review")</x:f>
        <x:v>Pass</x:v>
      </x:c>
      <x:c r="E12" s="21" t="str">
        <x:v>Pass</x:v>
      </x:c>
      <x:c r="F12" s="21" t="str">
        <x:v>Direct marker for INB-004</x:v>
      </x:c>
    </x:row>
    <x:row r="13">
      <x:c r="A13" s="27" t="str">
        <x:v>Case linkage</x:v>
      </x:c>
      <x:c r="B13" s="21" t="str">
        <x:v>CASE-260713-184</x:v>
      </x:c>
      <x:c r="C13" s="21" t="n">
        <x:v>1</x:v>
      </x:c>
      <x:c r="D13" s="21" t="str">
        <x:f>IF(C13=1,"Pass","Review")</x:f>
        <x:v>Pass</x:v>
      </x:c>
      <x:c r="E13" s="21" t="str">
        <x:v>Pass</x:v>
      </x:c>
      <x:c r="F13" s="21" t="str">
        <x:v>Risk context: RISK-031</x:v>
      </x:c>
    </x:row>
    <x:row r="14">
      <x:c r="A14" s="27" t="str">
        <x:v>Disposition</x:v>
      </x:c>
      <x:c r="B14" s="21" t="str">
        <x:v>synthetic intake normalized; bounded review retained</x:v>
      </x:c>
      <x:c r="C14" s="21" t="n">
        <x:v>1</x:v>
      </x:c>
      <x:c r="D14" s="21" t="str">
        <x:f>IF(C14=1,"Pass","Review")</x:f>
        <x:v>Pass</x:v>
      </x:c>
      <x:c r="E14" s="21" t="str">
        <x:v>Pass</x:v>
      </x:c>
      <x:c r="F14" s="21" t="str">
        <x:v>retain only the minimized review package</x:v>
      </x:c>
    </x:row>
    <x:row r="15">
      <x:c r="A15" s="27" t="str">
        <x:v>Control reference</x:v>
      </x:c>
      <x:c r="B15" s="21" t="str">
        <x:v>AC-27</x:v>
      </x:c>
      <x:c r="C15" s="21" t="n">
        <x:v>1</x:v>
      </x:c>
      <x:c r="D15" s="21" t="str">
        <x:f>IF(C15=1,"Pass","Review")</x:f>
        <x:v>Pass</x:v>
      </x:c>
      <x:c r="E15" s="21" t="str">
        <x:v>Pass</x:v>
      </x:c>
      <x:c r="F15" s="21" t="str">
        <x:v>Review focus: Package minimization</x:v>
      </x:c>
    </x:row>
    <x:row r="16">
      <x:c r="A16" s="27" t="str">
        <x:v>No-Kio boundary</x:v>
      </x:c>
      <x:c r="B16" s="21" t="str">
        <x:v>No readiness claim</x:v>
      </x:c>
      <x:c r="C16" s="21" t="n">
        <x:v>1</x:v>
      </x:c>
      <x:c r="D16" s="21" t="str">
        <x:f>IF(C16=1,"Pass","Review")</x:f>
        <x:v>Pass</x:v>
      </x:c>
      <x:c r="E16" s="21" t="str">
        <x:v>Pass</x:v>
      </x:c>
      <x:c r="F16" s="21" t="str">
        <x:v>No search or access assertion</x:v>
      </x:c>
    </x:row>
    <x:row r="18" ht="24" customHeight="1">
      <x:c r="A18" s="17" t="str">
        <x:v>Summary metric</x:v>
      </x:c>
      <x:c r="B18" s="18" t="str">
        <x:v>Value</x:v>
      </x:c>
      <x:c r="C18" s="18" t="str">
        <x:v>Formula</x:v>
      </x:c>
      <x:c r="D18" s="19" t="str">
        <x:v>Interpretation</x:v>
      </x:c>
    </x:row>
    <x:row r="19">
      <x:c r="A19" s="21" t="str">
        <x:v>Checks passed</x:v>
      </x:c>
      <x:c r="B19" s="21" t="n">
        <x:f>COUNTIF(D12:D16,"Pass")</x:f>
        <x:v>5</x:v>
      </x:c>
      <x:c r="C19" s="21" t="n">
        <x:f>COUNTIF(D12:D16,"Pass")</x:f>
        <x:v>5</x:v>
      </x:c>
      <x:c r="D19" s="21" t="str">
        <x:v>All intake checks must pass</x:v>
      </x:c>
    </x:row>
    <x:row r="20">
      <x:c r="A20" s="21" t="str">
        <x:v>Completion rate</x:v>
      </x:c>
      <x:c r="B20" s="28" t="n">
        <x:f>B19/5</x:f>
        <x:v>1</x:v>
      </x:c>
      <x:c r="C20" s="21" t="n">
        <x:f>B19/5</x:f>
        <x:v>1</x:v>
      </x:c>
      <x:c r="D20" s="21" t="str">
        <x:v>Recorded controls complete</x:v>
      </x:c>
    </x:row>
    <x:row r="22" ht="34" customHeight="1">
      <x:c r="A22" s="31" t="str">
        <x:v>Conclusion</x:v>
      </x:c>
      <x:c r="B22" s="31" t="str">
        <x:v>Evidence package: the source record INB-004 supports retain only the minimized review package. Preserve foundation-b001-004; this is documentation handling only, not a Kio readiness or control-effectiveness assertion.</x:v>
      </x:c>
      <x:c r="C22" s="31" t="str"/>
      <x:c r="D22" s="31" t="str"/>
      <x:c r="E22" s="31" t="str"/>
      <x:c r="F22" s="31" t="str"/>
    </x:row>
  </x:sheetData>
  <x:mergeCells>
    <x:mergeCell ref="A1:F1"/>
    <x:mergeCell ref="A2:F2"/>
    <x:mergeCell ref="B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5" t="str">
        <x:v>QA v2 Traceability — Assurance Review</x:v>
      </x:c>
      <x:c r="B1" s="35"/>
      <x:c r="C1" s="35"/>
      <x:c r="D1" s="35"/>
      <x:c r="E1" s="35"/>
      <x:c r="F1" s="35"/>
      <x:c r="G1" s="35"/>
    </x:row>
    <x:row r="3" ht="32" customHeight="1">
      <x:c r="A3" s="39" t="str">
        <x:v>Purpose: record the assurance reasoning added during QA v2 for Intake Evidence Package.</x:v>
      </x:c>
      <x:c r="B3" s="39"/>
      <x:c r="C3" s="39"/>
      <x:c r="D3" s="39"/>
      <x:c r="E3" s="39"/>
      <x:c r="F3" s="39"/>
      <x:c r="G3" s="39"/>
    </x:row>
    <x:row r="5" ht="44" customHeight="1">
      <x:c r="A5" s="45" t="str">
        <x:v>Assurance question</x:v>
      </x:c>
      <x:c r="B5" s="46" t="str">
        <x:v>Does Cobalt Harbor have documented evidence that intake evidence package addresses RISK-031 before the 2026-07-15 review decision?</x:v>
      </x:c>
      <x:c r="C5" s="44"/>
      <x:c r="D5" s="44"/>
      <x:c r="E5" s="44"/>
      <x:c r="F5" s="44"/>
      <x:c r="G5" s="44"/>
    </x:row>
    <x:row r="6" ht="44" customHeight="1">
      <x:c r="A6" s="45" t="str">
        <x:v>Organization</x:v>
      </x:c>
      <x:c r="B6" s="46" t="str">
        <x:v>Cobalt Harbor is the accountable organization for this assurance record.</x:v>
      </x:c>
      <x:c r="C6" s="44"/>
      <x:c r="D6" s="44"/>
      <x:c r="E6" s="44"/>
      <x:c r="F6" s="44"/>
      <x:c r="G6" s="44"/>
    </x:row>
    <x:row r="7" ht="44" customHeight="1">
      <x:c r="A7" s="45" t="str">
        <x:v>Risk reference</x:v>
      </x:c>
      <x:c r="B7" s="46" t="str">
        <x:v>RISK-031 is assessed here as a control-evidence integrity risk requiring documented review.</x:v>
      </x:c>
      <x:c r="C7" s="44"/>
      <x:c r="D7" s="44"/>
      <x:c r="E7" s="44"/>
      <x:c r="F7" s="44"/>
      <x:c r="G7" s="44"/>
    </x:row>
    <x:row r="8" ht="44" customHeight="1">
      <x:c r="A8" s="45" t="str">
        <x:v>Review date</x:v>
      </x:c>
      <x:c r="B8" s="47" t="str">
        <x:v>2026-07-15</x:v>
      </x:c>
      <x:c r="C8" s="44"/>
      <x:c r="D8" s="44"/>
      <x:c r="E8" s="44"/>
      <x:c r="F8" s="44"/>
      <x:c r="G8" s="44"/>
    </x:row>
    <x:row r="9" ht="44" customHeight="1">
      <x:c r="A9" s="45" t="str">
        <x:v>Declared relationship</x:v>
      </x:c>
      <x:c r="B9" s="46" t="str">
        <x:v>rel.audit.request-027 is the ledger relationship context for this workbook; its supporting linkage is maintained through declared dependency p03-full-000367 (source p03-src-000367).</x:v>
      </x:c>
      <x:c r="C9" s="44"/>
      <x:c r="D9" s="44"/>
      <x:c r="E9" s="44"/>
      <x:c r="F9" s="44"/>
      <x:c r="G9" s="44"/>
    </x:row>
    <x:row r="10" ht="58" customHeight="1">
      <x:c r="A10" s="45" t="str">
        <x:v>Evidence-register cross-reference</x:v>
      </x:c>
      <x:c r="B10" s="46" t="str">
        <x:v>AC-27 / Evidence Set 184 is the corpus evidence-register cross-reference used for assurance review. It is not asserted here as this row's declared relationship unless the ledger explicitly says so.</x:v>
      </x:c>
      <x:c r="C10" s="44"/>
      <x:c r="D10" s="44"/>
      <x:c r="E10" s="44"/>
      <x:c r="F10" s="44"/>
      <x:c r="G10" s="44"/>
    </x:row>
    <x:row r="11" ht="44" customHeight="1">
      <x:c r="A11" s="45" t="str">
        <x:v>Declared dependency</x:v>
      </x:c>
      <x:c r="B11" s="46" t="str">
        <x:v>This workbook relies on artifact p03-full-000367 (canonical source p03-src-000367) as its linked supporting record.</x:v>
      </x:c>
      <x:c r="C11" s="44"/>
      <x:c r="D11" s="44"/>
      <x:c r="E11" s="44"/>
      <x:c r="F11" s="44"/>
      <x:c r="G11" s="44"/>
    </x:row>
    <x:row r="12" ht="58" customHeight="1">
      <x:c r="A12" s="45" t="str">
        <x:v>Boundary statement</x:v>
      </x:c>
      <x:c r="B12" s="46" t="str">
        <x:v>No Kio system, service, repository, account, credential, or workflow is involved in this evidence review; the statement is a scope boundary, not an operational claim.</x:v>
      </x:c>
      <x:c r="C12" s="44"/>
      <x:c r="D12" s="44"/>
      <x:c r="E12" s="44"/>
      <x:c r="F12" s="44"/>
      <x:c r="G12" s="44"/>
    </x:row>
    <x:row r="14" ht="26" customHeight="1">
      <x:c r="A14" s="50" t="str">
        <x:v>Review linkage and decision context</x:v>
      </x:c>
      <x:c r="B14" s="50"/>
      <x:c r="C14" s="50"/>
      <x:c r="D14" s="50"/>
      <x:c r="E14" s="50"/>
      <x:c r="F14" s="50"/>
      <x:c r="G14" s="50"/>
    </x:row>
    <x:row r="15" ht="32" customHeight="1">
      <x:c r="A15" s="53" t="str">
        <x:v>Control</x:v>
      </x:c>
      <x:c r="B15" s="53" t="str">
        <x:v>Evidence set</x:v>
      </x:c>
      <x:c r="C15" s="53" t="str">
        <x:v>Accountable organization</x:v>
      </x:c>
      <x:c r="D15" s="53" t="str">
        <x:v>Review date</x:v>
      </x:c>
      <x:c r="E15" s="53" t="str">
        <x:v>Relationship</x:v>
      </x:c>
      <x:c r="F15" s="53" t="str">
        <x:v>Dependency</x:v>
      </x:c>
      <x:c r="G15" s="53" t="str">
        <x:v>Boundary decision</x:v>
      </x:c>
    </x:row>
    <x:row r="16" ht="58" customHeight="1">
      <x:c r="A16" s="46" t="str">
        <x:v>AC-27</x:v>
      </x:c>
      <x:c r="B16" s="46" t="str">
        <x:v>Evidence Set 184</x:v>
      </x:c>
      <x:c r="C16" s="46" t="str">
        <x:v>Cobalt Harbor</x:v>
      </x:c>
      <x:c r="D16" s="46" t="str">
        <x:v>2026-07-15</x:v>
      </x:c>
      <x:c r="E16" s="46" t="str">
        <x:v>rel.audit.request-027; dependency establishes the row-specific linkage.</x:v>
      </x:c>
      <x:c r="F16" s="46" t="str">
        <x:v>p03-full-000367; p03-src-000367</x:v>
      </x:c>
      <x:c r="G16" s="46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