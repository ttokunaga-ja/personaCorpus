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26d3b16ae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1245daad8ae84014"/>
    <x:sheet xmlns:r="http://schemas.openxmlformats.org/officeDocument/2006/relationships" name="Source Facts" sheetId="2" r:id="R8e5c725b0a9c4fe1"/>
    <x:sheet xmlns:r="http://schemas.openxmlformats.org/officeDocument/2006/relationships" name="QA v2 Traceability" sheetId="3" r:id="R66e0b8e7edd4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1F5131"/>
      <x:name val="Aptos"/>
    </x:font>
    <x:font>
      <x:b/>
      <x:sz val="10"/>
      <x:color rgb="FF9E480E"/>
      <x:name val="Aptos"/>
    </x:font>
    <x:font>
      <x:b/>
      <x:sz val="10"/>
      <x:color rgb="FF7F6000"/>
      <x:name val="Aptos"/>
    </x:font>
    <x:font>
      <x:i/>
      <x:sz val="10"/>
      <x:color rgb="FF475569"/>
      <x:name val="Aptos"/>
    </x:font>
    <x:font>
      <x:b/>
      <x:sz val="15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1FA"/>
      </x:patternFill>
    </x:fill>
    <x:fill>
      <x:patternFill patternType="solid">
        <x:fgColor rgb="FFD9EAD3"/>
      </x:patternFill>
    </x:fill>
    <x:fill>
      <x:patternFill patternType="solid">
        <x:fgColor rgb="FFF1F5F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5">
    <x:border/>
    <x:border>
      <x:left style="thin">
        <x:color rgb="FFB8C4D0"/>
      </x:left>
      <x:right style="thin">
        <x:color rgb="FFB8C4D0"/>
      </x:right>
      <x:top style="thin">
        <x:color rgb="FFB8C4D0"/>
      </x:top>
      <x:bottom style="thin">
        <x:color rgb="FFB8C4D0"/>
      </x:bottom>
    </x:border>
    <x:border>
      <x:left style="thin">
        <x:color rgb="FFE5C5B2"/>
      </x:left>
      <x:right style="thin">
        <x:color rgb="FFE5C5B2"/>
      </x:right>
      <x:top style="thin">
        <x:color rgb="FFE5C5B2"/>
      </x:top>
      <x:bottom style="thin">
        <x:color rgb="FFE5C5B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1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left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4418b2d024891" /><Relationship Type="http://schemas.openxmlformats.org/officeDocument/2006/relationships/theme" Target="/xl/theme/theme1.xml" Id="Ra93d3f269baf4222" /><Relationship Type="http://schemas.openxmlformats.org/officeDocument/2006/relationships/sharedStrings" Target="/xl/sharedStrings.xml" Id="Rd6ada5363cc840bf" /><Relationship Type="http://schemas.openxmlformats.org/officeDocument/2006/relationships/worksheet" Target="/xl/worksheets/sheet1.xml" Id="R1245daad8ae84014" /><Relationship Type="http://schemas.openxmlformats.org/officeDocument/2006/relationships/worksheet" Target="/xl/worksheets/sheet2.xml" Id="R8e5c725b0a9c4fe1" /><Relationship Type="http://schemas.openxmlformats.org/officeDocument/2006/relationships/worksheet" Target="/xl/worksheets/sheet3.xml" Id="R66e0b8e7edd443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2" customHeight="1">
      <x:c r="A1" s="28" t="str">
        <x:v>Q3 Decision Log Control Workbook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8" t="str">
        <x:v>Artifact ID</x:v>
      </x:c>
      <x:c r="B3" s="7" t="str">
        <x:v>p03-full-003038</x:v>
      </x:c>
      <x:c r="C3" s="8" t="str">
        <x:v>Control</x:v>
      </x:c>
      <x:c r="D3" s="7" t="str">
        <x:v>AC-27</x:v>
      </x:c>
      <x:c r="E3" s="8" t="str">
        <x:v>Case</x:v>
      </x:c>
      <x:c r="F3" s="7" t="str">
        <x:v>CASE-260713-184</x:v>
      </x:c>
    </x:row>
    <x:row r="4">
      <x:c r="A4" s="8" t="str">
        <x:v>Organization</x:v>
      </x:c>
      <x:c r="B4" s="7" t="str">
        <x:v>Cobalt Harbor Systems</x:v>
      </x:c>
      <x:c r="C4" s="8" t="str">
        <x:v>Evidence set</x:v>
      </x:c>
      <x:c r="D4" s="7" t="n">
        <x:v>184</x:v>
      </x:c>
      <x:c r="E4" s="8" t="str">
        <x:v>Risk</x:v>
      </x:c>
      <x:c r="F4" s="7" t="str">
        <x:v>RISK-031</x:v>
      </x:c>
    </x:row>
    <x:row r="5">
      <x:c r="A5" s="29"/>
      <x:c r="B5" s="29"/>
      <x:c r="C5" s="29"/>
      <x:c r="D5" s="29"/>
      <x:c r="E5" s="29"/>
      <x:c r="F5" s="29"/>
    </x:row>
    <x:row r="6" ht="30" customHeight="1">
      <x:c r="A6" s="11" t="str">
        <x:v>Timeline distinction — artifact review period: 2026-Q3; direct dependency record date: 2026-07-15.</x:v>
      </x:c>
      <x:c r="B6" s="11"/>
      <x:c r="C6" s="11"/>
      <x:c r="D6" s="11"/>
      <x:c r="E6" s="11"/>
      <x:c r="F6" s="11"/>
    </x:row>
    <x:row r="7">
      <x:c r="A7" s="29"/>
      <x:c r="B7" s="29"/>
      <x:c r="C7" s="29"/>
      <x:c r="D7" s="29"/>
      <x:c r="E7" s="29"/>
      <x:c r="F7" s="29"/>
    </x:row>
    <x:row r="8">
      <x:c r="A8" s="30" t="str">
        <x:v>Direct dependency record — parsed values</x:v>
      </x:c>
      <x:c r="B8" s="30"/>
      <x:c r="C8" s="30"/>
      <x:c r="D8" s="30"/>
      <x:c r="E8" s="30"/>
      <x:c r="F8" s="30"/>
    </x:row>
    <x:row r="9">
      <x:c r="A9" s="29"/>
      <x:c r="B9" s="29"/>
      <x:c r="C9" s="29"/>
      <x:c r="D9" s="29"/>
      <x:c r="E9" s="29"/>
      <x:c r="F9" s="29"/>
    </x:row>
    <x:row r="10" ht="28" customHeight="1">
      <x:c r="A10" s="16" t="str">
        <x:v>Docket</x:v>
      </x:c>
      <x:c r="B10" s="16"/>
      <x:c r="C10" s="7" t="str">
        <x:v>GRC-REV-000648</x:v>
      </x:c>
      <x:c r="D10" s="7"/>
      <x:c r="E10" s="7"/>
      <x:c r="F10" s="7"/>
    </x:row>
    <x:row r="11" ht="28" customHeight="1">
      <x:c r="A11" s="16" t="str">
        <x:v>Date</x:v>
      </x:c>
      <x:c r="B11" s="16"/>
      <x:c r="C11" s="7" t="str">
        <x:v>2026-07-15</x:v>
      </x:c>
      <x:c r="D11" s="7"/>
      <x:c r="E11" s="7"/>
      <x:c r="F11" s="7"/>
    </x:row>
    <x:row r="12" ht="28" customHeight="1">
      <x:c r="A12" s="16" t="str">
        <x:v>Topic</x:v>
      </x:c>
      <x:c r="B12" s="16"/>
      <x:c r="C12" s="7" t="str">
        <x:v>Quarterly Review</x:v>
      </x:c>
      <x:c r="D12" s="7"/>
      <x:c r="E12" s="7"/>
      <x:c r="F12" s="7"/>
    </x:row>
    <x:row r="13" ht="48" customHeight="1">
      <x:c r="A13" s="16" t="str">
        <x:v>Agenda</x:v>
      </x:c>
      <x:c r="B13" s="16"/>
      <x:c r="C13" s="7" t="str">
        <x:v>reconcile the Q3 AC-27 review population, compensating review, and evidence-chain handoff</x:v>
      </x:c>
      <x:c r="D13" s="7"/>
      <x:c r="E13" s="7"/>
      <x:c r="F13" s="7"/>
    </x:row>
    <x:row r="14" ht="48" customHeight="1">
      <x:c r="A14" s="16" t="str">
        <x:v>Decision</x:v>
      </x:c>
      <x:c r="B14" s="16"/>
      <x:c r="C14" s="7" t="str">
        <x:v>retain the synthetic evidence package</x:v>
      </x:c>
      <x:c r="D14" s="7"/>
      <x:c r="E14" s="7"/>
      <x:c r="F14" s="7"/>
    </x:row>
    <x:row r="15" ht="48" customHeight="1">
      <x:c r="A15" s="16" t="str">
        <x:v>Action</x:v>
      </x:c>
      <x:c r="B15" s="16"/>
      <x:c r="C15" s="7" t="str">
        <x:v>ACT-260713-011 completion register</x:v>
      </x:c>
      <x:c r="D15" s="7"/>
      <x:c r="E15" s="7"/>
      <x:c r="F15" s="7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31" t="str">
        <x:v>Control assessment</x:v>
      </x:c>
      <x:c r="B18" s="31"/>
      <x:c r="C18" s="31"/>
      <x:c r="D18" s="31"/>
      <x:c r="E18" s="31"/>
      <x:c r="F18" s="31"/>
    </x:row>
    <x:row r="19">
      <x:c r="A19" s="21" t="str">
        <x:v>Population</x:v>
      </x:c>
      <x:c r="B19" s="20" t="n">
        <x:v>48</x:v>
      </x:c>
      <x:c r="C19" s="21" t="str">
        <x:v>Timely attestations</x:v>
      </x:c>
      <x:c r="D19" s="20" t="n">
        <x:v>47</x:v>
      </x:c>
      <x:c r="E19" s="32" t="str">
        <x:v>Status</x:v>
      </x:c>
      <x:c r="F19" s="32" t="str">
        <x:f>IF(B20=B19,"Complete","Review")</x:f>
        <x:v>Complete</x:v>
      </x:c>
    </x:row>
    <x:row r="20">
      <x:c r="A20" s="21" t="str">
        <x:v>Final completion</x:v>
      </x:c>
      <x:c r="B20" s="20" t="n">
        <x:v>48</x:v>
      </x:c>
      <x:c r="C20" s="21" t="str">
        <x:v>Residual risk</x:v>
      </x:c>
      <x:c r="D20" s="20" t="str">
        <x:v>Medium</x:v>
      </x:c>
      <x:c r="E20" s="29"/>
      <x:c r="F20" s="29"/>
    </x:row>
    <x:row r="21" ht="52" customHeight="1">
      <x:c r="A21" s="21" t="str">
        <x:v>Disposition</x:v>
      </x:c>
      <x:c r="B21" s="20" t="str">
        <x:v>Maintain the Q3 decision-log trace while separating the workbook period from the direct-source review date.</x:v>
      </x:c>
      <x:c r="C21" s="20" t="str"/>
      <x:c r="D21" s="20" t="str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 ht="28" customHeight="1">
      <x:c r="A23" s="27" t="str">
        <x:v>Source path: meetings/security-reviews/foundation/data/2026-07-15-security-review-quarterly-review-evidence-metrics-tsv-s000648.tsv</x:v>
      </x:c>
      <x:c r="B23" s="27"/>
      <x:c r="C23" s="27"/>
      <x:c r="D23" s="27"/>
      <x:c r="E23" s="27"/>
      <x:c r="F23" s="27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  <x:mergeCell ref="A6:F6"/>
    <x:mergeCell ref="A8:F8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8:F18"/>
    <x:mergeCell ref="B21:D2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</x:cols>
  <x:sheetData>
    <x:row r="1" ht="30" customHeight="1">
      <x:c r="A1" s="34" t="str">
        <x:v>Parsed source facts — p03-full-000648</x:v>
      </x:c>
      <x:c r="B1" s="34"/>
      <x:c r="C1" s="33"/>
      <x:c r="D1" s="33"/>
      <x:c r="E1" s="33"/>
      <x:c r="F1" s="33"/>
    </x:row>
    <x:row r="2">
      <x:c r="A2" s="29"/>
      <x:c r="B2" s="29"/>
      <x:c r="C2" s="2"/>
      <x:c r="D2" s="2"/>
      <x:c r="E2" s="2"/>
      <x:c r="F2" s="2"/>
    </x:row>
    <x:row r="3">
      <x:c r="A3" s="15" t="str">
        <x:v>Dependency artifact ID</x:v>
      </x:c>
      <x:c r="B3" s="7" t="str">
        <x:v>p03-full-000648</x:v>
      </x:c>
      <x:c r="C3" s="2"/>
      <x:c r="D3" s="2"/>
      <x:c r="E3" s="2"/>
      <x:c r="F3" s="2"/>
    </x:row>
    <x:row r="4">
      <x:c r="A4" s="15" t="str">
        <x:v>Source docket</x:v>
      </x:c>
      <x:c r="B4" s="7" t="str">
        <x:v>GRC-REV-000648</x:v>
      </x:c>
      <x:c r="C4" s="2"/>
      <x:c r="D4" s="2"/>
      <x:c r="E4" s="2"/>
      <x:c r="F4" s="2"/>
    </x:row>
    <x:row r="5">
      <x:c r="A5" s="15" t="str">
        <x:v>Source record date</x:v>
      </x:c>
      <x:c r="B5" s="7" t="str">
        <x:v>2026-07-15</x:v>
      </x:c>
      <x:c r="C5" s="2"/>
      <x:c r="D5" s="2"/>
      <x:c r="E5" s="2"/>
      <x:c r="F5" s="2"/>
    </x:row>
    <x:row r="6" ht="50" customHeight="1">
      <x:c r="A6" s="15" t="str">
        <x:v>Topic</x:v>
      </x:c>
      <x:c r="B6" s="7" t="str">
        <x:v>Quarterly Review</x:v>
      </x:c>
      <x:c r="C6" s="2"/>
      <x:c r="D6" s="2"/>
      <x:c r="E6" s="2"/>
      <x:c r="F6" s="2"/>
    </x:row>
    <x:row r="7" ht="50" customHeight="1">
      <x:c r="A7" s="15" t="str">
        <x:v>Agenda</x:v>
      </x:c>
      <x:c r="B7" s="7" t="str">
        <x:v>reconcile the Q3 AC-27 review population, compensating review, and evidence-chain handoff</x:v>
      </x:c>
      <x:c r="C7" s="2"/>
      <x:c r="D7" s="2"/>
      <x:c r="E7" s="2"/>
      <x:c r="F7" s="2"/>
    </x:row>
    <x:row r="8" ht="50" customHeight="1">
      <x:c r="A8" s="15" t="str">
        <x:v>Decision</x:v>
      </x:c>
      <x:c r="B8" s="7" t="str">
        <x:v>retain the synthetic evidence package</x:v>
      </x:c>
      <x:c r="C8" s="2"/>
      <x:c r="D8" s="2"/>
      <x:c r="E8" s="2"/>
      <x:c r="F8" s="2"/>
    </x:row>
    <x:row r="9" ht="50" customHeight="1">
      <x:c r="A9" s="15" t="str">
        <x:v>Action</x:v>
      </x:c>
      <x:c r="B9" s="7" t="str">
        <x:v>ACT-260713-011 completion register</x:v>
      </x:c>
      <x:c r="C9" s="2"/>
      <x:c r="D9" s="2"/>
      <x:c r="E9" s="2"/>
      <x:c r="F9" s="2"/>
    </x:row>
    <x:row r="10">
      <x:c r="A10" s="15" t="str">
        <x:v>Control</x:v>
      </x:c>
      <x:c r="B10" s="7" t="str">
        <x:v>AC-27</x:v>
      </x:c>
      <x:c r="C10" s="2"/>
      <x:c r="D10" s="2"/>
      <x:c r="E10" s="2"/>
      <x:c r="F10" s="2"/>
    </x:row>
    <x:row r="11">
      <x:c r="A11" s="15" t="str">
        <x:v>Case</x:v>
      </x:c>
      <x:c r="B11" s="7" t="str">
        <x:v>CASE-260713-184</x:v>
      </x:c>
      <x:c r="C11" s="2"/>
      <x:c r="D11" s="2"/>
      <x:c r="E11" s="2"/>
      <x:c r="F11" s="2"/>
    </x:row>
    <x:row r="12">
      <x:c r="A12" s="15" t="str">
        <x:v>Evidence set</x:v>
      </x:c>
      <x:c r="B12" s="7" t="n">
        <x:v>184</x:v>
      </x:c>
      <x:c r="C12" s="2"/>
      <x:c r="D12" s="2"/>
      <x:c r="E12" s="2"/>
      <x:c r="F12" s="2"/>
    </x:row>
    <x:row r="13">
      <x:c r="A13" s="15" t="str">
        <x:v>Risk</x:v>
      </x:c>
      <x:c r="B13" s="7" t="str">
        <x:v>RISK-031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8" t="str">
        <x:v>QA v2 Traceability — Assurance Review</x:v>
      </x:c>
      <x:c r="B1" s="38"/>
      <x:c r="C1" s="38"/>
      <x:c r="D1" s="38"/>
      <x:c r="E1" s="38"/>
      <x:c r="F1" s="38"/>
      <x:c r="G1" s="38"/>
    </x:row>
    <x:row r="3" ht="32" customHeight="1">
      <x:c r="A3" s="42" t="str">
        <x:v>Purpose: record the assurance reasoning added during QA v2 for Security Review Decision Log.</x:v>
      </x:c>
      <x:c r="B3" s="42"/>
      <x:c r="C3" s="42"/>
      <x:c r="D3" s="42"/>
      <x:c r="E3" s="42"/>
      <x:c r="F3" s="42"/>
      <x:c r="G3" s="42"/>
    </x:row>
    <x:row r="5" ht="44" customHeight="1">
      <x:c r="A5" s="49" t="str">
        <x:v>Assurance question</x:v>
      </x:c>
      <x:c r="B5" s="50" t="str">
        <x:v>Does Cobalt Harbor have documented evidence that security review decision log addresses RISK-031 before the 2026-Q3 finalized 2026-07-20 review decision?</x:v>
      </x:c>
      <x:c r="C5" s="48"/>
      <x:c r="D5" s="48"/>
      <x:c r="E5" s="48"/>
      <x:c r="F5" s="48"/>
      <x:c r="G5" s="48"/>
    </x:row>
    <x:row r="6" ht="44" customHeight="1">
      <x:c r="A6" s="49" t="str">
        <x:v>Organization</x:v>
      </x:c>
      <x:c r="B6" s="50" t="str">
        <x:v>Cobalt Harbor is the accountable organization for this assurance record.</x:v>
      </x:c>
      <x:c r="C6" s="48"/>
      <x:c r="D6" s="48"/>
      <x:c r="E6" s="48"/>
      <x:c r="F6" s="48"/>
      <x:c r="G6" s="48"/>
    </x:row>
    <x:row r="7" ht="44" customHeight="1">
      <x:c r="A7" s="49" t="str">
        <x:v>Risk reference</x:v>
      </x:c>
      <x:c r="B7" s="50" t="str">
        <x:v>RISK-031 is assessed here as a control-evidence integrity risk requiring documented review.</x:v>
      </x:c>
      <x:c r="C7" s="48"/>
      <x:c r="D7" s="48"/>
      <x:c r="E7" s="48"/>
      <x:c r="F7" s="48"/>
      <x:c r="G7" s="48"/>
    </x:row>
    <x:row r="8" ht="44" customHeight="1">
      <x:c r="A8" s="49" t="str">
        <x:v>Review date</x:v>
      </x:c>
      <x:c r="B8" s="51" t="str">
        <x:v>2026-Q3 finalized 2026-07-20</x:v>
      </x:c>
      <x:c r="C8" s="48"/>
      <x:c r="D8" s="48"/>
      <x:c r="E8" s="48"/>
      <x:c r="F8" s="48"/>
      <x:c r="G8" s="48"/>
    </x:row>
    <x:row r="9" ht="44" customHeight="1">
      <x:c r="A9" s="49" t="str">
        <x:v>Declared relationship</x:v>
      </x:c>
      <x:c r="B9" s="50" t="str">
        <x:v>rel.case.timeline is the ledger relationship context for this workbook; its supporting linkage is maintained through declared dependency p03-full-000648 (source p03-src-000648).</x:v>
      </x:c>
      <x:c r="C9" s="48"/>
      <x:c r="D9" s="48"/>
      <x:c r="E9" s="48"/>
      <x:c r="F9" s="48"/>
      <x:c r="G9" s="48"/>
    </x:row>
    <x:row r="10" ht="58" customHeight="1">
      <x:c r="A10" s="49" t="str">
        <x:v>Evidence-register cross-reference</x:v>
      </x:c>
      <x:c r="B10" s="50" t="str">
        <x:v>AC-27 / Evidence Set 184 is the corpus evidence-register cross-reference used for assurance review. It is not asserted here as this row's declared relationship unless the ledger explicitly says so.</x:v>
      </x:c>
      <x:c r="C10" s="48"/>
      <x:c r="D10" s="48"/>
      <x:c r="E10" s="48"/>
      <x:c r="F10" s="48"/>
      <x:c r="G10" s="48"/>
    </x:row>
    <x:row r="11" ht="44" customHeight="1">
      <x:c r="A11" s="49" t="str">
        <x:v>Declared dependency</x:v>
      </x:c>
      <x:c r="B11" s="50" t="str">
        <x:v>This workbook relies on artifact p03-full-000648 (canonical source p03-src-000648) as its linked supporting record.</x:v>
      </x:c>
      <x:c r="C11" s="48"/>
      <x:c r="D11" s="48"/>
      <x:c r="E11" s="48"/>
      <x:c r="F11" s="48"/>
      <x:c r="G11" s="48"/>
    </x:row>
    <x:row r="12" ht="58" customHeight="1">
      <x:c r="A12" s="49" t="str">
        <x:v>Boundary statement</x:v>
      </x:c>
      <x:c r="B12" s="50" t="str">
        <x:v>No Kio system, service, repository, account, credential, or workflow is involved in this evidence review; the statement is a scope boundary, not an operational claim.</x:v>
      </x:c>
      <x:c r="C12" s="48"/>
      <x:c r="D12" s="48"/>
      <x:c r="E12" s="48"/>
      <x:c r="F12" s="48"/>
      <x:c r="G12" s="48"/>
    </x:row>
    <x:row r="14" ht="26" customHeight="1">
      <x:c r="A14" s="54" t="str">
        <x:v>Review linkage and decision context</x:v>
      </x:c>
      <x:c r="B14" s="54"/>
      <x:c r="C14" s="54"/>
      <x:c r="D14" s="54"/>
      <x:c r="E14" s="54"/>
      <x:c r="F14" s="54"/>
      <x:c r="G14" s="54"/>
    </x:row>
    <x:row r="15" ht="32" customHeight="1">
      <x:c r="A15" s="57" t="str">
        <x:v>Control</x:v>
      </x:c>
      <x:c r="B15" s="57" t="str">
        <x:v>Evidence set</x:v>
      </x:c>
      <x:c r="C15" s="57" t="str">
        <x:v>Accountable organization</x:v>
      </x:c>
      <x:c r="D15" s="57" t="str">
        <x:v>Review date</x:v>
      </x:c>
      <x:c r="E15" s="57" t="str">
        <x:v>Relationship</x:v>
      </x:c>
      <x:c r="F15" s="57" t="str">
        <x:v>Dependency</x:v>
      </x:c>
      <x:c r="G15" s="57" t="str">
        <x:v>Boundary decision</x:v>
      </x:c>
    </x:row>
    <x:row r="16" ht="58" customHeight="1">
      <x:c r="A16" s="50" t="str">
        <x:v>AC-27</x:v>
      </x:c>
      <x:c r="B16" s="50" t="str">
        <x:v>Evidence Set 184</x:v>
      </x:c>
      <x:c r="C16" s="50" t="str">
        <x:v>Cobalt Harbor</x:v>
      </x:c>
      <x:c r="D16" s="50" t="str">
        <x:v>2026-Q3 finalized 2026-07-20</x:v>
      </x:c>
      <x:c r="E16" s="50" t="str">
        <x:v>rel.case.timeline; dependency establishes the row-specific linkage.</x:v>
      </x:c>
      <x:c r="F16" s="50" t="str">
        <x:v>p03-full-000648; p03-src-000648</x:v>
      </x:c>
      <x:c r="G16" s="5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