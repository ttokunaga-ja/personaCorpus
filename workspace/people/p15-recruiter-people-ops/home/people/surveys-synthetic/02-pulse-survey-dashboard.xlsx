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977cf8e78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24a0df73aa7c4cfc"/>
    <x:sheet xmlns:r="http://schemas.openxmlformats.org/officeDocument/2006/relationships" name="Dashboard" sheetId="2" r:id="R81d3dafc1b00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490"/>
      </x:patternFill>
    </x:fill>
    <x:fill>
      <x:patternFill patternType="solid">
        <x:fgColor rgb="FFE8F3F5"/>
      </x:patternFill>
    </x:fill>
  </x:fills>
  <x:borders count="16">
    <x:border/>
    <x:border>
      <x:left style="thin">
        <x:color rgb="FFB7C7D0"/>
      </x:left>
      <x:top style="thin">
        <x:color rgb="FFB7C7D0"/>
      </x:top>
    </x:border>
    <x:border>
      <x:top style="thin">
        <x:color rgb="FFB7C7D0"/>
      </x:top>
    </x:border>
    <x:border>
      <x:right style="thin">
        <x:color rgb="FFB7C7D0"/>
      </x:right>
      <x:top style="thin">
        <x:color rgb="FFB7C7D0"/>
      </x:top>
    </x:border>
    <x:border>
      <x:left style="thin">
        <x:color rgb="FFB7C7D0"/>
      </x:left>
      <x:bottom style="thin">
        <x:color rgb="FFB7C7D0"/>
      </x:bottom>
    </x:border>
    <x:border>
      <x:bottom style="thin">
        <x:color rgb="FFB7C7D0"/>
      </x:bottom>
    </x:border>
    <x:border>
      <x:right style="thin">
        <x:color rgb="FFB7C7D0"/>
      </x:right>
      <x:bottom style="thin">
        <x:color rgb="FFB7C7D0"/>
      </x:bottom>
    </x:border>
    <x:border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bottom style="thin">
        <x:color rgb="FFDCE6EA"/>
      </x:bottom>
    </x:border>
    <x:border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top style="thin">
        <x:color rgb="FFDCE6EA"/>
      </x:top>
      <x:bottom style="thin">
        <x:color rgb="FFDCE6EA"/>
      </x:bottom>
    </x:border>
    <x:border>
      <x:right style="thin">
        <x:color rgb="FFDCE6EA"/>
      </x:right>
      <x:top style="thin">
        <x:color rgb="FFDCE6EA"/>
      </x:top>
    </x:border>
    <x:border>
      <x:left style="thin">
        <x:color rgb="FFDCE6EA"/>
      </x:left>
      <x:right style="thin">
        <x:color rgb="FFDCE6EA"/>
      </x:right>
      <x:top style="thin">
        <x:color rgb="FFDCE6EA"/>
      </x:top>
    </x:border>
    <x:border>
      <x:left style="thin">
        <x:color rgb="FFDCE6EA"/>
      </x:left>
      <x:top style="thin">
        <x:color rgb="FFDCE6EA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0fdcab810478a" /><Relationship Type="http://schemas.openxmlformats.org/officeDocument/2006/relationships/theme" Target="/xl/theme/theme1.xml" Id="R6573c93a6c614d51" /><Relationship Type="http://schemas.openxmlformats.org/officeDocument/2006/relationships/sharedStrings" Target="/xl/sharedStrings.xml" Id="Re0a8ab48e77647b3" /><Relationship Type="http://schemas.openxmlformats.org/officeDocument/2006/relationships/worksheet" Target="/xl/worksheets/sheet1.xml" Id="R24a0df73aa7c4cfc" /><Relationship Type="http://schemas.openxmlformats.org/officeDocument/2006/relationships/worksheet" Target="/xl/worksheets/sheet2.xml" Id="R81d3dafc1b0048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t="str">
        <x:v>response_id</x:v>
      </x:c>
      <x:c r="B1" t="str">
        <x:v>reporting_group</x:v>
      </x:c>
      <x:c r="C1" t="str">
        <x:v>response_date</x:v>
      </x:c>
      <x:c r="D1" t="str">
        <x:v>enps_rating</x:v>
      </x:c>
      <x:c r="E1" t="str">
        <x:v>engagement_index</x:v>
      </x:c>
      <x:c r="F1" t="str">
        <x:v>manager_effectiveness</x:v>
      </x:c>
      <x:c r="G1" t="str">
        <x:v>growth_clarity</x:v>
      </x:c>
      <x:c r="H1" t="str">
        <x:v>wellbeing_support</x:v>
      </x:c>
      <x:c r="I1" t="str">
        <x:v>enps_class</x:v>
      </x:c>
    </x:row>
    <x:row r="2">
      <x:c r="A2" t="str">
        <x:v>SUR-001</x:v>
      </x:c>
      <x:c r="B2" t="str">
        <x:v>Engineering</x:v>
      </x:c>
      <x:c r="C2" t="str">
        <x:v>2026-08-18</x:v>
      </x:c>
      <x:c r="D2" t="n">
        <x:v>10</x:v>
      </x:c>
      <x:c r="E2" t="n">
        <x:v>77</x:v>
      </x:c>
      <x:c r="F2" t="n">
        <x:v>77</x:v>
      </x:c>
      <x:c r="G2" t="n">
        <x:v>77</x:v>
      </x:c>
      <x:c r="H2" t="n">
        <x:v>77</x:v>
      </x:c>
      <x:c r="I2" t="str">
        <x:v>Promoter</x:v>
      </x:c>
    </x:row>
    <x:row r="3">
      <x:c r="A3" t="str">
        <x:v>SUR-002</x:v>
      </x:c>
      <x:c r="B3" t="str">
        <x:v>Engineering</x:v>
      </x:c>
      <x:c r="C3" t="str">
        <x:v>2026-08-18</x:v>
      </x:c>
      <x:c r="D3" t="n">
        <x:v>9</x:v>
      </x:c>
      <x:c r="E3" t="n">
        <x:v>77</x:v>
      </x:c>
      <x:c r="F3" t="n">
        <x:v>78</x:v>
      </x:c>
      <x:c r="G3" t="n">
        <x:v>77</x:v>
      </x:c>
      <x:c r="H3" t="n">
        <x:v>77</x:v>
      </x:c>
      <x:c r="I3" t="str">
        <x:v>Promoter</x:v>
      </x:c>
    </x:row>
    <x:row r="4">
      <x:c r="A4" t="str">
        <x:v>SUR-003</x:v>
      </x:c>
      <x:c r="B4" t="str">
        <x:v>Engineering</x:v>
      </x:c>
      <x:c r="C4" t="str">
        <x:v>2026-08-18</x:v>
      </x:c>
      <x:c r="D4" t="n">
        <x:v>10</x:v>
      </x:c>
      <x:c r="E4" t="n">
        <x:v>77</x:v>
      </x:c>
      <x:c r="F4" t="n">
        <x:v>76</x:v>
      </x:c>
      <x:c r="G4" t="n">
        <x:v>77</x:v>
      </x:c>
      <x:c r="H4" t="n">
        <x:v>77</x:v>
      </x:c>
      <x:c r="I4" t="str">
        <x:v>Promoter</x:v>
      </x:c>
    </x:row>
    <x:row r="5">
      <x:c r="A5" t="str">
        <x:v>SUR-004</x:v>
      </x:c>
      <x:c r="B5" t="str">
        <x:v>Engineering</x:v>
      </x:c>
      <x:c r="C5" t="str">
        <x:v>2026-08-18</x:v>
      </x:c>
      <x:c r="D5" t="n">
        <x:v>9</x:v>
      </x:c>
      <x:c r="E5" t="n">
        <x:v>77</x:v>
      </x:c>
      <x:c r="F5" t="n">
        <x:v>77</x:v>
      </x:c>
      <x:c r="G5" t="n">
        <x:v>75</x:v>
      </x:c>
      <x:c r="H5" t="n">
        <x:v>77</x:v>
      </x:c>
      <x:c r="I5" t="str">
        <x:v>Promoter</x:v>
      </x:c>
    </x:row>
    <x:row r="6">
      <x:c r="A6" t="str">
        <x:v>SUR-005</x:v>
      </x:c>
      <x:c r="B6" t="str">
        <x:v>Engineering</x:v>
      </x:c>
      <x:c r="C6" t="str">
        <x:v>2026-08-18</x:v>
      </x:c>
      <x:c r="D6" t="n">
        <x:v>10</x:v>
      </x:c>
      <x:c r="E6" t="n">
        <x:v>77</x:v>
      </x:c>
      <x:c r="F6" t="n">
        <x:v>78</x:v>
      </x:c>
      <x:c r="G6" t="n">
        <x:v>77</x:v>
      </x:c>
      <x:c r="H6" t="n">
        <x:v>78</x:v>
      </x:c>
      <x:c r="I6" t="str">
        <x:v>Promoter</x:v>
      </x:c>
    </x:row>
    <x:row r="7">
      <x:c r="A7" t="str">
        <x:v>SUR-006</x:v>
      </x:c>
      <x:c r="B7" t="str">
        <x:v>Engineering</x:v>
      </x:c>
      <x:c r="C7" t="str">
        <x:v>2026-08-18</x:v>
      </x:c>
      <x:c r="D7" t="n">
        <x:v>9</x:v>
      </x:c>
      <x:c r="E7" t="n">
        <x:v>77</x:v>
      </x:c>
      <x:c r="F7" t="n">
        <x:v>76</x:v>
      </x:c>
      <x:c r="G7" t="n">
        <x:v>77</x:v>
      </x:c>
      <x:c r="H7" t="n">
        <x:v>77</x:v>
      </x:c>
      <x:c r="I7" t="str">
        <x:v>Promoter</x:v>
      </x:c>
    </x:row>
    <x:row r="8">
      <x:c r="A8" t="str">
        <x:v>SUR-007</x:v>
      </x:c>
      <x:c r="B8" t="str">
        <x:v>Engineering</x:v>
      </x:c>
      <x:c r="C8" t="str">
        <x:v>2026-08-18</x:v>
      </x:c>
      <x:c r="D8" t="n">
        <x:v>10</x:v>
      </x:c>
      <x:c r="E8" t="n">
        <x:v>77</x:v>
      </x:c>
      <x:c r="F8" t="n">
        <x:v>77</x:v>
      </x:c>
      <x:c r="G8" t="n">
        <x:v>77</x:v>
      </x:c>
      <x:c r="H8" t="n">
        <x:v>77</x:v>
      </x:c>
      <x:c r="I8" t="str">
        <x:v>Promoter</x:v>
      </x:c>
    </x:row>
    <x:row r="9">
      <x:c r="A9" t="str">
        <x:v>SUR-008</x:v>
      </x:c>
      <x:c r="B9" t="str">
        <x:v>Engineering</x:v>
      </x:c>
      <x:c r="C9" t="str">
        <x:v>2026-08-18</x:v>
      </x:c>
      <x:c r="D9" t="n">
        <x:v>9</x:v>
      </x:c>
      <x:c r="E9" t="n">
        <x:v>77</x:v>
      </x:c>
      <x:c r="F9" t="n">
        <x:v>78</x:v>
      </x:c>
      <x:c r="G9" t="n">
        <x:v>75</x:v>
      </x:c>
      <x:c r="H9" t="n">
        <x:v>77</x:v>
      </x:c>
      <x:c r="I9" t="str">
        <x:v>Promoter</x:v>
      </x:c>
    </x:row>
    <x:row r="10">
      <x:c r="A10" t="str">
        <x:v>SUR-009</x:v>
      </x:c>
      <x:c r="B10" t="str">
        <x:v>Engineering</x:v>
      </x:c>
      <x:c r="C10" t="str">
        <x:v>2026-08-18</x:v>
      </x:c>
      <x:c r="D10" t="n">
        <x:v>10</x:v>
      </x:c>
      <x:c r="E10" t="n">
        <x:v>77</x:v>
      </x:c>
      <x:c r="F10" t="n">
        <x:v>76</x:v>
      </x:c>
      <x:c r="G10" t="n">
        <x:v>77</x:v>
      </x:c>
      <x:c r="H10" t="n">
        <x:v>77</x:v>
      </x:c>
      <x:c r="I10" t="str">
        <x:v>Promoter</x:v>
      </x:c>
    </x:row>
    <x:row r="11">
      <x:c r="A11" t="str">
        <x:v>SUR-010</x:v>
      </x:c>
      <x:c r="B11" t="str">
        <x:v>Engineering</x:v>
      </x:c>
      <x:c r="C11" t="str">
        <x:v>2026-08-18</x:v>
      </x:c>
      <x:c r="D11" t="n">
        <x:v>9</x:v>
      </x:c>
      <x:c r="E11" t="n">
        <x:v>77</x:v>
      </x:c>
      <x:c r="F11" t="n">
        <x:v>77</x:v>
      </x:c>
      <x:c r="G11" t="n">
        <x:v>77</x:v>
      </x:c>
      <x:c r="H11" t="n">
        <x:v>78</x:v>
      </x:c>
      <x:c r="I11" t="str">
        <x:v>Promoter</x:v>
      </x:c>
    </x:row>
    <x:row r="12">
      <x:c r="A12" t="str">
        <x:v>SUR-011</x:v>
      </x:c>
      <x:c r="B12" t="str">
        <x:v>Engineering</x:v>
      </x:c>
      <x:c r="C12" t="str">
        <x:v>2026-08-18</x:v>
      </x:c>
      <x:c r="D12" t="n">
        <x:v>10</x:v>
      </x:c>
      <x:c r="E12" t="n">
        <x:v>77</x:v>
      </x:c>
      <x:c r="F12" t="n">
        <x:v>78</x:v>
      </x:c>
      <x:c r="G12" t="n">
        <x:v>77</x:v>
      </x:c>
      <x:c r="H12" t="n">
        <x:v>77</x:v>
      </x:c>
      <x:c r="I12" t="str">
        <x:v>Promoter</x:v>
      </x:c>
    </x:row>
    <x:row r="13">
      <x:c r="A13" t="str">
        <x:v>SUR-012</x:v>
      </x:c>
      <x:c r="B13" t="str">
        <x:v>Engineering</x:v>
      </x:c>
      <x:c r="C13" t="str">
        <x:v>2026-08-18</x:v>
      </x:c>
      <x:c r="D13" t="n">
        <x:v>9</x:v>
      </x:c>
      <x:c r="E13" t="n">
        <x:v>77</x:v>
      </x:c>
      <x:c r="F13" t="n">
        <x:v>76</x:v>
      </x:c>
      <x:c r="G13" t="n">
        <x:v>75</x:v>
      </x:c>
      <x:c r="H13" t="n">
        <x:v>77</x:v>
      </x:c>
      <x:c r="I13" t="str">
        <x:v>Promoter</x:v>
      </x:c>
    </x:row>
    <x:row r="14">
      <x:c r="A14" t="str">
        <x:v>SUR-013</x:v>
      </x:c>
      <x:c r="B14" t="str">
        <x:v>Engineering</x:v>
      </x:c>
      <x:c r="C14" t="str">
        <x:v>2026-08-18</x:v>
      </x:c>
      <x:c r="D14" t="n">
        <x:v>10</x:v>
      </x:c>
      <x:c r="E14" t="n">
        <x:v>77</x:v>
      </x:c>
      <x:c r="F14" t="n">
        <x:v>77</x:v>
      </x:c>
      <x:c r="G14" t="n">
        <x:v>77</x:v>
      </x:c>
      <x:c r="H14" t="n">
        <x:v>77</x:v>
      </x:c>
      <x:c r="I14" t="str">
        <x:v>Promoter</x:v>
      </x:c>
    </x:row>
    <x:row r="15">
      <x:c r="A15" t="str">
        <x:v>SUR-014</x:v>
      </x:c>
      <x:c r="B15" t="str">
        <x:v>Engineering</x:v>
      </x:c>
      <x:c r="C15" t="str">
        <x:v>2026-08-18</x:v>
      </x:c>
      <x:c r="D15" t="n">
        <x:v>9</x:v>
      </x:c>
      <x:c r="E15" t="n">
        <x:v>77</x:v>
      </x:c>
      <x:c r="F15" t="n">
        <x:v>78</x:v>
      </x:c>
      <x:c r="G15" t="n">
        <x:v>77</x:v>
      </x:c>
      <x:c r="H15" t="n">
        <x:v>77</x:v>
      </x:c>
      <x:c r="I15" t="str">
        <x:v>Promoter</x:v>
      </x:c>
    </x:row>
    <x:row r="16">
      <x:c r="A16" t="str">
        <x:v>SUR-015</x:v>
      </x:c>
      <x:c r="B16" t="str">
        <x:v>Engineering</x:v>
      </x:c>
      <x:c r="C16" t="str">
        <x:v>2026-08-18</x:v>
      </x:c>
      <x:c r="D16" t="n">
        <x:v>10</x:v>
      </x:c>
      <x:c r="E16" t="n">
        <x:v>77</x:v>
      </x:c>
      <x:c r="F16" t="n">
        <x:v>76</x:v>
      </x:c>
      <x:c r="G16" t="n">
        <x:v>77</x:v>
      </x:c>
      <x:c r="H16" t="n">
        <x:v>78</x:v>
      </x:c>
      <x:c r="I16" t="str">
        <x:v>Promoter</x:v>
      </x:c>
    </x:row>
    <x:row r="17">
      <x:c r="A17" t="str">
        <x:v>SUR-016</x:v>
      </x:c>
      <x:c r="B17" t="str">
        <x:v>Engineering</x:v>
      </x:c>
      <x:c r="C17" t="str">
        <x:v>2026-08-18</x:v>
      </x:c>
      <x:c r="D17" t="n">
        <x:v>9</x:v>
      </x:c>
      <x:c r="E17" t="n">
        <x:v>77</x:v>
      </x:c>
      <x:c r="F17" t="n">
        <x:v>77</x:v>
      </x:c>
      <x:c r="G17" t="n">
        <x:v>75</x:v>
      </x:c>
      <x:c r="H17" t="n">
        <x:v>77</x:v>
      </x:c>
      <x:c r="I17" t="str">
        <x:v>Promoter</x:v>
      </x:c>
    </x:row>
    <x:row r="18">
      <x:c r="A18" t="str">
        <x:v>SUR-017</x:v>
      </x:c>
      <x:c r="B18" t="str">
        <x:v>Engineering</x:v>
      </x:c>
      <x:c r="C18" t="str">
        <x:v>2026-08-18</x:v>
      </x:c>
      <x:c r="D18" t="n">
        <x:v>10</x:v>
      </x:c>
      <x:c r="E18" t="n">
        <x:v>77</x:v>
      </x:c>
      <x:c r="F18" t="n">
        <x:v>78</x:v>
      </x:c>
      <x:c r="G18" t="n">
        <x:v>77</x:v>
      </x:c>
      <x:c r="H18" t="n">
        <x:v>77</x:v>
      </x:c>
      <x:c r="I18" t="str">
        <x:v>Promoter</x:v>
      </x:c>
    </x:row>
    <x:row r="19">
      <x:c r="A19" t="str">
        <x:v>SUR-018</x:v>
      </x:c>
      <x:c r="B19" t="str">
        <x:v>Engineering</x:v>
      </x:c>
      <x:c r="C19" t="str">
        <x:v>2026-08-18</x:v>
      </x:c>
      <x:c r="D19" t="n">
        <x:v>9</x:v>
      </x:c>
      <x:c r="E19" t="n">
        <x:v>77</x:v>
      </x:c>
      <x:c r="F19" t="n">
        <x:v>76</x:v>
      </x:c>
      <x:c r="G19" t="n">
        <x:v>77</x:v>
      </x:c>
      <x:c r="H19" t="n">
        <x:v>77</x:v>
      </x:c>
      <x:c r="I19" t="str">
        <x:v>Promoter</x:v>
      </x:c>
    </x:row>
    <x:row r="20">
      <x:c r="A20" t="str">
        <x:v>SUR-019</x:v>
      </x:c>
      <x:c r="B20" t="str">
        <x:v>Engineering</x:v>
      </x:c>
      <x:c r="C20" t="str">
        <x:v>2026-08-18</x:v>
      </x:c>
      <x:c r="D20" t="n">
        <x:v>10</x:v>
      </x:c>
      <x:c r="E20" t="n">
        <x:v>77</x:v>
      </x:c>
      <x:c r="F20" t="n">
        <x:v>77</x:v>
      </x:c>
      <x:c r="G20" t="n">
        <x:v>77</x:v>
      </x:c>
      <x:c r="H20" t="n">
        <x:v>77</x:v>
      </x:c>
      <x:c r="I20" t="str">
        <x:v>Promoter</x:v>
      </x:c>
    </x:row>
    <x:row r="21">
      <x:c r="A21" t="str">
        <x:v>SUR-020</x:v>
      </x:c>
      <x:c r="B21" t="str">
        <x:v>Engineering</x:v>
      </x:c>
      <x:c r="C21" t="str">
        <x:v>2026-08-18</x:v>
      </x:c>
      <x:c r="D21" t="n">
        <x:v>9</x:v>
      </x:c>
      <x:c r="E21" t="n">
        <x:v>77</x:v>
      </x:c>
      <x:c r="F21" t="n">
        <x:v>78</x:v>
      </x:c>
      <x:c r="G21" t="n">
        <x:v>75</x:v>
      </x:c>
      <x:c r="H21" t="n">
        <x:v>78</x:v>
      </x:c>
      <x:c r="I21" t="str">
        <x:v>Promoter</x:v>
      </x:c>
    </x:row>
    <x:row r="22">
      <x:c r="A22" t="str">
        <x:v>SUR-021</x:v>
      </x:c>
      <x:c r="B22" t="str">
        <x:v>Engineering</x:v>
      </x:c>
      <x:c r="C22" t="str">
        <x:v>2026-08-18</x:v>
      </x:c>
      <x:c r="D22" t="n">
        <x:v>10</x:v>
      </x:c>
      <x:c r="E22" t="n">
        <x:v>77</x:v>
      </x:c>
      <x:c r="F22" t="n">
        <x:v>76</x:v>
      </x:c>
      <x:c r="G22" t="n">
        <x:v>77</x:v>
      </x:c>
      <x:c r="H22" t="n">
        <x:v>77</x:v>
      </x:c>
      <x:c r="I22" t="str">
        <x:v>Promoter</x:v>
      </x:c>
    </x:row>
    <x:row r="23">
      <x:c r="A23" t="str">
        <x:v>SUR-022</x:v>
      </x:c>
      <x:c r="B23" t="str">
        <x:v>Engineering</x:v>
      </x:c>
      <x:c r="C23" t="str">
        <x:v>2026-08-18</x:v>
      </x:c>
      <x:c r="D23" t="n">
        <x:v>9</x:v>
      </x:c>
      <x:c r="E23" t="n">
        <x:v>77</x:v>
      </x:c>
      <x:c r="F23" t="n">
        <x:v>77</x:v>
      </x:c>
      <x:c r="G23" t="n">
        <x:v>77</x:v>
      </x:c>
      <x:c r="H23" t="n">
        <x:v>77</x:v>
      </x:c>
      <x:c r="I23" t="str">
        <x:v>Promoter</x:v>
      </x:c>
    </x:row>
    <x:row r="24">
      <x:c r="A24" t="str">
        <x:v>SUR-023</x:v>
      </x:c>
      <x:c r="B24" t="str">
        <x:v>Engineering</x:v>
      </x:c>
      <x:c r="C24" t="str">
        <x:v>2026-08-18</x:v>
      </x:c>
      <x:c r="D24" t="n">
        <x:v>10</x:v>
      </x:c>
      <x:c r="E24" t="n">
        <x:v>77</x:v>
      </x:c>
      <x:c r="F24" t="n">
        <x:v>78</x:v>
      </x:c>
      <x:c r="G24" t="n">
        <x:v>77</x:v>
      </x:c>
      <x:c r="H24" t="n">
        <x:v>77</x:v>
      </x:c>
      <x:c r="I24" t="str">
        <x:v>Promoter</x:v>
      </x:c>
    </x:row>
    <x:row r="25">
      <x:c r="A25" t="str">
        <x:v>SUR-024</x:v>
      </x:c>
      <x:c r="B25" t="str">
        <x:v>Engineering</x:v>
      </x:c>
      <x:c r="C25" t="str">
        <x:v>2026-08-18</x:v>
      </x:c>
      <x:c r="D25" t="n">
        <x:v>9</x:v>
      </x:c>
      <x:c r="E25" t="n">
        <x:v>77</x:v>
      </x:c>
      <x:c r="F25" t="n">
        <x:v>76</x:v>
      </x:c>
      <x:c r="G25" t="n">
        <x:v>75</x:v>
      </x:c>
      <x:c r="H25" t="n">
        <x:v>77</x:v>
      </x:c>
      <x:c r="I25" t="str">
        <x:v>Promoter</x:v>
      </x:c>
    </x:row>
    <x:row r="26">
      <x:c r="A26" t="str">
        <x:v>SUR-025</x:v>
      </x:c>
      <x:c r="B26" t="str">
        <x:v>Engineering</x:v>
      </x:c>
      <x:c r="C26" t="str">
        <x:v>2026-08-18</x:v>
      </x:c>
      <x:c r="D26" t="n">
        <x:v>10</x:v>
      </x:c>
      <x:c r="E26" t="n">
        <x:v>77</x:v>
      </x:c>
      <x:c r="F26" t="n">
        <x:v>77</x:v>
      </x:c>
      <x:c r="G26" t="n">
        <x:v>77</x:v>
      </x:c>
      <x:c r="H26" t="n">
        <x:v>78</x:v>
      </x:c>
      <x:c r="I26" t="str">
        <x:v>Promoter</x:v>
      </x:c>
    </x:row>
    <x:row r="27">
      <x:c r="A27" t="str">
        <x:v>SUR-026</x:v>
      </x:c>
      <x:c r="B27" t="str">
        <x:v>Engineering</x:v>
      </x:c>
      <x:c r="C27" t="str">
        <x:v>2026-08-18</x:v>
      </x:c>
      <x:c r="D27" t="n">
        <x:v>9</x:v>
      </x:c>
      <x:c r="E27" t="n">
        <x:v>77</x:v>
      </x:c>
      <x:c r="F27" t="n">
        <x:v>78</x:v>
      </x:c>
      <x:c r="G27" t="n">
        <x:v>77</x:v>
      </x:c>
      <x:c r="H27" t="n">
        <x:v>77</x:v>
      </x:c>
      <x:c r="I27" t="str">
        <x:v>Promoter</x:v>
      </x:c>
    </x:row>
    <x:row r="28">
      <x:c r="A28" t="str">
        <x:v>SUR-027</x:v>
      </x:c>
      <x:c r="B28" t="str">
        <x:v>Engineering</x:v>
      </x:c>
      <x:c r="C28" t="str">
        <x:v>2026-08-18</x:v>
      </x:c>
      <x:c r="D28" t="n">
        <x:v>10</x:v>
      </x:c>
      <x:c r="E28" t="n">
        <x:v>77</x:v>
      </x:c>
      <x:c r="F28" t="n">
        <x:v>76</x:v>
      </x:c>
      <x:c r="G28" t="n">
        <x:v>77</x:v>
      </x:c>
      <x:c r="H28" t="n">
        <x:v>77</x:v>
      </x:c>
      <x:c r="I28" t="str">
        <x:v>Promoter</x:v>
      </x:c>
    </x:row>
    <x:row r="29">
      <x:c r="A29" t="str">
        <x:v>SUR-028</x:v>
      </x:c>
      <x:c r="B29" t="str">
        <x:v>Engineering</x:v>
      </x:c>
      <x:c r="C29" t="str">
        <x:v>2026-08-18</x:v>
      </x:c>
      <x:c r="D29" t="n">
        <x:v>9</x:v>
      </x:c>
      <x:c r="E29" t="n">
        <x:v>77</x:v>
      </x:c>
      <x:c r="F29" t="n">
        <x:v>77</x:v>
      </x:c>
      <x:c r="G29" t="n">
        <x:v>75</x:v>
      </x:c>
      <x:c r="H29" t="n">
        <x:v>77</x:v>
      </x:c>
      <x:c r="I29" t="str">
        <x:v>Promoter</x:v>
      </x:c>
    </x:row>
    <x:row r="30">
      <x:c r="A30" t="str">
        <x:v>SUR-029</x:v>
      </x:c>
      <x:c r="B30" t="str">
        <x:v>Engineering</x:v>
      </x:c>
      <x:c r="C30" t="str">
        <x:v>2026-08-18</x:v>
      </x:c>
      <x:c r="D30" t="n">
        <x:v>10</x:v>
      </x:c>
      <x:c r="E30" t="n">
        <x:v>77</x:v>
      </x:c>
      <x:c r="F30" t="n">
        <x:v>78</x:v>
      </x:c>
      <x:c r="G30" t="n">
        <x:v>77</x:v>
      </x:c>
      <x:c r="H30" t="n">
        <x:v>77</x:v>
      </x:c>
      <x:c r="I30" t="str">
        <x:v>Promoter</x:v>
      </x:c>
    </x:row>
    <x:row r="31">
      <x:c r="A31" t="str">
        <x:v>SUR-030</x:v>
      </x:c>
      <x:c r="B31" t="str">
        <x:v>Engineering</x:v>
      </x:c>
      <x:c r="C31" t="str">
        <x:v>2026-08-18</x:v>
      </x:c>
      <x:c r="D31" t="n">
        <x:v>9</x:v>
      </x:c>
      <x:c r="E31" t="n">
        <x:v>77</x:v>
      </x:c>
      <x:c r="F31" t="n">
        <x:v>76</x:v>
      </x:c>
      <x:c r="G31" t="n">
        <x:v>77</x:v>
      </x:c>
      <x:c r="H31" t="n">
        <x:v>78</x:v>
      </x:c>
      <x:c r="I31" t="str">
        <x:v>Promoter</x:v>
      </x:c>
    </x:row>
    <x:row r="32">
      <x:c r="A32" t="str">
        <x:v>SUR-031</x:v>
      </x:c>
      <x:c r="B32" t="str">
        <x:v>Engineering</x:v>
      </x:c>
      <x:c r="C32" t="str">
        <x:v>2026-08-18</x:v>
      </x:c>
      <x:c r="D32" t="n">
        <x:v>10</x:v>
      </x:c>
      <x:c r="E32" t="n">
        <x:v>77</x:v>
      </x:c>
      <x:c r="F32" t="n">
        <x:v>77</x:v>
      </x:c>
      <x:c r="G32" t="n">
        <x:v>77</x:v>
      </x:c>
      <x:c r="H32" t="n">
        <x:v>77</x:v>
      </x:c>
      <x:c r="I32" t="str">
        <x:v>Promoter</x:v>
      </x:c>
    </x:row>
    <x:row r="33">
      <x:c r="A33" t="str">
        <x:v>SUR-032</x:v>
      </x:c>
      <x:c r="B33" t="str">
        <x:v>Engineering</x:v>
      </x:c>
      <x:c r="C33" t="str">
        <x:v>2026-08-18</x:v>
      </x:c>
      <x:c r="D33" t="n">
        <x:v>9</x:v>
      </x:c>
      <x:c r="E33" t="n">
        <x:v>77</x:v>
      </x:c>
      <x:c r="F33" t="n">
        <x:v>78</x:v>
      </x:c>
      <x:c r="G33" t="n">
        <x:v>75</x:v>
      </x:c>
      <x:c r="H33" t="n">
        <x:v>77</x:v>
      </x:c>
      <x:c r="I33" t="str">
        <x:v>Promoter</x:v>
      </x:c>
    </x:row>
    <x:row r="34">
      <x:c r="A34" t="str">
        <x:v>SUR-033</x:v>
      </x:c>
      <x:c r="B34" t="str">
        <x:v>Engineering</x:v>
      </x:c>
      <x:c r="C34" t="str">
        <x:v>2026-08-18</x:v>
      </x:c>
      <x:c r="D34" t="n">
        <x:v>10</x:v>
      </x:c>
      <x:c r="E34" t="n">
        <x:v>77</x:v>
      </x:c>
      <x:c r="F34" t="n">
        <x:v>76</x:v>
      </x:c>
      <x:c r="G34" t="n">
        <x:v>77</x:v>
      </x:c>
      <x:c r="H34" t="n">
        <x:v>77</x:v>
      </x:c>
      <x:c r="I34" t="str">
        <x:v>Promoter</x:v>
      </x:c>
    </x:row>
    <x:row r="35">
      <x:c r="A35" t="str">
        <x:v>SUR-034</x:v>
      </x:c>
      <x:c r="B35" t="str">
        <x:v>Engineering</x:v>
      </x:c>
      <x:c r="C35" t="str">
        <x:v>2026-08-18</x:v>
      </x:c>
      <x:c r="D35" t="n">
        <x:v>9</x:v>
      </x:c>
      <x:c r="E35" t="n">
        <x:v>77</x:v>
      </x:c>
      <x:c r="F35" t="n">
        <x:v>77</x:v>
      </x:c>
      <x:c r="G35" t="n">
        <x:v>77</x:v>
      </x:c>
      <x:c r="H35" t="n">
        <x:v>77</x:v>
      </x:c>
      <x:c r="I35" t="str">
        <x:v>Promoter</x:v>
      </x:c>
    </x:row>
    <x:row r="36">
      <x:c r="A36" t="str">
        <x:v>SUR-035</x:v>
      </x:c>
      <x:c r="B36" t="str">
        <x:v>Engineering</x:v>
      </x:c>
      <x:c r="C36" t="str">
        <x:v>2026-08-18</x:v>
      </x:c>
      <x:c r="D36" t="n">
        <x:v>10</x:v>
      </x:c>
      <x:c r="E36" t="n">
        <x:v>77</x:v>
      </x:c>
      <x:c r="F36" t="n">
        <x:v>78</x:v>
      </x:c>
      <x:c r="G36" t="n">
        <x:v>77</x:v>
      </x:c>
      <x:c r="H36" t="n">
        <x:v>78</x:v>
      </x:c>
      <x:c r="I36" t="str">
        <x:v>Promoter</x:v>
      </x:c>
    </x:row>
    <x:row r="37">
      <x:c r="A37" t="str">
        <x:v>SUR-036</x:v>
      </x:c>
      <x:c r="B37" t="str">
        <x:v>Engineering</x:v>
      </x:c>
      <x:c r="C37" t="str">
        <x:v>2026-08-18</x:v>
      </x:c>
      <x:c r="D37" t="n">
        <x:v>9</x:v>
      </x:c>
      <x:c r="E37" t="n">
        <x:v>77</x:v>
      </x:c>
      <x:c r="F37" t="n">
        <x:v>76</x:v>
      </x:c>
      <x:c r="G37" t="n">
        <x:v>75</x:v>
      </x:c>
      <x:c r="H37" t="n">
        <x:v>77</x:v>
      </x:c>
      <x:c r="I37" t="str">
        <x:v>Promoter</x:v>
      </x:c>
    </x:row>
    <x:row r="38">
      <x:c r="A38" t="str">
        <x:v>SUR-037</x:v>
      </x:c>
      <x:c r="B38" t="str">
        <x:v>Engineering</x:v>
      </x:c>
      <x:c r="C38" t="str">
        <x:v>2026-08-18</x:v>
      </x:c>
      <x:c r="D38" t="n">
        <x:v>10</x:v>
      </x:c>
      <x:c r="E38" t="n">
        <x:v>77</x:v>
      </x:c>
      <x:c r="F38" t="n">
        <x:v>77</x:v>
      </x:c>
      <x:c r="G38" t="n">
        <x:v>77</x:v>
      </x:c>
      <x:c r="H38" t="n">
        <x:v>77</x:v>
      </x:c>
      <x:c r="I38" t="str">
        <x:v>Promoter</x:v>
      </x:c>
    </x:row>
    <x:row r="39">
      <x:c r="A39" t="str">
        <x:v>SUR-038</x:v>
      </x:c>
      <x:c r="B39" t="str">
        <x:v>Engineering</x:v>
      </x:c>
      <x:c r="C39" t="str">
        <x:v>2026-08-18</x:v>
      </x:c>
      <x:c r="D39" t="n">
        <x:v>9</x:v>
      </x:c>
      <x:c r="E39" t="n">
        <x:v>77</x:v>
      </x:c>
      <x:c r="F39" t="n">
        <x:v>78</x:v>
      </x:c>
      <x:c r="G39" t="n">
        <x:v>77</x:v>
      </x:c>
      <x:c r="H39" t="n">
        <x:v>77</x:v>
      </x:c>
      <x:c r="I39" t="str">
        <x:v>Promoter</x:v>
      </x:c>
    </x:row>
    <x:row r="40">
      <x:c r="A40" t="str">
        <x:v>SUR-039</x:v>
      </x:c>
      <x:c r="B40" t="str">
        <x:v>Engineering</x:v>
      </x:c>
      <x:c r="C40" t="str">
        <x:v>2026-08-18</x:v>
      </x:c>
      <x:c r="D40" t="n">
        <x:v>10</x:v>
      </x:c>
      <x:c r="E40" t="n">
        <x:v>77</x:v>
      </x:c>
      <x:c r="F40" t="n">
        <x:v>76</x:v>
      </x:c>
      <x:c r="G40" t="n">
        <x:v>77</x:v>
      </x:c>
      <x:c r="H40" t="n">
        <x:v>77</x:v>
      </x:c>
      <x:c r="I40" t="str">
        <x:v>Promoter</x:v>
      </x:c>
    </x:row>
    <x:row r="41">
      <x:c r="A41" t="str">
        <x:v>SUR-040</x:v>
      </x:c>
      <x:c r="B41" t="str">
        <x:v>Engineering</x:v>
      </x:c>
      <x:c r="C41" t="str">
        <x:v>2026-08-18</x:v>
      </x:c>
      <x:c r="D41" t="n">
        <x:v>9</x:v>
      </x:c>
      <x:c r="E41" t="n">
        <x:v>77</x:v>
      </x:c>
      <x:c r="F41" t="n">
        <x:v>77</x:v>
      </x:c>
      <x:c r="G41" t="n">
        <x:v>75</x:v>
      </x:c>
      <x:c r="H41" t="n">
        <x:v>78</x:v>
      </x:c>
      <x:c r="I41" t="str">
        <x:v>Promoter</x:v>
      </x:c>
    </x:row>
    <x:row r="42">
      <x:c r="A42" t="str">
        <x:v>SUR-041</x:v>
      </x:c>
      <x:c r="B42" t="str">
        <x:v>Engineering</x:v>
      </x:c>
      <x:c r="C42" t="str">
        <x:v>2026-08-18</x:v>
      </x:c>
      <x:c r="D42" t="n">
        <x:v>10</x:v>
      </x:c>
      <x:c r="E42" t="n">
        <x:v>77</x:v>
      </x:c>
      <x:c r="F42" t="n">
        <x:v>78</x:v>
      </x:c>
      <x:c r="G42" t="n">
        <x:v>77</x:v>
      </x:c>
      <x:c r="H42" t="n">
        <x:v>77</x:v>
      </x:c>
      <x:c r="I42" t="str">
        <x:v>Promoter</x:v>
      </x:c>
    </x:row>
    <x:row r="43">
      <x:c r="A43" t="str">
        <x:v>SUR-042</x:v>
      </x:c>
      <x:c r="B43" t="str">
        <x:v>Engineering</x:v>
      </x:c>
      <x:c r="C43" t="str">
        <x:v>2026-08-18</x:v>
      </x:c>
      <x:c r="D43" t="n">
        <x:v>9</x:v>
      </x:c>
      <x:c r="E43" t="n">
        <x:v>77</x:v>
      </x:c>
      <x:c r="F43" t="n">
        <x:v>76</x:v>
      </x:c>
      <x:c r="G43" t="n">
        <x:v>77</x:v>
      </x:c>
      <x:c r="H43" t="n">
        <x:v>77</x:v>
      </x:c>
      <x:c r="I43" t="str">
        <x:v>Promoter</x:v>
      </x:c>
    </x:row>
    <x:row r="44">
      <x:c r="A44" t="str">
        <x:v>SUR-043</x:v>
      </x:c>
      <x:c r="B44" t="str">
        <x:v>Product</x:v>
      </x:c>
      <x:c r="C44" t="str">
        <x:v>2026-08-18</x:v>
      </x:c>
      <x:c r="D44" t="n">
        <x:v>10</x:v>
      </x:c>
      <x:c r="E44" t="n">
        <x:v>77</x:v>
      </x:c>
      <x:c r="F44" t="n">
        <x:v>77</x:v>
      </x:c>
      <x:c r="G44" t="n">
        <x:v>77</x:v>
      </x:c>
      <x:c r="H44" t="n">
        <x:v>77</x:v>
      </x:c>
      <x:c r="I44" t="str">
        <x:v>Promoter</x:v>
      </x:c>
    </x:row>
    <x:row r="45">
      <x:c r="A45" t="str">
        <x:v>SUR-044</x:v>
      </x:c>
      <x:c r="B45" t="str">
        <x:v>Product</x:v>
      </x:c>
      <x:c r="C45" t="str">
        <x:v>2026-08-18</x:v>
      </x:c>
      <x:c r="D45" t="n">
        <x:v>9</x:v>
      </x:c>
      <x:c r="E45" t="n">
        <x:v>77</x:v>
      </x:c>
      <x:c r="F45" t="n">
        <x:v>78</x:v>
      </x:c>
      <x:c r="G45" t="n">
        <x:v>75</x:v>
      </x:c>
      <x:c r="H45" t="n">
        <x:v>77</x:v>
      </x:c>
      <x:c r="I45" t="str">
        <x:v>Promoter</x:v>
      </x:c>
    </x:row>
    <x:row r="46">
      <x:c r="A46" t="str">
        <x:v>SUR-045</x:v>
      </x:c>
      <x:c r="B46" t="str">
        <x:v>Product</x:v>
      </x:c>
      <x:c r="C46" t="str">
        <x:v>2026-08-18</x:v>
      </x:c>
      <x:c r="D46" t="n">
        <x:v>10</x:v>
      </x:c>
      <x:c r="E46" t="n">
        <x:v>77</x:v>
      </x:c>
      <x:c r="F46" t="n">
        <x:v>76</x:v>
      </x:c>
      <x:c r="G46" t="n">
        <x:v>77</x:v>
      </x:c>
      <x:c r="H46" t="n">
        <x:v>78</x:v>
      </x:c>
      <x:c r="I46" t="str">
        <x:v>Promoter</x:v>
      </x:c>
    </x:row>
    <x:row r="47">
      <x:c r="A47" t="str">
        <x:v>SUR-046</x:v>
      </x:c>
      <x:c r="B47" t="str">
        <x:v>Product</x:v>
      </x:c>
      <x:c r="C47" t="str">
        <x:v>2026-08-18</x:v>
      </x:c>
      <x:c r="D47" t="n">
        <x:v>9</x:v>
      </x:c>
      <x:c r="E47" t="n">
        <x:v>77</x:v>
      </x:c>
      <x:c r="F47" t="n">
        <x:v>77</x:v>
      </x:c>
      <x:c r="G47" t="n">
        <x:v>77</x:v>
      </x:c>
      <x:c r="H47" t="n">
        <x:v>77</x:v>
      </x:c>
      <x:c r="I47" t="str">
        <x:v>Promoter</x:v>
      </x:c>
    </x:row>
    <x:row r="48">
      <x:c r="A48" t="str">
        <x:v>SUR-047</x:v>
      </x:c>
      <x:c r="B48" t="str">
        <x:v>Product</x:v>
      </x:c>
      <x:c r="C48" t="str">
        <x:v>2026-08-18</x:v>
      </x:c>
      <x:c r="D48" t="n">
        <x:v>10</x:v>
      </x:c>
      <x:c r="E48" t="n">
        <x:v>77</x:v>
      </x:c>
      <x:c r="F48" t="n">
        <x:v>78</x:v>
      </x:c>
      <x:c r="G48" t="n">
        <x:v>77</x:v>
      </x:c>
      <x:c r="H48" t="n">
        <x:v>77</x:v>
      </x:c>
      <x:c r="I48" t="str">
        <x:v>Promoter</x:v>
      </x:c>
    </x:row>
    <x:row r="49">
      <x:c r="A49" t="str">
        <x:v>SUR-048</x:v>
      </x:c>
      <x:c r="B49" t="str">
        <x:v>Product</x:v>
      </x:c>
      <x:c r="C49" t="str">
        <x:v>2026-08-18</x:v>
      </x:c>
      <x:c r="D49" t="n">
        <x:v>9</x:v>
      </x:c>
      <x:c r="E49" t="n">
        <x:v>77</x:v>
      </x:c>
      <x:c r="F49" t="n">
        <x:v>76</x:v>
      </x:c>
      <x:c r="G49" t="n">
        <x:v>75</x:v>
      </x:c>
      <x:c r="H49" t="n">
        <x:v>77</x:v>
      </x:c>
      <x:c r="I49" t="str">
        <x:v>Promoter</x:v>
      </x:c>
    </x:row>
    <x:row r="50">
      <x:c r="A50" t="str">
        <x:v>SUR-049</x:v>
      </x:c>
      <x:c r="B50" t="str">
        <x:v>Product</x:v>
      </x:c>
      <x:c r="C50" t="str">
        <x:v>2026-08-18</x:v>
      </x:c>
      <x:c r="D50" t="n">
        <x:v>10</x:v>
      </x:c>
      <x:c r="E50" t="n">
        <x:v>77</x:v>
      </x:c>
      <x:c r="F50" t="n">
        <x:v>77</x:v>
      </x:c>
      <x:c r="G50" t="n">
        <x:v>77</x:v>
      </x:c>
      <x:c r="H50" t="n">
        <x:v>77</x:v>
      </x:c>
      <x:c r="I50" t="str">
        <x:v>Promoter</x:v>
      </x:c>
    </x:row>
    <x:row r="51">
      <x:c r="A51" t="str">
        <x:v>SUR-050</x:v>
      </x:c>
      <x:c r="B51" t="str">
        <x:v>Product</x:v>
      </x:c>
      <x:c r="C51" t="str">
        <x:v>2026-08-18</x:v>
      </x:c>
      <x:c r="D51" t="n">
        <x:v>9</x:v>
      </x:c>
      <x:c r="E51" t="n">
        <x:v>77</x:v>
      </x:c>
      <x:c r="F51" t="n">
        <x:v>78</x:v>
      </x:c>
      <x:c r="G51" t="n">
        <x:v>77</x:v>
      </x:c>
      <x:c r="H51" t="n">
        <x:v>78</x:v>
      </x:c>
      <x:c r="I51" t="str">
        <x:v>Promoter</x:v>
      </x:c>
    </x:row>
    <x:row r="52">
      <x:c r="A52" t="str">
        <x:v>SUR-051</x:v>
      </x:c>
      <x:c r="B52" t="str">
        <x:v>Product</x:v>
      </x:c>
      <x:c r="C52" t="str">
        <x:v>2026-08-18</x:v>
      </x:c>
      <x:c r="D52" t="n">
        <x:v>10</x:v>
      </x:c>
      <x:c r="E52" t="n">
        <x:v>77</x:v>
      </x:c>
      <x:c r="F52" t="n">
        <x:v>76</x:v>
      </x:c>
      <x:c r="G52" t="n">
        <x:v>77</x:v>
      </x:c>
      <x:c r="H52" t="n">
        <x:v>77</x:v>
      </x:c>
      <x:c r="I52" t="str">
        <x:v>Promoter</x:v>
      </x:c>
    </x:row>
    <x:row r="53">
      <x:c r="A53" t="str">
        <x:v>SUR-052</x:v>
      </x:c>
      <x:c r="B53" t="str">
        <x:v>Product</x:v>
      </x:c>
      <x:c r="C53" t="str">
        <x:v>2026-08-18</x:v>
      </x:c>
      <x:c r="D53" t="n">
        <x:v>9</x:v>
      </x:c>
      <x:c r="E53" t="n">
        <x:v>77</x:v>
      </x:c>
      <x:c r="F53" t="n">
        <x:v>77</x:v>
      </x:c>
      <x:c r="G53" t="n">
        <x:v>75</x:v>
      </x:c>
      <x:c r="H53" t="n">
        <x:v>77</x:v>
      </x:c>
      <x:c r="I53" t="str">
        <x:v>Promoter</x:v>
      </x:c>
    </x:row>
    <x:row r="54">
      <x:c r="A54" t="str">
        <x:v>SUR-053</x:v>
      </x:c>
      <x:c r="B54" t="str">
        <x:v>Product</x:v>
      </x:c>
      <x:c r="C54" t="str">
        <x:v>2026-08-18</x:v>
      </x:c>
      <x:c r="D54" t="n">
        <x:v>10</x:v>
      </x:c>
      <x:c r="E54" t="n">
        <x:v>77</x:v>
      </x:c>
      <x:c r="F54" t="n">
        <x:v>78</x:v>
      </x:c>
      <x:c r="G54" t="n">
        <x:v>77</x:v>
      </x:c>
      <x:c r="H54" t="n">
        <x:v>77</x:v>
      </x:c>
      <x:c r="I54" t="str">
        <x:v>Promoter</x:v>
      </x:c>
    </x:row>
    <x:row r="55">
      <x:c r="A55" t="str">
        <x:v>SUR-054</x:v>
      </x:c>
      <x:c r="B55" t="str">
        <x:v>Product</x:v>
      </x:c>
      <x:c r="C55" t="str">
        <x:v>2026-08-18</x:v>
      </x:c>
      <x:c r="D55" t="n">
        <x:v>9</x:v>
      </x:c>
      <x:c r="E55" t="n">
        <x:v>77</x:v>
      </x:c>
      <x:c r="F55" t="n">
        <x:v>76</x:v>
      </x:c>
      <x:c r="G55" t="n">
        <x:v>77</x:v>
      </x:c>
      <x:c r="H55" t="n">
        <x:v>77</x:v>
      </x:c>
      <x:c r="I55" t="str">
        <x:v>Promoter</x:v>
      </x:c>
    </x:row>
    <x:row r="56">
      <x:c r="A56" t="str">
        <x:v>SUR-055</x:v>
      </x:c>
      <x:c r="B56" t="str">
        <x:v>Product</x:v>
      </x:c>
      <x:c r="C56" t="str">
        <x:v>2026-08-18</x:v>
      </x:c>
      <x:c r="D56" t="n">
        <x:v>8</x:v>
      </x:c>
      <x:c r="E56" t="n">
        <x:v>77</x:v>
      </x:c>
      <x:c r="F56" t="n">
        <x:v>77</x:v>
      </x:c>
      <x:c r="G56" t="n">
        <x:v>77</x:v>
      </x:c>
      <x:c r="H56" t="n">
        <x:v>78</x:v>
      </x:c>
      <x:c r="I56" t="str">
        <x:v>Passive</x:v>
      </x:c>
    </x:row>
    <x:row r="57">
      <x:c r="A57" t="str">
        <x:v>SUR-056</x:v>
      </x:c>
      <x:c r="B57" t="str">
        <x:v>Product</x:v>
      </x:c>
      <x:c r="C57" t="str">
        <x:v>2026-08-18</x:v>
      </x:c>
      <x:c r="D57" t="n">
        <x:v>7</x:v>
      </x:c>
      <x:c r="E57" t="n">
        <x:v>77</x:v>
      </x:c>
      <x:c r="F57" t="n">
        <x:v>78</x:v>
      </x:c>
      <x:c r="G57" t="n">
        <x:v>75</x:v>
      </x:c>
      <x:c r="H57" t="n">
        <x:v>77</x:v>
      </x:c>
      <x:c r="I57" t="str">
        <x:v>Passive</x:v>
      </x:c>
    </x:row>
    <x:row r="58">
      <x:c r="A58" t="str">
        <x:v>SUR-057</x:v>
      </x:c>
      <x:c r="B58" t="str">
        <x:v>Product</x:v>
      </x:c>
      <x:c r="C58" t="str">
        <x:v>2026-08-18</x:v>
      </x:c>
      <x:c r="D58" t="n">
        <x:v>8</x:v>
      </x:c>
      <x:c r="E58" t="n">
        <x:v>77</x:v>
      </x:c>
      <x:c r="F58" t="n">
        <x:v>76</x:v>
      </x:c>
      <x:c r="G58" t="n">
        <x:v>77</x:v>
      </x:c>
      <x:c r="H58" t="n">
        <x:v>77</x:v>
      </x:c>
      <x:c r="I58" t="str">
        <x:v>Passive</x:v>
      </x:c>
    </x:row>
    <x:row r="59">
      <x:c r="A59" t="str">
        <x:v>SUR-058</x:v>
      </x:c>
      <x:c r="B59" t="str">
        <x:v>Product</x:v>
      </x:c>
      <x:c r="C59" t="str">
        <x:v>2026-08-18</x:v>
      </x:c>
      <x:c r="D59" t="n">
        <x:v>7</x:v>
      </x:c>
      <x:c r="E59" t="n">
        <x:v>77</x:v>
      </x:c>
      <x:c r="F59" t="n">
        <x:v>77</x:v>
      </x:c>
      <x:c r="G59" t="n">
        <x:v>77</x:v>
      </x:c>
      <x:c r="H59" t="n">
        <x:v>77</x:v>
      </x:c>
      <x:c r="I59" t="str">
        <x:v>Passive</x:v>
      </x:c>
    </x:row>
    <x:row r="60">
      <x:c r="A60" t="str">
        <x:v>SUR-059</x:v>
      </x:c>
      <x:c r="B60" t="str">
        <x:v>Product</x:v>
      </x:c>
      <x:c r="C60" t="str">
        <x:v>2026-08-18</x:v>
      </x:c>
      <x:c r="D60" t="n">
        <x:v>8</x:v>
      </x:c>
      <x:c r="E60" t="n">
        <x:v>77</x:v>
      </x:c>
      <x:c r="F60" t="n">
        <x:v>78</x:v>
      </x:c>
      <x:c r="G60" t="n">
        <x:v>77</x:v>
      </x:c>
      <x:c r="H60" t="n">
        <x:v>77</x:v>
      </x:c>
      <x:c r="I60" t="str">
        <x:v>Passive</x:v>
      </x:c>
    </x:row>
    <x:row r="61">
      <x:c r="A61" t="str">
        <x:v>SUR-060</x:v>
      </x:c>
      <x:c r="B61" t="str">
        <x:v>Product</x:v>
      </x:c>
      <x:c r="C61" t="str">
        <x:v>2026-08-18</x:v>
      </x:c>
      <x:c r="D61" t="n">
        <x:v>7</x:v>
      </x:c>
      <x:c r="E61" t="n">
        <x:v>77</x:v>
      </x:c>
      <x:c r="F61" t="n">
        <x:v>76</x:v>
      </x:c>
      <x:c r="G61" t="n">
        <x:v>75</x:v>
      </x:c>
      <x:c r="H61" t="n">
        <x:v>78</x:v>
      </x:c>
      <x:c r="I61" t="str">
        <x:v>Passive</x:v>
      </x:c>
    </x:row>
    <x:row r="62">
      <x:c r="A62" t="str">
        <x:v>SUR-061</x:v>
      </x:c>
      <x:c r="B62" t="str">
        <x:v>Product</x:v>
      </x:c>
      <x:c r="C62" t="str">
        <x:v>2026-08-18</x:v>
      </x:c>
      <x:c r="D62" t="n">
        <x:v>8</x:v>
      </x:c>
      <x:c r="E62" t="n">
        <x:v>77</x:v>
      </x:c>
      <x:c r="F62" t="n">
        <x:v>77</x:v>
      </x:c>
      <x:c r="G62" t="n">
        <x:v>77</x:v>
      </x:c>
      <x:c r="H62" t="n">
        <x:v>77</x:v>
      </x:c>
      <x:c r="I62" t="str">
        <x:v>Passive</x:v>
      </x:c>
    </x:row>
    <x:row r="63">
      <x:c r="A63" t="str">
        <x:v>SUR-062</x:v>
      </x:c>
      <x:c r="B63" t="str">
        <x:v>Product</x:v>
      </x:c>
      <x:c r="C63" t="str">
        <x:v>2026-08-18</x:v>
      </x:c>
      <x:c r="D63" t="n">
        <x:v>7</x:v>
      </x:c>
      <x:c r="E63" t="n">
        <x:v>77</x:v>
      </x:c>
      <x:c r="F63" t="n">
        <x:v>78</x:v>
      </x:c>
      <x:c r="G63" t="n">
        <x:v>77</x:v>
      </x:c>
      <x:c r="H63" t="n">
        <x:v>77</x:v>
      </x:c>
      <x:c r="I63" t="str">
        <x:v>Passive</x:v>
      </x:c>
    </x:row>
    <x:row r="64">
      <x:c r="A64" t="str">
        <x:v>SUR-063</x:v>
      </x:c>
      <x:c r="B64" t="str">
        <x:v>Product</x:v>
      </x:c>
      <x:c r="C64" t="str">
        <x:v>2026-08-18</x:v>
      </x:c>
      <x:c r="D64" t="n">
        <x:v>8</x:v>
      </x:c>
      <x:c r="E64" t="n">
        <x:v>77</x:v>
      </x:c>
      <x:c r="F64" t="n">
        <x:v>76</x:v>
      </x:c>
      <x:c r="G64" t="n">
        <x:v>77</x:v>
      </x:c>
      <x:c r="H64" t="n">
        <x:v>77</x:v>
      </x:c>
      <x:c r="I64" t="str">
        <x:v>Passive</x:v>
      </x:c>
    </x:row>
    <x:row r="65">
      <x:c r="A65" t="str">
        <x:v>SUR-064</x:v>
      </x:c>
      <x:c r="B65" t="str">
        <x:v>Product</x:v>
      </x:c>
      <x:c r="C65" t="str">
        <x:v>2026-08-18</x:v>
      </x:c>
      <x:c r="D65" t="n">
        <x:v>7</x:v>
      </x:c>
      <x:c r="E65" t="n">
        <x:v>77</x:v>
      </x:c>
      <x:c r="F65" t="n">
        <x:v>77</x:v>
      </x:c>
      <x:c r="G65" t="n">
        <x:v>75</x:v>
      </x:c>
      <x:c r="H65" t="n">
        <x:v>77</x:v>
      </x:c>
      <x:c r="I65" t="str">
        <x:v>Passive</x:v>
      </x:c>
    </x:row>
    <x:row r="66">
      <x:c r="A66" t="str">
        <x:v>SUR-065</x:v>
      </x:c>
      <x:c r="B66" t="str">
        <x:v>Customer Operations</x:v>
      </x:c>
      <x:c r="C66" t="str">
        <x:v>2026-08-18</x:v>
      </x:c>
      <x:c r="D66" t="n">
        <x:v>8</x:v>
      </x:c>
      <x:c r="E66" t="n">
        <x:v>77</x:v>
      </x:c>
      <x:c r="F66" t="n">
        <x:v>78</x:v>
      </x:c>
      <x:c r="G66" t="n">
        <x:v>77</x:v>
      </x:c>
      <x:c r="H66" t="n">
        <x:v>78</x:v>
      </x:c>
      <x:c r="I66" t="str">
        <x:v>Passive</x:v>
      </x:c>
    </x:row>
    <x:row r="67">
      <x:c r="A67" t="str">
        <x:v>SUR-066</x:v>
      </x:c>
      <x:c r="B67" t="str">
        <x:v>Customer Operations</x:v>
      </x:c>
      <x:c r="C67" t="str">
        <x:v>2026-08-18</x:v>
      </x:c>
      <x:c r="D67" t="n">
        <x:v>7</x:v>
      </x:c>
      <x:c r="E67" t="n">
        <x:v>77</x:v>
      </x:c>
      <x:c r="F67" t="n">
        <x:v>76</x:v>
      </x:c>
      <x:c r="G67" t="n">
        <x:v>77</x:v>
      </x:c>
      <x:c r="H67" t="n">
        <x:v>77</x:v>
      </x:c>
      <x:c r="I67" t="str">
        <x:v>Passive</x:v>
      </x:c>
    </x:row>
    <x:row r="68">
      <x:c r="A68" t="str">
        <x:v>SUR-067</x:v>
      </x:c>
      <x:c r="B68" t="str">
        <x:v>Customer Operations</x:v>
      </x:c>
      <x:c r="C68" t="str">
        <x:v>2026-08-18</x:v>
      </x:c>
      <x:c r="D68" t="n">
        <x:v>8</x:v>
      </x:c>
      <x:c r="E68" t="n">
        <x:v>77</x:v>
      </x:c>
      <x:c r="F68" t="n">
        <x:v>77</x:v>
      </x:c>
      <x:c r="G68" t="n">
        <x:v>77</x:v>
      </x:c>
      <x:c r="H68" t="n">
        <x:v>77</x:v>
      </x:c>
      <x:c r="I68" t="str">
        <x:v>Passive</x:v>
      </x:c>
    </x:row>
    <x:row r="69">
      <x:c r="A69" t="str">
        <x:v>SUR-068</x:v>
      </x:c>
      <x:c r="B69" t="str">
        <x:v>Customer Operations</x:v>
      </x:c>
      <x:c r="C69" t="str">
        <x:v>2026-08-18</x:v>
      </x:c>
      <x:c r="D69" t="n">
        <x:v>7</x:v>
      </x:c>
      <x:c r="E69" t="n">
        <x:v>77</x:v>
      </x:c>
      <x:c r="F69" t="n">
        <x:v>78</x:v>
      </x:c>
      <x:c r="G69" t="n">
        <x:v>75</x:v>
      </x:c>
      <x:c r="H69" t="n">
        <x:v>77</x:v>
      </x:c>
      <x:c r="I69" t="str">
        <x:v>Passive</x:v>
      </x:c>
    </x:row>
    <x:row r="70">
      <x:c r="A70" t="str">
        <x:v>SUR-069</x:v>
      </x:c>
      <x:c r="B70" t="str">
        <x:v>Customer Operations</x:v>
      </x:c>
      <x:c r="C70" t="str">
        <x:v>2026-08-18</x:v>
      </x:c>
      <x:c r="D70" t="n">
        <x:v>8</x:v>
      </x:c>
      <x:c r="E70" t="n">
        <x:v>77</x:v>
      </x:c>
      <x:c r="F70" t="n">
        <x:v>76</x:v>
      </x:c>
      <x:c r="G70" t="n">
        <x:v>77</x:v>
      </x:c>
      <x:c r="H70" t="n">
        <x:v>77</x:v>
      </x:c>
      <x:c r="I70" t="str">
        <x:v>Passive</x:v>
      </x:c>
    </x:row>
    <x:row r="71">
      <x:c r="A71" t="str">
        <x:v>SUR-070</x:v>
      </x:c>
      <x:c r="B71" t="str">
        <x:v>Customer Operations</x:v>
      </x:c>
      <x:c r="C71" t="str">
        <x:v>2026-08-18</x:v>
      </x:c>
      <x:c r="D71" t="n">
        <x:v>7</x:v>
      </x:c>
      <x:c r="E71" t="n">
        <x:v>77</x:v>
      </x:c>
      <x:c r="F71" t="n">
        <x:v>77</x:v>
      </x:c>
      <x:c r="G71" t="n">
        <x:v>77</x:v>
      </x:c>
      <x:c r="H71" t="n">
        <x:v>78</x:v>
      </x:c>
      <x:c r="I71" t="str">
        <x:v>Passive</x:v>
      </x:c>
    </x:row>
    <x:row r="72">
      <x:c r="A72" t="str">
        <x:v>SUR-071</x:v>
      </x:c>
      <x:c r="B72" t="str">
        <x:v>Customer Operations</x:v>
      </x:c>
      <x:c r="C72" t="str">
        <x:v>2026-08-18</x:v>
      </x:c>
      <x:c r="D72" t="n">
        <x:v>8</x:v>
      </x:c>
      <x:c r="E72" t="n">
        <x:v>76</x:v>
      </x:c>
      <x:c r="F72" t="n">
        <x:v>77</x:v>
      </x:c>
      <x:c r="G72" t="n">
        <x:v>76</x:v>
      </x:c>
      <x:c r="H72" t="n">
        <x:v>76</x:v>
      </x:c>
      <x:c r="I72" t="str">
        <x:v>Passive</x:v>
      </x:c>
    </x:row>
    <x:row r="73">
      <x:c r="A73" t="str">
        <x:v>SUR-072</x:v>
      </x:c>
      <x:c r="B73" t="str">
        <x:v>Customer Operations</x:v>
      </x:c>
      <x:c r="C73" t="str">
        <x:v>2026-08-18</x:v>
      </x:c>
      <x:c r="D73" t="n">
        <x:v>7</x:v>
      </x:c>
      <x:c r="E73" t="n">
        <x:v>76</x:v>
      </x:c>
      <x:c r="F73" t="n">
        <x:v>75</x:v>
      </x:c>
      <x:c r="G73" t="n">
        <x:v>74</x:v>
      </x:c>
      <x:c r="H73" t="n">
        <x:v>76</x:v>
      </x:c>
      <x:c r="I73" t="str">
        <x:v>Passive</x:v>
      </x:c>
    </x:row>
    <x:row r="74">
      <x:c r="A74" t="str">
        <x:v>SUR-073</x:v>
      </x:c>
      <x:c r="B74" t="str">
        <x:v>Customer Operations</x:v>
      </x:c>
      <x:c r="C74" t="str">
        <x:v>2026-08-18</x:v>
      </x:c>
      <x:c r="D74" t="n">
        <x:v>8</x:v>
      </x:c>
      <x:c r="E74" t="n">
        <x:v>76</x:v>
      </x:c>
      <x:c r="F74" t="n">
        <x:v>76</x:v>
      </x:c>
      <x:c r="G74" t="n">
        <x:v>76</x:v>
      </x:c>
      <x:c r="H74" t="n">
        <x:v>76</x:v>
      </x:c>
      <x:c r="I74" t="str">
        <x:v>Passive</x:v>
      </x:c>
    </x:row>
    <x:row r="75">
      <x:c r="A75" t="str">
        <x:v>SUR-074</x:v>
      </x:c>
      <x:c r="B75" t="str">
        <x:v>Customer Operations</x:v>
      </x:c>
      <x:c r="C75" t="str">
        <x:v>2026-08-18</x:v>
      </x:c>
      <x:c r="D75" t="n">
        <x:v>7</x:v>
      </x:c>
      <x:c r="E75" t="n">
        <x:v>76</x:v>
      </x:c>
      <x:c r="F75" t="n">
        <x:v>77</x:v>
      </x:c>
      <x:c r="G75" t="n">
        <x:v>76</x:v>
      </x:c>
      <x:c r="H75" t="n">
        <x:v>76</x:v>
      </x:c>
      <x:c r="I75" t="str">
        <x:v>Passive</x:v>
      </x:c>
    </x:row>
    <x:row r="76">
      <x:c r="A76" t="str">
        <x:v>SUR-075</x:v>
      </x:c>
      <x:c r="B76" t="str">
        <x:v>Customer Operations</x:v>
      </x:c>
      <x:c r="C76" t="str">
        <x:v>2026-08-18</x:v>
      </x:c>
      <x:c r="D76" t="n">
        <x:v>8</x:v>
      </x:c>
      <x:c r="E76" t="n">
        <x:v>76</x:v>
      </x:c>
      <x:c r="F76" t="n">
        <x:v>75</x:v>
      </x:c>
      <x:c r="G76" t="n">
        <x:v>76</x:v>
      </x:c>
      <x:c r="H76" t="n">
        <x:v>77</x:v>
      </x:c>
      <x:c r="I76" t="str">
        <x:v>Passive</x:v>
      </x:c>
    </x:row>
    <x:row r="77">
      <x:c r="A77" t="str">
        <x:v>SUR-076</x:v>
      </x:c>
      <x:c r="B77" t="str">
        <x:v>Customer Operations</x:v>
      </x:c>
      <x:c r="C77" t="str">
        <x:v>2026-08-18</x:v>
      </x:c>
      <x:c r="D77" t="n">
        <x:v>7</x:v>
      </x:c>
      <x:c r="E77" t="n">
        <x:v>76</x:v>
      </x:c>
      <x:c r="F77" t="n">
        <x:v>76</x:v>
      </x:c>
      <x:c r="G77" t="n">
        <x:v>74</x:v>
      </x:c>
      <x:c r="H77" t="n">
        <x:v>76</x:v>
      </x:c>
      <x:c r="I77" t="str">
        <x:v>Passive</x:v>
      </x:c>
    </x:row>
    <x:row r="78">
      <x:c r="A78" t="str">
        <x:v>SUR-077</x:v>
      </x:c>
      <x:c r="B78" t="str">
        <x:v>Customer Operations</x:v>
      </x:c>
      <x:c r="C78" t="str">
        <x:v>2026-08-18</x:v>
      </x:c>
      <x:c r="D78" t="n">
        <x:v>8</x:v>
      </x:c>
      <x:c r="E78" t="n">
        <x:v>76</x:v>
      </x:c>
      <x:c r="F78" t="n">
        <x:v>77</x:v>
      </x:c>
      <x:c r="G78" t="n">
        <x:v>76</x:v>
      </x:c>
      <x:c r="H78" t="n">
        <x:v>76</x:v>
      </x:c>
      <x:c r="I78" t="str">
        <x:v>Passive</x:v>
      </x:c>
    </x:row>
    <x:row r="79">
      <x:c r="A79" t="str">
        <x:v>SUR-078</x:v>
      </x:c>
      <x:c r="B79" t="str">
        <x:v>Customer Operations</x:v>
      </x:c>
      <x:c r="C79" t="str">
        <x:v>2026-08-18</x:v>
      </x:c>
      <x:c r="D79" t="n">
        <x:v>7</x:v>
      </x:c>
      <x:c r="E79" t="n">
        <x:v>76</x:v>
      </x:c>
      <x:c r="F79" t="n">
        <x:v>75</x:v>
      </x:c>
      <x:c r="G79" t="n">
        <x:v>76</x:v>
      </x:c>
      <x:c r="H79" t="n">
        <x:v>76</x:v>
      </x:c>
      <x:c r="I79" t="str">
        <x:v>Passive</x:v>
      </x:c>
    </x:row>
    <x:row r="80">
      <x:c r="A80" t="str">
        <x:v>SUR-079</x:v>
      </x:c>
      <x:c r="B80" t="str">
        <x:v>Customer Operations</x:v>
      </x:c>
      <x:c r="C80" t="str">
        <x:v>2026-08-18</x:v>
      </x:c>
      <x:c r="D80" t="n">
        <x:v>8</x:v>
      </x:c>
      <x:c r="E80" t="n">
        <x:v>76</x:v>
      </x:c>
      <x:c r="F80" t="n">
        <x:v>76</x:v>
      </x:c>
      <x:c r="G80" t="n">
        <x:v>76</x:v>
      </x:c>
      <x:c r="H80" t="n">
        <x:v>76</x:v>
      </x:c>
      <x:c r="I80" t="str">
        <x:v>Passive</x:v>
      </x:c>
    </x:row>
    <x:row r="81">
      <x:c r="A81" t="str">
        <x:v>SUR-080</x:v>
      </x:c>
      <x:c r="B81" t="str">
        <x:v>Customer Operations</x:v>
      </x:c>
      <x:c r="C81" t="str">
        <x:v>2026-08-18</x:v>
      </x:c>
      <x:c r="D81" t="n">
        <x:v>7</x:v>
      </x:c>
      <x:c r="E81" t="n">
        <x:v>76</x:v>
      </x:c>
      <x:c r="F81" t="n">
        <x:v>77</x:v>
      </x:c>
      <x:c r="G81" t="n">
        <x:v>74</x:v>
      </x:c>
      <x:c r="H81" t="n">
        <x:v>77</x:v>
      </x:c>
      <x:c r="I81" t="str">
        <x:v>Passive</x:v>
      </x:c>
    </x:row>
    <x:row r="82">
      <x:c r="A82" t="str">
        <x:v>SUR-081</x:v>
      </x:c>
      <x:c r="B82" t="str">
        <x:v>Customer Operations</x:v>
      </x:c>
      <x:c r="C82" t="str">
        <x:v>2026-08-18</x:v>
      </x:c>
      <x:c r="D82" t="n">
        <x:v>8</x:v>
      </x:c>
      <x:c r="E82" t="n">
        <x:v>76</x:v>
      </x:c>
      <x:c r="F82" t="n">
        <x:v>75</x:v>
      </x:c>
      <x:c r="G82" t="n">
        <x:v>76</x:v>
      </x:c>
      <x:c r="H82" t="n">
        <x:v>76</x:v>
      </x:c>
      <x:c r="I82" t="str">
        <x:v>Passive</x:v>
      </x:c>
    </x:row>
    <x:row r="83">
      <x:c r="A83" t="str">
        <x:v>SUR-082</x:v>
      </x:c>
      <x:c r="B83" t="str">
        <x:v>Customer Operations</x:v>
      </x:c>
      <x:c r="C83" t="str">
        <x:v>2026-08-18</x:v>
      </x:c>
      <x:c r="D83" t="n">
        <x:v>7</x:v>
      </x:c>
      <x:c r="E83" t="n">
        <x:v>76</x:v>
      </x:c>
      <x:c r="F83" t="n">
        <x:v>76</x:v>
      </x:c>
      <x:c r="G83" t="n">
        <x:v>76</x:v>
      </x:c>
      <x:c r="H83" t="n">
        <x:v>76</x:v>
      </x:c>
      <x:c r="I83" t="str">
        <x:v>Passive</x:v>
      </x:c>
    </x:row>
    <x:row r="84">
      <x:c r="A84" t="str">
        <x:v>SUR-083</x:v>
      </x:c>
      <x:c r="B84" t="str">
        <x:v>Customer Operations</x:v>
      </x:c>
      <x:c r="C84" t="str">
        <x:v>2026-08-18</x:v>
      </x:c>
      <x:c r="D84" t="n">
        <x:v>8</x:v>
      </x:c>
      <x:c r="E84" t="n">
        <x:v>76</x:v>
      </x:c>
      <x:c r="F84" t="n">
        <x:v>77</x:v>
      </x:c>
      <x:c r="G84" t="n">
        <x:v>76</x:v>
      </x:c>
      <x:c r="H84" t="n">
        <x:v>76</x:v>
      </x:c>
      <x:c r="I84" t="str">
        <x:v>Passive</x:v>
      </x:c>
    </x:row>
    <x:row r="85">
      <x:c r="A85" t="str">
        <x:v>SUR-084</x:v>
      </x:c>
      <x:c r="B85" t="str">
        <x:v>Customer Operations</x:v>
      </x:c>
      <x:c r="C85" t="str">
        <x:v>2026-08-18</x:v>
      </x:c>
      <x:c r="D85" t="n">
        <x:v>7</x:v>
      </x:c>
      <x:c r="E85" t="n">
        <x:v>76</x:v>
      </x:c>
      <x:c r="F85" t="n">
        <x:v>75</x:v>
      </x:c>
      <x:c r="G85" t="n">
        <x:v>74</x:v>
      </x:c>
      <x:c r="H85" t="n">
        <x:v>76</x:v>
      </x:c>
      <x:c r="I85" t="str">
        <x:v>Passive</x:v>
      </x:c>
    </x:row>
    <x:row r="86">
      <x:c r="A86" t="str">
        <x:v>SUR-085</x:v>
      </x:c>
      <x:c r="B86" t="str">
        <x:v>Customer Operations</x:v>
      </x:c>
      <x:c r="C86" t="str">
        <x:v>2026-08-18</x:v>
      </x:c>
      <x:c r="D86" t="n">
        <x:v>8</x:v>
      </x:c>
      <x:c r="E86" t="n">
        <x:v>76</x:v>
      </x:c>
      <x:c r="F86" t="n">
        <x:v>76</x:v>
      </x:c>
      <x:c r="G86" t="n">
        <x:v>76</x:v>
      </x:c>
      <x:c r="H86" t="n">
        <x:v>77</x:v>
      </x:c>
      <x:c r="I86" t="str">
        <x:v>Passive</x:v>
      </x:c>
    </x:row>
    <x:row r="87">
      <x:c r="A87" t="str">
        <x:v>SUR-086</x:v>
      </x:c>
      <x:c r="B87" t="str">
        <x:v>Customer Operations</x:v>
      </x:c>
      <x:c r="C87" t="str">
        <x:v>2026-08-18</x:v>
      </x:c>
      <x:c r="D87" t="n">
        <x:v>7</x:v>
      </x:c>
      <x:c r="E87" t="n">
        <x:v>76</x:v>
      </x:c>
      <x:c r="F87" t="n">
        <x:v>77</x:v>
      </x:c>
      <x:c r="G87" t="n">
        <x:v>76</x:v>
      </x:c>
      <x:c r="H87" t="n">
        <x:v>76</x:v>
      </x:c>
      <x:c r="I87" t="str">
        <x:v>Passive</x:v>
      </x:c>
    </x:row>
    <x:row r="88">
      <x:c r="A88" t="str">
        <x:v>SUR-087</x:v>
      </x:c>
      <x:c r="B88" t="str">
        <x:v>Customer Operations</x:v>
      </x:c>
      <x:c r="C88" t="str">
        <x:v>2026-08-18</x:v>
      </x:c>
      <x:c r="D88" t="n">
        <x:v>8</x:v>
      </x:c>
      <x:c r="E88" t="n">
        <x:v>76</x:v>
      </x:c>
      <x:c r="F88" t="n">
        <x:v>75</x:v>
      </x:c>
      <x:c r="G88" t="n">
        <x:v>76</x:v>
      </x:c>
      <x:c r="H88" t="n">
        <x:v>76</x:v>
      </x:c>
      <x:c r="I88" t="str">
        <x:v>Passive</x:v>
      </x:c>
    </x:row>
    <x:row r="89">
      <x:c r="A89" t="str">
        <x:v>SUR-088</x:v>
      </x:c>
      <x:c r="B89" t="str">
        <x:v>Customer Operations</x:v>
      </x:c>
      <x:c r="C89" t="str">
        <x:v>2026-08-18</x:v>
      </x:c>
      <x:c r="D89" t="n">
        <x:v>7</x:v>
      </x:c>
      <x:c r="E89" t="n">
        <x:v>76</x:v>
      </x:c>
      <x:c r="F89" t="n">
        <x:v>76</x:v>
      </x:c>
      <x:c r="G89" t="n">
        <x:v>74</x:v>
      </x:c>
      <x:c r="H89" t="n">
        <x:v>76</x:v>
      </x:c>
      <x:c r="I89" t="str">
        <x:v>Passive</x:v>
      </x:c>
    </x:row>
    <x:row r="90">
      <x:c r="A90" t="str">
        <x:v>SUR-089</x:v>
      </x:c>
      <x:c r="B90" t="str">
        <x:v>Customer Operations</x:v>
      </x:c>
      <x:c r="C90" t="str">
        <x:v>2026-08-18</x:v>
      </x:c>
      <x:c r="D90" t="n">
        <x:v>8</x:v>
      </x:c>
      <x:c r="E90" t="n">
        <x:v>76</x:v>
      </x:c>
      <x:c r="F90" t="n">
        <x:v>77</x:v>
      </x:c>
      <x:c r="G90" t="n">
        <x:v>76</x:v>
      </x:c>
      <x:c r="H90" t="n">
        <x:v>76</x:v>
      </x:c>
      <x:c r="I90" t="str">
        <x:v>Passive</x:v>
      </x:c>
    </x:row>
    <x:row r="91">
      <x:c r="A91" t="str">
        <x:v>SUR-090</x:v>
      </x:c>
      <x:c r="B91" t="str">
        <x:v>Customer Operations</x:v>
      </x:c>
      <x:c r="C91" t="str">
        <x:v>2026-08-18</x:v>
      </x:c>
      <x:c r="D91" t="n">
        <x:v>7</x:v>
      </x:c>
      <x:c r="E91" t="n">
        <x:v>76</x:v>
      </x:c>
      <x:c r="F91" t="n">
        <x:v>75</x:v>
      </x:c>
      <x:c r="G91" t="n">
        <x:v>76</x:v>
      </x:c>
      <x:c r="H91" t="n">
        <x:v>77</x:v>
      </x:c>
      <x:c r="I91" t="str">
        <x:v>Passive</x:v>
      </x:c>
    </x:row>
    <x:row r="92">
      <x:c r="A92" t="str">
        <x:v>SUR-091</x:v>
      </x:c>
      <x:c r="B92" t="str">
        <x:v>Customer Operations</x:v>
      </x:c>
      <x:c r="C92" t="str">
        <x:v>2026-08-18</x:v>
      </x:c>
      <x:c r="D92" t="n">
        <x:v>8</x:v>
      </x:c>
      <x:c r="E92" t="n">
        <x:v>76</x:v>
      </x:c>
      <x:c r="F92" t="n">
        <x:v>76</x:v>
      </x:c>
      <x:c r="G92" t="n">
        <x:v>76</x:v>
      </x:c>
      <x:c r="H92" t="n">
        <x:v>76</x:v>
      </x:c>
      <x:c r="I92" t="str">
        <x:v>Passive</x:v>
      </x:c>
    </x:row>
    <x:row r="93">
      <x:c r="A93" t="str">
        <x:v>SUR-092</x:v>
      </x:c>
      <x:c r="B93" t="str">
        <x:v>Customer Operations</x:v>
      </x:c>
      <x:c r="C93" t="str">
        <x:v>2026-08-18</x:v>
      </x:c>
      <x:c r="D93" t="n">
        <x:v>7</x:v>
      </x:c>
      <x:c r="E93" t="n">
        <x:v>76</x:v>
      </x:c>
      <x:c r="F93" t="n">
        <x:v>77</x:v>
      </x:c>
      <x:c r="G93" t="n">
        <x:v>74</x:v>
      </x:c>
      <x:c r="H93" t="n">
        <x:v>76</x:v>
      </x:c>
      <x:c r="I93" t="str">
        <x:v>Passive</x:v>
      </x:c>
    </x:row>
    <x:row r="94">
      <x:c r="A94" t="str">
        <x:v>SUR-093</x:v>
      </x:c>
      <x:c r="B94" t="str">
        <x:v>Customer Operations</x:v>
      </x:c>
      <x:c r="C94" t="str">
        <x:v>2026-08-18</x:v>
      </x:c>
      <x:c r="D94" t="n">
        <x:v>0</x:v>
      </x:c>
      <x:c r="E94" t="n">
        <x:v>76</x:v>
      </x:c>
      <x:c r="F94" t="n">
        <x:v>75</x:v>
      </x:c>
      <x:c r="G94" t="n">
        <x:v>76</x:v>
      </x:c>
      <x:c r="H94" t="n">
        <x:v>76</x:v>
      </x:c>
      <x:c r="I94" t="str">
        <x:v>Detractor</x:v>
      </x:c>
    </x:row>
    <x:row r="95">
      <x:c r="A95" t="str">
        <x:v>SUR-094</x:v>
      </x:c>
      <x:c r="B95" t="str">
        <x:v>General &amp; Administration</x:v>
      </x:c>
      <x:c r="C95" t="str">
        <x:v>2026-08-18</x:v>
      </x:c>
      <x:c r="D95" t="n">
        <x:v>1</x:v>
      </x:c>
      <x:c r="E95" t="n">
        <x:v>76</x:v>
      </x:c>
      <x:c r="F95" t="n">
        <x:v>76</x:v>
      </x:c>
      <x:c r="G95" t="n">
        <x:v>76</x:v>
      </x:c>
      <x:c r="H95" t="n">
        <x:v>76</x:v>
      </x:c>
      <x:c r="I95" t="str">
        <x:v>Detractor</x:v>
      </x:c>
    </x:row>
    <x:row r="96">
      <x:c r="A96" t="str">
        <x:v>SUR-095</x:v>
      </x:c>
      <x:c r="B96" t="str">
        <x:v>General &amp; Administration</x:v>
      </x:c>
      <x:c r="C96" t="str">
        <x:v>2026-08-18</x:v>
      </x:c>
      <x:c r="D96" t="n">
        <x:v>2</x:v>
      </x:c>
      <x:c r="E96" t="n">
        <x:v>76</x:v>
      </x:c>
      <x:c r="F96" t="n">
        <x:v>77</x:v>
      </x:c>
      <x:c r="G96" t="n">
        <x:v>76</x:v>
      </x:c>
      <x:c r="H96" t="n">
        <x:v>77</x:v>
      </x:c>
      <x:c r="I96" t="str">
        <x:v>Detractor</x:v>
      </x:c>
    </x:row>
    <x:row r="97">
      <x:c r="A97" t="str">
        <x:v>SUR-096</x:v>
      </x:c>
      <x:c r="B97" t="str">
        <x:v>General &amp; Administration</x:v>
      </x:c>
      <x:c r="C97" t="str">
        <x:v>2026-08-18</x:v>
      </x:c>
      <x:c r="D97" t="n">
        <x:v>0</x:v>
      </x:c>
      <x:c r="E97" t="n">
        <x:v>76</x:v>
      </x:c>
      <x:c r="F97" t="n">
        <x:v>75</x:v>
      </x:c>
      <x:c r="G97" t="n">
        <x:v>74</x:v>
      </x:c>
      <x:c r="H97" t="n">
        <x:v>76</x:v>
      </x:c>
      <x:c r="I97" t="str">
        <x:v>Detractor</x:v>
      </x:c>
    </x:row>
    <x:row r="98">
      <x:c r="A98" t="str">
        <x:v>SUR-097</x:v>
      </x:c>
      <x:c r="B98" t="str">
        <x:v>General &amp; Administration</x:v>
      </x:c>
      <x:c r="C98" t="str">
        <x:v>2026-08-18</x:v>
      </x:c>
      <x:c r="D98" t="n">
        <x:v>1</x:v>
      </x:c>
      <x:c r="E98" t="n">
        <x:v>76</x:v>
      </x:c>
      <x:c r="F98" t="n">
        <x:v>76</x:v>
      </x:c>
      <x:c r="G98" t="n">
        <x:v>76</x:v>
      </x:c>
      <x:c r="H98" t="n">
        <x:v>76</x:v>
      </x:c>
      <x:c r="I98" t="str">
        <x:v>Detractor</x:v>
      </x:c>
    </x:row>
    <x:row r="99">
      <x:c r="A99" t="str">
        <x:v>SUR-098</x:v>
      </x:c>
      <x:c r="B99" t="str">
        <x:v>General &amp; Administration</x:v>
      </x:c>
      <x:c r="C99" t="str">
        <x:v>2026-08-18</x:v>
      </x:c>
      <x:c r="D99" t="n">
        <x:v>2</x:v>
      </x:c>
      <x:c r="E99" t="n">
        <x:v>76</x:v>
      </x:c>
      <x:c r="F99" t="n">
        <x:v>77</x:v>
      </x:c>
      <x:c r="G99" t="n">
        <x:v>76</x:v>
      </x:c>
      <x:c r="H99" t="n">
        <x:v>76</x:v>
      </x:c>
      <x:c r="I99" t="str">
        <x:v>Detractor</x:v>
      </x:c>
    </x:row>
    <x:row r="100">
      <x:c r="A100" t="str">
        <x:v>SUR-099</x:v>
      </x:c>
      <x:c r="B100" t="str">
        <x:v>General &amp; Administration</x:v>
      </x:c>
      <x:c r="C100" t="str">
        <x:v>2026-08-18</x:v>
      </x:c>
      <x:c r="D100" t="n">
        <x:v>0</x:v>
      </x:c>
      <x:c r="E100" t="n">
        <x:v>76</x:v>
      </x:c>
      <x:c r="F100" t="n">
        <x:v>75</x:v>
      </x:c>
      <x:c r="G100" t="n">
        <x:v>76</x:v>
      </x:c>
      <x:c r="H100" t="n">
        <x:v>76</x:v>
      </x:c>
      <x:c r="I100" t="str">
        <x:v>Detractor</x:v>
      </x:c>
    </x:row>
    <x:row r="101">
      <x:c r="A101" t="str">
        <x:v>SUR-100</x:v>
      </x:c>
      <x:c r="B101" t="str">
        <x:v>General &amp; Administration</x:v>
      </x:c>
      <x:c r="C101" t="str">
        <x:v>2026-08-18</x:v>
      </x:c>
      <x:c r="D101" t="n">
        <x:v>1</x:v>
      </x:c>
      <x:c r="E101" t="n">
        <x:v>76</x:v>
      </x:c>
      <x:c r="F101" t="n">
        <x:v>76</x:v>
      </x:c>
      <x:c r="G101" t="n">
        <x:v>74</x:v>
      </x:c>
      <x:c r="H101" t="n">
        <x:v>77</x:v>
      </x:c>
      <x:c r="I101" t="str">
        <x:v>Detractor</x:v>
      </x:c>
    </x:row>
    <x:row r="102">
      <x:c r="A102" t="str">
        <x:v>SUR-101</x:v>
      </x:c>
      <x:c r="B102" t="str">
        <x:v>General &amp; Administration</x:v>
      </x:c>
      <x:c r="C102" t="str">
        <x:v>2026-08-18</x:v>
      </x:c>
      <x:c r="D102" t="n">
        <x:v>2</x:v>
      </x:c>
      <x:c r="E102" t="n">
        <x:v>75</x:v>
      </x:c>
      <x:c r="F102" t="n">
        <x:v>76</x:v>
      </x:c>
      <x:c r="G102" t="n">
        <x:v>75</x:v>
      </x:c>
      <x:c r="H102" t="n">
        <x:v>75</x:v>
      </x:c>
      <x:c r="I102" t="str">
        <x:v>Detractor</x:v>
      </x:c>
    </x:row>
    <x:row r="103">
      <x:c r="A103" t="str">
        <x:v>SUR-102</x:v>
      </x:c>
      <x:c r="B103" t="str">
        <x:v>General &amp; Administration</x:v>
      </x:c>
      <x:c r="C103" t="str">
        <x:v>2026-08-18</x:v>
      </x:c>
      <x:c r="D103" t="n">
        <x:v>0</x:v>
      </x:c>
      <x:c r="E103" t="n">
        <x:v>75</x:v>
      </x:c>
      <x:c r="F103" t="n">
        <x:v>74</x:v>
      </x:c>
      <x:c r="G103" t="n">
        <x:v>75</x:v>
      </x:c>
      <x:c r="H103" t="n">
        <x:v>75</x:v>
      </x:c>
      <x:c r="I103" t="str">
        <x:v>Detractor</x:v>
      </x:c>
    </x:row>
    <x:row r="104">
      <x:c r="A104" t="str">
        <x:v>SUR-103</x:v>
      </x:c>
      <x:c r="B104" t="str">
        <x:v>General &amp; Administration</x:v>
      </x:c>
      <x:c r="C104" t="str">
        <x:v>2026-08-18</x:v>
      </x:c>
      <x:c r="D104" t="n">
        <x:v>1</x:v>
      </x:c>
      <x:c r="E104" t="n">
        <x:v>75</x:v>
      </x:c>
      <x:c r="F104" t="n">
        <x:v>75</x:v>
      </x:c>
      <x:c r="G104" t="n">
        <x:v>75</x:v>
      </x:c>
      <x:c r="H104" t="n">
        <x:v>75</x:v>
      </x:c>
      <x:c r="I104" t="str">
        <x:v>Detractor</x:v>
      </x:c>
    </x:row>
    <x:row r="105">
      <x:c r="A105" t="str">
        <x:v>SUR-104</x:v>
      </x:c>
      <x:c r="B105" t="str">
        <x:v>General &amp; Administration</x:v>
      </x:c>
      <x:c r="C105" t="str">
        <x:v>2026-08-18</x:v>
      </x:c>
      <x:c r="D105" t="n">
        <x:v>2</x:v>
      </x:c>
      <x:c r="E105" t="n">
        <x:v>75</x:v>
      </x:c>
      <x:c r="F105" t="n">
        <x:v>76</x:v>
      </x:c>
      <x:c r="G105" t="n">
        <x:v>73</x:v>
      </x:c>
      <x:c r="H105" t="n">
        <x:v>75</x:v>
      </x:c>
      <x:c r="I105" t="str">
        <x:v>Detractor</x:v>
      </x:c>
    </x:row>
    <x:row r="106">
      <x:c r="A106" t="str">
        <x:v>SUR-105</x:v>
      </x:c>
      <x:c r="B106" t="str">
        <x:v>General &amp; Administration</x:v>
      </x:c>
      <x:c r="C106" t="str">
        <x:v>2026-08-18</x:v>
      </x:c>
      <x:c r="D106" t="n">
        <x:v>0</x:v>
      </x:c>
      <x:c r="E106" t="n">
        <x:v>75</x:v>
      </x:c>
      <x:c r="F106" t="n">
        <x:v>74</x:v>
      </x:c>
      <x:c r="G106" t="n">
        <x:v>75</x:v>
      </x:c>
      <x:c r="H106" t="n">
        <x:v>76</x:v>
      </x:c>
      <x:c r="I106" t="str">
        <x:v>Detractor</x:v>
      </x:c>
    </x:row>
    <x:row r="107">
      <x:c r="A107" t="str">
        <x:v>SUR-106</x:v>
      </x:c>
      <x:c r="B107" t="str">
        <x:v>General &amp; Administration</x:v>
      </x:c>
      <x:c r="C107" t="str">
        <x:v>2026-08-18</x:v>
      </x:c>
      <x:c r="D107" t="n">
        <x:v>1</x:v>
      </x:c>
      <x:c r="E107" t="n">
        <x:v>75</x:v>
      </x:c>
      <x:c r="F107" t="n">
        <x:v>75</x:v>
      </x:c>
      <x:c r="G107" t="n">
        <x:v>75</x:v>
      </x:c>
      <x:c r="H107" t="n">
        <x:v>75</x:v>
      </x:c>
      <x:c r="I107" t="str">
        <x:v>Detractor</x:v>
      </x:c>
    </x:row>
    <x:row r="108">
      <x:c r="A108" t="str">
        <x:v>SUR-107</x:v>
      </x:c>
      <x:c r="B108" t="str">
        <x:v>General &amp; Administration</x:v>
      </x:c>
      <x:c r="C108" t="str">
        <x:v>2026-08-18</x:v>
      </x:c>
      <x:c r="D108" t="n">
        <x:v>2</x:v>
      </x:c>
      <x:c r="E108" t="n">
        <x:v>75</x:v>
      </x:c>
      <x:c r="F108" t="n">
        <x:v>76</x:v>
      </x:c>
      <x:c r="G108" t="n">
        <x:v>75</x:v>
      </x:c>
      <x:c r="H108" t="n">
        <x:v>75</x:v>
      </x:c>
      <x:c r="I108" t="str">
        <x:v>Detractor</x:v>
      </x:c>
    </x:row>
    <x:row r="109">
      <x:c r="A109" t="str">
        <x:v>SUR-108</x:v>
      </x:c>
      <x:c r="B109" t="str">
        <x:v>General &amp; Administration</x:v>
      </x:c>
      <x:c r="C109" t="str">
        <x:v>2026-08-18</x:v>
      </x:c>
      <x:c r="D109" t="n">
        <x:v>0</x:v>
      </x:c>
      <x:c r="E109" t="n">
        <x:v>75</x:v>
      </x:c>
      <x:c r="F109" t="n">
        <x:v>74</x:v>
      </x:c>
      <x:c r="G109" t="n">
        <x:v>73</x:v>
      </x:c>
      <x:c r="H109" t="n">
        <x:v>75</x:v>
      </x:c>
      <x:c r="I109" t="str">
        <x:v>Detractor</x:v>
      </x:c>
    </x:row>
    <x:row r="110">
      <x:c r="A110" t="str">
        <x:v>SUR-109</x:v>
      </x:c>
      <x:c r="B110" t="str">
        <x:v>General &amp; Administration</x:v>
      </x:c>
      <x:c r="C110" t="str">
        <x:v>2026-08-18</x:v>
      </x:c>
      <x:c r="D110" t="n">
        <x:v>1</x:v>
      </x:c>
      <x:c r="E110" t="n">
        <x:v>75</x:v>
      </x:c>
      <x:c r="F110" t="n">
        <x:v>75</x:v>
      </x:c>
      <x:c r="G110" t="n">
        <x:v>75</x:v>
      </x:c>
      <x:c r="H110" t="n">
        <x:v>75</x:v>
      </x:c>
      <x:c r="I110" t="str">
        <x:v>Detractor</x:v>
      </x:c>
    </x:row>
    <x:row r="111">
      <x:c r="A111" t="str">
        <x:v>SUR-110</x:v>
      </x:c>
      <x:c r="B111" t="str">
        <x:v>General &amp; Administration</x:v>
      </x:c>
      <x:c r="C111" t="str">
        <x:v>2026-08-18</x:v>
      </x:c>
      <x:c r="D111" t="n">
        <x:v>2</x:v>
      </x:c>
      <x:c r="E111" t="n">
        <x:v>75</x:v>
      </x:c>
      <x:c r="F111" t="n">
        <x:v>76</x:v>
      </x:c>
      <x:c r="G111" t="n">
        <x:v>75</x:v>
      </x:c>
      <x:c r="H111" t="n">
        <x:v>76</x:v>
      </x:c>
      <x:c r="I111" t="str">
        <x:v>Detractor</x:v>
      </x:c>
    </x:row>
    <x:row r="112">
      <x:c r="A112" t="str">
        <x:v>SUR-111</x:v>
      </x:c>
      <x:c r="B112" t="str">
        <x:v>General &amp; Administration</x:v>
      </x:c>
      <x:c r="C112" t="str">
        <x:v>2026-08-18</x:v>
      </x:c>
      <x:c r="D112" t="n">
        <x:v>0</x:v>
      </x:c>
      <x:c r="E112" t="n">
        <x:v>75</x:v>
      </x:c>
      <x:c r="F112" t="n">
        <x:v>74</x:v>
      </x:c>
      <x:c r="G112" t="n">
        <x:v>75</x:v>
      </x:c>
      <x:c r="H112" t="n">
        <x:v>75</x:v>
      </x:c>
      <x:c r="I112" t="str">
        <x:v>Detractor</x:v>
      </x:c>
    </x:row>
    <x:row r="113">
      <x:c r="A113" t="str">
        <x:v>SUR-112</x:v>
      </x:c>
      <x:c r="B113" t="str">
        <x:v>General &amp; Administration</x:v>
      </x:c>
      <x:c r="C113" t="str">
        <x:v>2026-08-18</x:v>
      </x:c>
      <x:c r="D113" t="n">
        <x:v>1</x:v>
      </x:c>
      <x:c r="E113" t="n">
        <x:v>75</x:v>
      </x:c>
      <x:c r="F113" t="n">
        <x:v>75</x:v>
      </x:c>
      <x:c r="G113" t="n">
        <x:v>73</x:v>
      </x:c>
      <x:c r="H113" t="n">
        <x:v>75</x:v>
      </x:c>
      <x:c r="I113" t="str">
        <x:v>Detractor</x:v>
      </x:c>
    </x:row>
    <x:row r="114">
      <x:c r="A114" t="str">
        <x:v>SUR-113</x:v>
      </x:c>
      <x:c r="B114" t="str">
        <x:v>General &amp; Administration</x:v>
      </x:c>
      <x:c r="C114" t="str">
        <x:v>2026-08-18</x:v>
      </x:c>
      <x:c r="D114" t="n">
        <x:v>2</x:v>
      </x:c>
      <x:c r="E114" t="n">
        <x:v>75</x:v>
      </x:c>
      <x:c r="F114" t="n">
        <x:v>76</x:v>
      </x:c>
      <x:c r="G114" t="n">
        <x:v>75</x:v>
      </x:c>
      <x:c r="H114" t="n">
        <x:v>75</x:v>
      </x:c>
      <x:c r="I114" t="str">
        <x:v>Detractor</x:v>
      </x:c>
    </x:row>
    <x:row r="115">
      <x:c r="A115" t="str">
        <x:v>SUR-114</x:v>
      </x:c>
      <x:c r="B115" t="str">
        <x:v>General &amp; Administration</x:v>
      </x:c>
      <x:c r="C115" t="str">
        <x:v>2026-08-18</x:v>
      </x:c>
      <x:c r="D115" t="n">
        <x:v>0</x:v>
      </x:c>
      <x:c r="E115" t="n">
        <x:v>75</x:v>
      </x:c>
      <x:c r="F115" t="n">
        <x:v>74</x:v>
      </x:c>
      <x:c r="G115" t="n">
        <x:v>75</x:v>
      </x:c>
      <x:c r="H115" t="n">
        <x:v>75</x:v>
      </x:c>
      <x:c r="I115" t="str">
        <x:v>Detractor</x:v>
      </x:c>
    </x:row>
    <x:row r="116">
      <x:c r="A116" t="str">
        <x:v>SUR-115</x:v>
      </x:c>
      <x:c r="B116" t="str">
        <x:v>General &amp; Administration</x:v>
      </x:c>
      <x:c r="C116" t="str">
        <x:v>2026-08-18</x:v>
      </x:c>
      <x:c r="D116" t="n">
        <x:v>1</x:v>
      </x:c>
      <x:c r="E116" t="n">
        <x:v>75</x:v>
      </x:c>
      <x:c r="F116" t="n">
        <x:v>75</x:v>
      </x:c>
      <x:c r="G116" t="n">
        <x:v>75</x:v>
      </x:c>
      <x:c r="H116" t="n">
        <x:v>76</x:v>
      </x:c>
      <x:c r="I116" t="str">
        <x:v>Detractor</x:v>
      </x:c>
    </x:row>
    <x:row r="117">
      <x:c r="A117" t="str">
        <x:v>SUR-116</x:v>
      </x:c>
      <x:c r="B117" t="str">
        <x:v>General &amp; Administration</x:v>
      </x:c>
      <x:c r="C117" t="str">
        <x:v>2026-08-18</x:v>
      </x:c>
      <x:c r="D117" t="n">
        <x:v>2</x:v>
      </x:c>
      <x:c r="E117" t="n">
        <x:v>75</x:v>
      </x:c>
      <x:c r="F117" t="n">
        <x:v>76</x:v>
      </x:c>
      <x:c r="G117" t="n">
        <x:v>73</x:v>
      </x:c>
      <x:c r="H117" t="n">
        <x:v>75</x:v>
      </x:c>
      <x:c r="I117" t="str">
        <x:v>Detractor</x:v>
      </x:c>
    </x:row>
    <x:row r="118">
      <x:c r="A118" t="str">
        <x:v>SUR-117</x:v>
      </x:c>
      <x:c r="B118" t="str">
        <x:v>General &amp; Administration</x:v>
      </x:c>
      <x:c r="C118" t="str">
        <x:v>2026-08-18</x:v>
      </x:c>
      <x:c r="D118" t="n">
        <x:v>0</x:v>
      </x:c>
      <x:c r="E118" t="n">
        <x:v>75</x:v>
      </x:c>
      <x:c r="F118" t="n">
        <x:v>74</x:v>
      </x:c>
      <x:c r="G118" t="n">
        <x:v>75</x:v>
      </x:c>
      <x:c r="H118" t="n">
        <x:v>75</x:v>
      </x:c>
      <x:c r="I118" t="str">
        <x:v>Detractor</x:v>
      </x:c>
    </x:row>
    <x:row r="119">
      <x:c r="A119" t="str">
        <x:v>SUR-118</x:v>
      </x:c>
      <x:c r="B119" t="str">
        <x:v>General &amp; Administration</x:v>
      </x:c>
      <x:c r="C119" t="str">
        <x:v>2026-08-18</x:v>
      </x:c>
      <x:c r="D119" t="n">
        <x:v>1</x:v>
      </x:c>
      <x:c r="E119" t="n">
        <x:v>75</x:v>
      </x:c>
      <x:c r="F119" t="n">
        <x:v>75</x:v>
      </x:c>
      <x:c r="G119" t="n">
        <x:v>75</x:v>
      </x:c>
      <x:c r="H119" t="n">
        <x:v>75</x:v>
      </x:c>
      <x:c r="I119" t="str">
        <x:v>Detractor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32" hidden="0" customWidth="1"/>
    <x:col min="8" max="8" width="17" hidden="0" customWidth="1"/>
  </x:cols>
  <x:sheetData>
    <x:row r="1" ht="30" customHeight="1">
      <x:c r="A1" s="5" t="str">
        <x:v>Orchid People | Engagement Pulse Dashboard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9" t="str">
        <x:v>As of</x:v>
      </x:c>
      <x:c r="B3" s="10" t="str">
        <x:v>Eligible</x:v>
      </x:c>
      <x:c r="C3" s="10" t="str">
        <x:v>Invited</x:v>
      </x:c>
      <x:c r="D3" s="10" t="str">
        <x:v>Valid</x:v>
      </x:c>
      <x:c r="E3" s="10" t="str">
        <x:v>Response rate</x:v>
      </x:c>
      <x:c r="F3" s="10" t="str">
        <x:v>eNPS</x:v>
      </x:c>
      <x:c r="G3" s="10" t="str">
        <x:v>Engagement index</x:v>
      </x:c>
      <x:c r="H3" s="11" t="str">
        <x:v>Reporting rule</x:v>
      </x:c>
    </x:row>
    <x:row r="4">
      <x:c r="A4" s="12" t="str">
        <x:v>2026-08-18</x:v>
      </x:c>
      <x:c r="B4" s="13" t="n">
        <x:v>184</x:v>
      </x:c>
      <x:c r="C4" s="13" t="n">
        <x:v>146</x:v>
      </x:c>
      <x:c r="D4" s="13" t="n">
        <x:f>COUNTA(Responses!A2:A119)</x:f>
        <x:v>118</x:v>
      </x:c>
      <x:c r="E4" s="15" t="n">
        <x:f>D4/C4</x:f>
        <x:v>0.8082191780821918</x:v>
      </x:c>
      <x:c r="F4" s="13" t="n">
        <x:f>ROUND((COUNTIF(Responses!I2:I119,"Promoter")-COUNTIF(Responses!I2:I119,"Detractor"))/D4*100,0)</x:f>
        <x:v>24</x:v>
      </x:c>
      <x:c r="G4" s="13" t="n">
        <x:f>ROUND(AVERAGE(Responses!E2:E119),0)</x:f>
        <x:v>76</x:v>
      </x:c>
      <x:c r="H4" s="14" t="str">
        <x:v>Groups n &gt;= 10 only</x:v>
      </x:c>
    </x:row>
    <x:row r="5">
      <x:c r="A5" s="6"/>
      <x:c r="B5" s="6"/>
      <x:c r="C5" s="6"/>
      <x:c r="D5" s="6"/>
      <x:c r="E5" s="6"/>
      <x:c r="F5" s="6"/>
      <x:c r="G5" s="6"/>
      <x:c r="H5" s="6"/>
    </x:row>
    <x:row r="6">
      <x:c r="A6" s="6"/>
      <x:c r="B6" s="6"/>
      <x:c r="C6" s="6"/>
      <x:c r="D6" s="6"/>
      <x:c r="E6" s="6"/>
      <x:c r="F6" s="6"/>
      <x:c r="G6" s="6"/>
      <x:c r="H6" s="6"/>
    </x:row>
    <x:row r="7">
      <x:c r="A7" s="28" t="str">
        <x:v>Reporting group</x:v>
      </x:c>
      <x:c r="B7" s="29" t="str">
        <x:v>n</x:v>
      </x:c>
      <x:c r="C7" s="29" t="str">
        <x:v>Engagement index</x:v>
      </x:c>
      <x:c r="D7" s="30" t="str">
        <x:v>eNPS</x:v>
      </x:c>
      <x:c r="E7" s="6"/>
      <x:c r="F7" s="35" t="str">
        <x:v>What we heard</x:v>
      </x:c>
      <x:c r="G7" s="36" t="str"/>
      <x:c r="H7" s="37" t="str"/>
    </x:row>
    <x:row r="8">
      <x:c r="A8" s="19" t="str">
        <x:v>Engineering</x:v>
      </x:c>
      <x:c r="B8" s="20" t="n">
        <x:f>COUNTIF(Responses!B2:B119,A8)</x:f>
        <x:v>42</x:v>
      </x:c>
      <x:c r="C8" s="20" t="n">
        <x:f>ROUND(AVERAGEIF(Responses!B2:B119,A8,Responses!E2:E119),0)</x:f>
        <x:v>77</x:v>
      </x:c>
      <x:c r="D8" s="21" t="n">
        <x:f>ROUND((COUNTIFS(Responses!B2:B119,A8,Responses!I2:I119,"Promoter")-COUNTIFS(Responses!B2:B119,A8,Responses!I2:I119,"Detractor"))/B8*100,0)</x:f>
        <x:v>100</x:v>
      </x:c>
      <x:c r="E8" s="6"/>
      <x:c r="F8" s="38" t="str">
        <x:v>Strength</x:v>
      </x:c>
      <x:c r="G8" s="39" t="str">
        <x:v>Clearer priorities and peer collaboration</x:v>
      </x:c>
      <x:c r="H8" s="40" t="str"/>
    </x:row>
    <x:row r="9">
      <x:c r="A9" s="19" t="str">
        <x:v>Product</x:v>
      </x:c>
      <x:c r="B9" s="20" t="n">
        <x:f>COUNTIF(Responses!B2:B119,A9)</x:f>
        <x:v>22</x:v>
      </x:c>
      <x:c r="C9" s="20" t="n">
        <x:f>ROUND(AVERAGEIF(Responses!B2:B119,A9,Responses!E2:E119),0)</x:f>
        <x:v>77</x:v>
      </x:c>
      <x:c r="D9" s="21" t="n">
        <x:f>ROUND((COUNTIFS(Responses!B2:B119,A9,Responses!I2:I119,"Promoter")-COUNTIFS(Responses!B2:B119,A9,Responses!I2:I119,"Detractor"))/B9*100,0)</x:f>
        <x:v>55</x:v>
      </x:c>
      <x:c r="E9" s="6"/>
      <x:c r="F9" s="38" t="str">
        <x:v>Watch</x:v>
      </x:c>
      <x:c r="G9" s="39" t="str">
        <x:v>Manager consistency and career growth clarity</x:v>
      </x:c>
      <x:c r="H9" s="40" t="str"/>
    </x:row>
    <x:row r="10">
      <x:c r="A10" s="19" t="str">
        <x:v>Customer Operations</x:v>
      </x:c>
      <x:c r="B10" s="20" t="n">
        <x:f>COUNTIF(Responses!B2:B119,A10)</x:f>
        <x:v>29</x:v>
      </x:c>
      <x:c r="C10" s="20" t="n">
        <x:f>ROUND(AVERAGEIF(Responses!B2:B119,A10,Responses!E2:E119),0)</x:f>
        <x:v>76</x:v>
      </x:c>
      <x:c r="D10" s="21" t="n">
        <x:f>ROUND((COUNTIFS(Responses!B2:B119,A10,Responses!I2:I119,"Promoter")-COUNTIFS(Responses!B2:B119,A10,Responses!I2:I119,"Detractor"))/B10*100,0)</x:f>
        <x:v>-3</x:v>
      </x:c>
      <x:c r="E10" s="6"/>
      <x:c r="F10" s="38" t="str">
        <x:v>Action</x:v>
      </x:c>
      <x:c r="G10" s="39" t="str">
        <x:v>Manager listening huddles; growth-path calibration</x:v>
      </x:c>
      <x:c r="H10" s="40" t="str"/>
    </x:row>
    <x:row r="11">
      <x:c r="A11" s="22" t="str">
        <x:v>General &amp; Administration</x:v>
      </x:c>
      <x:c r="B11" s="23" t="n">
        <x:f>COUNTIF(Responses!B2:B119,A11)</x:f>
        <x:v>25</x:v>
      </x:c>
      <x:c r="C11" s="23" t="n">
        <x:f>ROUND(AVERAGEIF(Responses!B2:B119,A11,Responses!E2:E119),0)</x:f>
        <x:v>75</x:v>
      </x:c>
      <x:c r="D11" s="24" t="n">
        <x:f>ROUND((COUNTIFS(Responses!B2:B119,A11,Responses!I2:I119,"Promoter")-COUNTIFS(Responses!B2:B119,A11,Responses!I2:I119,"Detractor"))/B11*100,0)</x:f>
        <x:v>-100</x:v>
      </x:c>
      <x:c r="E11" s="6"/>
      <x:c r="F11" s="38" t="str">
        <x:v>Privacy</x:v>
      </x:c>
      <x:c r="G11" s="39" t="str">
        <x:v>No reporting for groups below n=10</x:v>
      </x:c>
      <x:c r="H11" s="40" t="str"/>
    </x:row>
    <x:row r="12">
      <x:c r="A12" s="6"/>
      <x:c r="B12" s="6"/>
      <x:c r="C12" s="6"/>
      <x:c r="D12" s="6"/>
      <x:c r="E12" s="6"/>
      <x:c r="F12" s="41" t="str">
        <x:v>Source</x:v>
      </x:c>
      <x:c r="G12" s="42" t="str">
        <x:v>Synthetic survey; 118 valid responses</x:v>
      </x:c>
      <x:c r="H12" s="43" t="str"/>
    </x:row>
    <x:row r="13">
      <x:c r="A13" s="6"/>
      <x:c r="B13" s="6"/>
      <x:c r="C13" s="6"/>
      <x:c r="D13" s="6"/>
      <x:c r="E13" s="6"/>
      <x:c r="F13" s="6"/>
      <x:c r="G13" s="6"/>
      <x:c r="H13" s="6"/>
    </x:row>
    <x:row r="14">
      <x:c r="A14" s="6"/>
      <x:c r="B14" s="6"/>
      <x:c r="C14" s="6"/>
      <x:c r="D14" s="6"/>
      <x:c r="E14" s="6"/>
      <x:c r="F14" s="6"/>
      <x:c r="G14" s="6"/>
      <x:c r="H14" s="6"/>
    </x:row>
    <x:row r="15">
      <x:c r="A15" s="6"/>
      <x:c r="B15" s="6"/>
      <x:c r="C15" s="6"/>
      <x:c r="D15" s="6"/>
      <x:c r="E15" s="6"/>
      <x:c r="F15" s="6"/>
      <x:c r="G15" s="6"/>
      <x:c r="H15" s="6"/>
    </x:row>
    <x:row r="16">
      <x:c r="A16" s="6"/>
      <x:c r="B16" s="6"/>
      <x:c r="C16" s="6"/>
      <x:c r="D16" s="6"/>
      <x:c r="E16" s="6"/>
      <x:c r="F16" s="6"/>
      <x:c r="G16" s="6"/>
      <x:c r="H16" s="6"/>
    </x:row>
    <x:row r="17">
      <x:c r="A17" s="6"/>
      <x:c r="B17" s="6"/>
      <x:c r="C17" s="6"/>
      <x:c r="D17" s="6"/>
      <x:c r="E17" s="6"/>
      <x:c r="F17" s="6"/>
      <x:c r="G17" s="6"/>
      <x:c r="H17" s="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>
      <x:c r="A19" s="6"/>
      <x:c r="B19" s="6"/>
      <x:c r="C19" s="6"/>
      <x:c r="D19" s="6"/>
      <x:c r="E19" s="6"/>
      <x:c r="F19" s="6"/>
      <x:c r="G19" s="6"/>
      <x:c r="H19" s="6"/>
    </x:row>
    <x:row r="20">
      <x:c r="A20" s="6"/>
      <x:c r="B20" s="6"/>
      <x:c r="C20" s="6"/>
      <x:c r="D20" s="6"/>
      <x:c r="E20" s="6"/>
      <x:c r="F20" s="6"/>
      <x:c r="G20" s="6"/>
      <x:c r="H20" s="6"/>
    </x:row>
    <x:row r="21">
      <x:c r="A21" s="6"/>
      <x:c r="B21" s="6"/>
      <x:c r="C21" s="6"/>
      <x:c r="D21" s="6"/>
      <x:c r="E21" s="6"/>
      <x:c r="F21" s="6"/>
      <x:c r="G21" s="6"/>
      <x:c r="H21" s="6"/>
    </x:row>
    <x:row r="22">
      <x:c r="A22" s="6"/>
      <x:c r="B22" s="6"/>
      <x:c r="C22" s="6"/>
      <x:c r="D22" s="6"/>
      <x:c r="E22" s="6"/>
      <x:c r="F22" s="6"/>
      <x:c r="G22" s="6"/>
      <x:c r="H22" s="6"/>
    </x:row>
    <x:row r="23">
      <x:c r="A23" s="6"/>
      <x:c r="B23" s="6"/>
      <x:c r="C23" s="6"/>
      <x:c r="D23" s="6"/>
      <x:c r="E23" s="6"/>
      <x:c r="F23" s="6"/>
      <x:c r="G23" s="6"/>
      <x:c r="H23" s="6"/>
    </x:row>
    <x:row r="24">
      <x:c r="A24" s="6"/>
      <x:c r="B24" s="6"/>
      <x:c r="C24" s="6"/>
      <x:c r="D24" s="6"/>
      <x:c r="E24" s="6"/>
      <x:c r="F24" s="6"/>
      <x:c r="G24" s="6"/>
      <x:c r="H24" s="6"/>
    </x:row>
    <x:row r="25">
      <x:c r="A25" s="6"/>
      <x:c r="B25" s="6"/>
      <x:c r="C25" s="6"/>
      <x:c r="D25" s="6"/>
      <x:c r="E25" s="6"/>
      <x:c r="F25" s="6"/>
      <x:c r="G25" s="6"/>
      <x:c r="H25" s="6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>
      <x:c r="A27" s="6"/>
      <x:c r="B27" s="6"/>
      <x:c r="C27" s="6"/>
      <x:c r="D27" s="6"/>
      <x:c r="E27" s="6"/>
      <x:c r="F27" s="6"/>
      <x:c r="G27" s="6"/>
      <x:c r="H27" s="6"/>
    </x:row>
    <x:row r="28">
      <x:c r="A28" s="6"/>
      <x:c r="B28" s="6"/>
      <x:c r="C28" s="6"/>
      <x:c r="D28" s="6"/>
      <x:c r="E28" s="6"/>
      <x:c r="F28" s="6"/>
      <x:c r="G28" s="6"/>
      <x:c r="H28" s="6"/>
    </x:row>
    <x:row r="29">
      <x:c r="A29" s="6"/>
      <x:c r="B29" s="6"/>
      <x:c r="C29" s="6"/>
      <x:c r="D29" s="6"/>
      <x:c r="E29" s="6"/>
      <x:c r="F29" s="6"/>
      <x:c r="G29" s="6"/>
      <x:c r="H29" s="6"/>
    </x:row>
    <x:row r="30">
      <x:c r="A30" s="6"/>
      <x:c r="B30" s="6"/>
      <x:c r="C30" s="6"/>
      <x:c r="D30" s="6"/>
      <x:c r="E30" s="6"/>
      <x:c r="F30" s="6"/>
      <x:c r="G30" s="6"/>
      <x:c r="H30" s="6"/>
    </x:row>
  </x:sheetData>
  <x:mergeCells>
    <x:mergeCell ref="A1:I1"/>
  </x:mergeCells>
  <x:pageMargins left="0.7" right="0.7" top="0.75" bottom="0.75" header="0.3" footer="0.3"/>
</x:worksheet>
</file>