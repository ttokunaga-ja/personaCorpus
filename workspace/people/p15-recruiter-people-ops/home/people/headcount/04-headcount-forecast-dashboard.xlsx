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1e2a429f4e4f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6fef654468704a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8"/>
      <x:color rgb="FFFFFFFF"/>
      <x:name val="Aptos Display"/>
    </x:font>
    <x:font>
      <x:i/>
      <x:sz val="11"/>
      <x:color rgb="FF17324D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6F3"/>
      </x:patternFill>
    </x:fill>
    <x:fill>
      <x:patternFill patternType="solid">
        <x:fgColor rgb="FF1E8C87"/>
      </x:patternFill>
    </x:fill>
  </x:fills>
  <x:borders count="2">
    <x:border/>
    <x:border>
      <x:left style="thin">
        <x:color rgb="FFD6DFE6"/>
      </x:left>
      <x:right style="thin">
        <x:color rgb="FFD6DFE6"/>
      </x:right>
      <x:top style="thin">
        <x:color rgb="FFD6DFE6"/>
      </x:top>
      <x:bottom style="thin">
        <x:color rgb="FFD6DFE6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b2e786d90445bf" /><Relationship Type="http://schemas.openxmlformats.org/officeDocument/2006/relationships/theme" Target="/xl/theme/theme1.xml" Id="R3b47a8b1c0be4e31" /><Relationship Type="http://schemas.openxmlformats.org/officeDocument/2006/relationships/sharedStrings" Target="/xl/sharedStrings.xml" Id="R5c23f9fe650247cc" /><Relationship Type="http://schemas.openxmlformats.org/officeDocument/2006/relationships/worksheet" Target="/xl/worksheets/sheet1.xml" Id="R6fef654468704ae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5" customHeight="1">
      <x:c r="A1" s="5" t="str">
        <x:v>Headcount Forecast Dashboard</x:v>
      </x:c>
      <x:c r="B1" s="5"/>
      <x:c r="C1" s="5"/>
      <x:c r="D1" s="5"/>
      <x:c r="E1" s="5"/>
      <x:c r="F1" s="5"/>
      <x:c r="G1" s="5"/>
      <x:c r="H1" s="5"/>
    </x:row>
    <x:row r="2" ht="25" customHeight="1">
      <x:c r="A2" s="6" t="str">
        <x:v>Executive view | plan stays at 196 year-end</x:v>
      </x:c>
      <x:c r="B2" s="6"/>
      <x:c r="C2" s="6"/>
      <x:c r="D2" s="6"/>
      <x:c r="E2" s="6"/>
      <x:c r="F2" s="6"/>
      <x:c r="G2" s="6"/>
      <x:c r="H2" s="6"/>
    </x:row>
    <x:row r="3">
      <x:c r="A3" s="7"/>
      <x:c r="B3" s="7"/>
      <x:c r="C3" s="7"/>
      <x:c r="D3" s="7"/>
      <x:c r="E3" s="7"/>
      <x:c r="F3" s="7"/>
      <x:c r="G3" s="7"/>
      <x:c r="H3" s="7"/>
    </x:row>
    <x:row r="4">
      <x:c r="A4" s="10" t="str">
        <x:v>KPI</x:v>
      </x:c>
      <x:c r="B4" s="10" t="str">
        <x:v>Value</x:v>
      </x:c>
      <x:c r="C4" s="7"/>
      <x:c r="D4" s="14" t="str">
        <x:v>Month</x:v>
      </x:c>
      <x:c r="E4" s="14" t="str">
        <x:v>Sep</x:v>
      </x:c>
      <x:c r="F4" s="14" t="str">
        <x:v>Oct</x:v>
      </x:c>
      <x:c r="G4" s="14" t="str">
        <x:v>Nov</x:v>
      </x:c>
      <x:c r="H4" s="14" t="str">
        <x:v>Dec</x:v>
      </x:c>
    </x:row>
    <x:row r="5">
      <x:c r="A5" s="11" t="str">
        <x:v>Current headcount</x:v>
      </x:c>
      <x:c r="B5" s="11" t="n">
        <x:v>184</x:v>
      </x:c>
      <x:c r="C5" s="7"/>
      <x:c r="D5" s="11" t="str">
        <x:v>Forecast HC</x:v>
      </x:c>
      <x:c r="E5" s="11" t="n">
        <x:v>186</x:v>
      </x:c>
      <x:c r="F5" s="11" t="n">
        <x:v>189</x:v>
      </x:c>
      <x:c r="G5" s="11" t="n">
        <x:v>192</x:v>
      </x:c>
      <x:c r="H5" s="11" t="n">
        <x:v>196</x:v>
      </x:c>
    </x:row>
    <x:row r="6">
      <x:c r="A6" s="11" t="str">
        <x:v>Approved plan</x:v>
      </x:c>
      <x:c r="B6" s="11" t="n">
        <x:v>196</x:v>
      </x:c>
      <x:c r="C6" s="7"/>
      <x:c r="D6" s="11" t="str">
        <x:v>Plan HC</x:v>
      </x:c>
      <x:c r="E6" s="11" t="n">
        <x:v>186</x:v>
      </x:c>
      <x:c r="F6" s="11" t="n">
        <x:v>189</x:v>
      </x:c>
      <x:c r="G6" s="11" t="n">
        <x:v>192</x:v>
      </x:c>
      <x:c r="H6" s="11" t="n">
        <x:v>196</x:v>
      </x:c>
    </x:row>
    <x:row r="7">
      <x:c r="A7" s="11" t="str">
        <x:v>Required net adds</x:v>
      </x:c>
      <x:c r="B7" s="11" t="n">
        <x:f>B6-B5</x:f>
        <x:v>12</x:v>
      </x:c>
      <x:c r="C7" s="7"/>
      <x:c r="D7" s="11" t="str">
        <x:v>Variance</x:v>
      </x:c>
      <x:c r="E7" s="11" t="n">
        <x:f>E5-E6</x:f>
        <x:v>0</x:v>
      </x:c>
      <x:c r="F7" s="11" t="n">
        <x:f>F5-F6</x:f>
        <x:v>0</x:v>
      </x:c>
      <x:c r="G7" s="11" t="n">
        <x:f>G5-G6</x:f>
        <x:v>0</x:v>
      </x:c>
      <x:c r="H7" s="11" t="n">
        <x:f>H5-H6</x:f>
        <x:v>0</x:v>
      </x:c>
    </x:row>
    <x:row r="8">
      <x:c r="A8" s="7"/>
      <x:c r="B8" s="7"/>
      <x:c r="C8" s="7"/>
      <x:c r="D8" s="11" t="str">
        <x:v>Open reqs</x:v>
      </x:c>
      <x:c r="E8" s="11" t="n">
        <x:v>5</x:v>
      </x:c>
      <x:c r="F8" s="11" t="n">
        <x:v>4</x:v>
      </x:c>
      <x:c r="G8" s="11" t="n">
        <x:v>2</x:v>
      </x:c>
      <x:c r="H8" s="11" t="n">
        <x:v>0</x:v>
      </x:c>
    </x:row>
    <x:row r="9">
      <x:c r="A9" s="7"/>
      <x:c r="B9" s="7"/>
      <x:c r="C9" s="7"/>
      <x:c r="D9" s="11" t="str">
        <x:v>Capacity/month</x:v>
      </x:c>
      <x:c r="E9" s="11" t="n">
        <x:v>2</x:v>
      </x:c>
      <x:c r="F9" s="11" t="n">
        <x:v>3</x:v>
      </x:c>
      <x:c r="G9" s="11" t="n">
        <x:v>3</x:v>
      </x:c>
      <x:c r="H9" s="11" t="n">
        <x:v>4</x:v>
      </x:c>
    </x:row>
    <x:row r="10">
      <x:c r="A10" s="7"/>
      <x:c r="B10" s="7"/>
      <x:c r="C10" s="7"/>
      <x:c r="D10" s="7"/>
      <x:c r="E10" s="7"/>
      <x:c r="F10" s="7"/>
      <x:c r="G10" s="7"/>
      <x:c r="H10" s="7"/>
    </x:row>
    <x:row r="11">
      <x:c r="A11" s="7"/>
      <x:c r="B11" s="7"/>
      <x:c r="C11" s="7"/>
      <x:c r="D11" s="7"/>
      <x:c r="E11" s="7"/>
      <x:c r="F11" s="7"/>
      <x:c r="G11" s="7"/>
      <x:c r="H11" s="7"/>
    </x:row>
    <x:row r="12">
      <x:c r="A12" s="10" t="str">
        <x:v>Decision focus</x:v>
      </x:c>
      <x:c r="B12" s="10" t="str">
        <x:v>Evidence</x:v>
      </x:c>
      <x:c r="C12" s="10" t="str">
        <x:v>Owner</x:v>
      </x:c>
      <x:c r="D12" s="10" t="str">
        <x:v>Timing</x:v>
      </x:c>
      <x:c r="E12" s="10" t="str">
        <x:v>Status</x:v>
      </x:c>
      <x:c r="F12" s="10" t="str"/>
      <x:c r="G12" s="10" t="str"/>
      <x:c r="H12" s="10" t="str"/>
    </x:row>
    <x:row r="13">
      <x:c r="A13" s="11" t="str">
        <x:v>Maintain approved plan</x:v>
      </x:c>
      <x:c r="B13" s="11" t="str">
        <x:v>12 net additions bridge 184 to 196</x:v>
      </x:c>
      <x:c r="C13" s="11" t="str">
        <x:v>People Ops</x:v>
      </x:c>
      <x:c r="D13" s="11" t="str">
        <x:v>Weekly</x:v>
      </x:c>
      <x:c r="E13" s="11" t="str">
        <x:v>On track</x:v>
      </x:c>
      <x:c r="F13" s="11" t="str"/>
      <x:c r="G13" s="11" t="str"/>
      <x:c r="H13" s="11" t="str"/>
    </x:row>
    <x:row r="14">
      <x:c r="A14" s="11" t="str">
        <x:v>Prioritize Alpha</x:v>
      </x:c>
      <x:c r="B14" s="11" t="str">
        <x:v>3 approved openings at JPY 7.2-8.4M</x:v>
      </x:c>
      <x:c r="C14" s="11" t="str">
        <x:v>Recruiting</x:v>
      </x:c>
      <x:c r="D14" s="11" t="str">
        <x:v>Monthly</x:v>
      </x:c>
      <x:c r="E14" s="11" t="str">
        <x:v>On track</x:v>
      </x:c>
      <x:c r="F14" s="11" t="str"/>
      <x:c r="G14" s="11" t="str"/>
      <x:c r="H14" s="11" t="str"/>
    </x:row>
    <x:row r="15">
      <x:c r="A15" s="11" t="str">
        <x:v>Close Beta capacity</x:v>
      </x:c>
      <x:c r="B15" s="11" t="str">
        <x:v>2 approved openings at JPY 5.8-6.8M</x:v>
      </x:c>
      <x:c r="C15" s="11" t="str">
        <x:v>Talent Ops</x:v>
      </x:c>
      <x:c r="D15" s="11" t="str">
        <x:v>Monthly</x:v>
      </x:c>
      <x:c r="E15" s="11" t="str">
        <x:v>On track</x:v>
      </x:c>
      <x:c r="F15" s="11" t="str"/>
      <x:c r="G15" s="11" t="str"/>
      <x:c r="H15" s="11" t="str"/>
    </x:row>
    <x:row r="16">
      <x:c r="A16" s="7"/>
      <x:c r="B16" s="7"/>
      <x:c r="C16" s="7"/>
      <x:c r="D16" s="7"/>
      <x:c r="E16" s="7"/>
      <x:c r="F16" s="7"/>
      <x:c r="G16" s="7"/>
      <x:c r="H16" s="7"/>
    </x:row>
    <x:row r="17">
      <x:c r="A17" s="7"/>
      <x:c r="B17" s="7"/>
      <x:c r="C17" s="7"/>
      <x:c r="D17" s="7"/>
      <x:c r="E17" s="7"/>
      <x:c r="F17" s="7"/>
      <x:c r="G17" s="7"/>
      <x:c r="H17" s="7"/>
    </x:row>
    <x:row r="18">
      <x:c r="A18" s="7"/>
      <x:c r="B18" s="7"/>
      <x:c r="C18" s="7"/>
      <x:c r="D18" s="7"/>
      <x:c r="E18" s="7"/>
      <x:c r="F18" s="7"/>
      <x:c r="G18" s="7"/>
      <x:c r="H18" s="7"/>
    </x:row>
    <x:row r="19">
      <x:c r="A19" s="7"/>
      <x:c r="B19" s="7"/>
      <x:c r="C19" s="7"/>
      <x:c r="D19" s="7"/>
      <x:c r="E19" s="7"/>
      <x:c r="F19" s="7"/>
      <x:c r="G19" s="7"/>
      <x:c r="H19" s="7"/>
    </x:row>
    <x:row r="20">
      <x:c r="A20" s="7"/>
      <x:c r="B20" s="7"/>
      <x:c r="C20" s="7"/>
      <x:c r="D20" s="7"/>
      <x:c r="E20" s="7"/>
      <x:c r="F20" s="7"/>
      <x:c r="G20" s="7"/>
      <x:c r="H20" s="7"/>
    </x:row>
  </x:sheetData>
  <x:mergeCells>
    <x:mergeCell ref="A1:H1"/>
    <x:mergeCell ref="A2:H2"/>
  </x:mergeCells>
  <x:pageMargins left="0.7" right="0.7" top="0.75" bottom="0.75" header="0.3" footer="0.3"/>
</x:worksheet>
</file>