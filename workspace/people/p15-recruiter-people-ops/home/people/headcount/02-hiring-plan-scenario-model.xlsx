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ena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<sst xmlns="http://schemas.openxmlformats.org/spreadsheetml/2006/main" count="19" uniqueCount="19">
  <si>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Hiring Plan Scenario Model</t>
  </si>
  <si>
    <t xml:space="preserve">Formula-led outlook; scenario multiplier controls planned starts</t>
  </si>
  <si>
    <t xml:space="preserve">Scenario</t>
  </si>
  <si>
    <t xml:space="preserve">Start multiplier</t>
  </si>
  <si>
    <t xml:space="preserve">Year-end outcome</t>
  </si>
  <si>
    <t xml:space="preserve">Base</t>
  </si>
  <si>
    <t xml:space="preserve">Stretch</t>
  </si>
  <si>
    <t xml:space="preserve">Conservative</t>
  </si>
  <si>
    <t xml:space="preserve">Month</t>
  </si>
  <si>
    <t xml:space="preserve">Base starts</t>
  </si>
  <si>
    <t xml:space="preserve">Stretch starts</t>
  </si>
  <si>
    <t xml:space="preserve">Conservative starts</t>
  </si>
  <si>
    <t xml:space="preserve">Base HC</t>
  </si>
  <si>
    <t xml:space="preserve">Variance to plan</t>
  </si>
  <si>
    <t xml:space="preserve">Sep</t>
  </si>
  <si>
    <t xml:space="preserve">Oct</t>
  </si>
  <si>
    <t xml:space="preserve">Nov</t>
  </si>
  <si>
    <t xml:space="preserve">Dec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</si>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</sst>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Aptos Display"/>
      <family val="0"/>
      <charset val="1"/>
    </font>
    <font>
      <i val="true"/>
      <sz val="11"/>
      <color rgb="FF17324D"/>
      <name val="Calibri"/>
      <family val="0"/>
      <charset val="1"/>
    </font>
    <font>
      <sz val="11"/>
      <name val="Linux Libertine G"/>
      <family val="2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6F3"/>
        <bgColor rgb="FFFFFFFF"/>
      </patternFill>
    </fill>
    <fill>
      <patternFill patternType="solid">
        <fgColor rgb="FF1E8C87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FE6"/>
      </left>
      <right style="thin">
        <color rgb="FFD6DFE6"/>
      </right>
      <top style="thin">
        <color rgb="FFD6DFE6"/>
      </top>
      <bottom style="thin">
        <color rgb="FFD6DFE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6F3"/>
      <rgbColor rgb="FF660066"/>
      <rgbColor rgb="FFFF8080"/>
      <rgbColor rgb="FF0066CC"/>
      <rgbColor rgb="FFD6DF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1E8C8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6" min="1" style="0" width="21.4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</row>
    <row r="5" customFormat="false" ht="15" hidden="false" customHeight="false" outlineLevel="0" collapsed="false">
      <c r="A5" s="5" t="s">
        <v>5</v>
      </c>
      <c r="B5" s="6" t="n">
        <v>1</v>
      </c>
      <c r="C5" s="5" t="n">
        <f aca="false">184+ROUND(12*B5,0)</f>
        <v>196</v>
      </c>
      <c r="D5" s="3"/>
      <c r="E5" s="3"/>
      <c r="F5" s="3"/>
      <c r="G5" s="3"/>
      <c r="H5" s="3"/>
    </row>
    <row r="6" customFormat="false" ht="15" hidden="false" customHeight="false" outlineLevel="0" collapsed="false">
      <c r="A6" s="5" t="s">
        <v>6</v>
      </c>
      <c r="B6" s="6" t="n">
        <v>1.25</v>
      </c>
      <c r="C6" s="5" t="n">
        <f aca="false">184+ROUND(12*B6,0)</f>
        <v>199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5" t="s">
        <v>7</v>
      </c>
      <c r="B7" s="6" t="n">
        <v>0.75</v>
      </c>
      <c r="C7" s="5" t="n">
        <f aca="false">184+ROUND(12*B7,0)</f>
        <v>193</v>
      </c>
      <c r="D7" s="3"/>
      <c r="E7" s="3"/>
      <c r="F7" s="3"/>
      <c r="G7" s="3"/>
      <c r="H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3"/>
      <c r="H10" s="3"/>
    </row>
    <row r="11" customFormat="false" ht="15" hidden="false" customHeight="false" outlineLevel="0" collapsed="false">
      <c r="A11" s="5" t="s">
        <v>14</v>
      </c>
      <c r="B11" s="5" t="n">
        <v>2</v>
      </c>
      <c r="C11" s="5" t="n">
        <f aca="false">ROUND(B11*$B$6,0)</f>
        <v>3</v>
      </c>
      <c r="D11" s="5" t="n">
        <f aca="false">ROUND(B11*$B$7,0)</f>
        <v>2</v>
      </c>
      <c r="E11" s="5" t="n">
        <f aca="false">184+B11</f>
        <v>186</v>
      </c>
      <c r="F11" s="5" t="n">
        <f aca="false">E11-196</f>
        <v>-10</v>
      </c>
      <c r="G11" s="3"/>
      <c r="H11" s="3"/>
    </row>
    <row r="12" customFormat="false" ht="15" hidden="false" customHeight="false" outlineLevel="0" collapsed="false">
      <c r="A12" s="5" t="s">
        <v>15</v>
      </c>
      <c r="B12" s="5" t="n">
        <v>3</v>
      </c>
      <c r="C12" s="5" t="n">
        <f aca="false">ROUND(B12*$B$6,0)</f>
        <v>4</v>
      </c>
      <c r="D12" s="5" t="n">
        <f aca="false">ROUND(B12*$B$7,0)</f>
        <v>2</v>
      </c>
      <c r="E12" s="5" t="n">
        <f aca="false">E11+B12</f>
        <v>189</v>
      </c>
      <c r="F12" s="5" t="n">
        <f aca="false">E12-196</f>
        <v>-7</v>
      </c>
      <c r="G12" s="3"/>
      <c r="H12" s="3"/>
    </row>
    <row r="13" customFormat="false" ht="15" hidden="false" customHeight="false" outlineLevel="0" collapsed="false">
      <c r="A13" s="5" t="s">
        <v>16</v>
      </c>
      <c r="B13" s="5" t="n">
        <v>3</v>
      </c>
      <c r="C13" s="5" t="n">
        <f aca="false">ROUND(B13*$B$6,0)</f>
        <v>4</v>
      </c>
      <c r="D13" s="5" t="n">
        <f aca="false">ROUND(B13*$B$7,0)</f>
        <v>2</v>
      </c>
      <c r="E13" s="5" t="n">
        <f aca="false">E12+B13</f>
        <v>192</v>
      </c>
      <c r="F13" s="5" t="n">
        <f aca="false">E13-196</f>
        <v>-4</v>
      </c>
      <c r="G13" s="3"/>
      <c r="H13" s="3"/>
    </row>
    <row r="14" customFormat="false" ht="15" hidden="false" customHeight="false" outlineLevel="0" collapsed="false">
      <c r="A14" s="5" t="s">
        <v>17</v>
      </c>
      <c r="B14" s="5" t="n">
        <v>4</v>
      </c>
      <c r="C14" s="5" t="n">
        <f aca="false">ROUND(B14*$B$6,0)</f>
        <v>5</v>
      </c>
      <c r="D14" s="5" t="n">
        <f aca="false">ROUND(B14*$B$7,0)</f>
        <v>3</v>
      </c>
      <c r="E14" s="5" t="n">
        <f aca="false">E13+B14</f>
        <v>196</v>
      </c>
      <c r="F14" s="5" t="n">
        <f aca="false">E14-196</f>
        <v>0</v>
      </c>
      <c r="G14" s="3"/>
      <c r="H14" s="3"/>
    </row>
    <row r="15" customFormat="false" ht="15" hidden="false" customHeight="false" outlineLevel="0" collapsed="false">
      <c r="A15" s="8" t="s">
        <v>18</v>
      </c>
      <c r="B15" s="8" t="n">
        <f aca="false">SUM(B11:B14)</f>
        <v>12</v>
      </c>
      <c r="C15" s="8" t="n">
        <f aca="false">SUM(C11:C14)</f>
        <v>16</v>
      </c>
      <c r="D15" s="8" t="n">
        <f aca="false">SUM(D11:D14)</f>
        <v>9</v>
      </c>
      <c r="E15" s="8" t="n">
        <f aca="false">E14</f>
        <v>196</v>
      </c>
      <c r="F15" s="8" t="n">
        <f aca="false">E15-196</f>
        <v>0</v>
      </c>
      <c r="G15" s="3"/>
      <c r="H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