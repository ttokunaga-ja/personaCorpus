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f087bccf7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ycle Tracker" sheetId="1" r:id="R88be0f822d93475c"/>
    <x:sheet xmlns:r="http://schemas.openxmlformats.org/officeDocument/2006/relationships" name="Review Data" sheetId="2" r:id="Rc08afcba31d643ab"/>
    <x:sheet xmlns:r="http://schemas.openxmlformats.org/officeDocument/2006/relationships" name="Read Me" sheetId="3" r:id="R077a5140c77c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E8EEF5"/>
      </x:patternFill>
    </x:fill>
  </x:fills>
  <x:borders count="10">
    <x:border/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f35cb74804f44" /><Relationship Type="http://schemas.openxmlformats.org/officeDocument/2006/relationships/theme" Target="/xl/theme/theme1.xml" Id="R6713777a166c458a" /><Relationship Type="http://schemas.openxmlformats.org/officeDocument/2006/relationships/sharedStrings" Target="/xl/sharedStrings.xml" Id="R3e9df137e4cf4b47" /><Relationship Type="http://schemas.openxmlformats.org/officeDocument/2006/relationships/worksheet" Target="/xl/worksheets/sheet1.xml" Id="R88be0f822d93475c" /><Relationship Type="http://schemas.openxmlformats.org/officeDocument/2006/relationships/worksheet" Target="/xl/worksheets/sheet2.xml" Id="Rc08afcba31d643ab" /><Relationship Type="http://schemas.openxmlformats.org/officeDocument/2006/relationships/worksheet" Target="/xl/worksheets/sheet3.xml" Id="R077a5140c77c44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4" max="4" width="16" hidden="0" customWidth="1"/>
    <x:col min="5" max="5" width="16" hidden="0" customWidth="1"/>
    <x:col min="6" max="6" width="16" hidden="0" customWidth="1"/>
    <x:col min="3" max="3" width="16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Orchid People | H1 2026 Performance Cycle Tracker</x:v>
      </x:c>
      <x:c r="B1" s="4"/>
      <x:c r="C1" s="4"/>
      <x:c r="D1" s="4"/>
      <x:c r="E1" s="4"/>
      <x:c r="F1" s="4"/>
      <x:c r="G1" s="4"/>
      <x:c r="H1" s="4"/>
    </x:row>
    <x:row r="2">
      <x:c r="A2" s="5" t="str">
        <x:v>Synthetic records only | Review date: 2026-08-18 | Ratings 1-5</x:v>
      </x:c>
    </x:row>
    <x:row r="4">
      <x:c r="A4" s="9" t="str">
        <x:v>Metric</x:v>
      </x:c>
      <x:c r="B4" s="9" t="str">
        <x:v>Value</x:v>
      </x:c>
      <x:c r="D4" s="9" t="str">
        <x:v>Rating</x:v>
      </x:c>
      <x:c r="E4" s="9" t="str">
        <x:v>Count</x:v>
      </x:c>
      <x:c r="F4" s="9" t="str">
        <x:v>Share</x:v>
      </x:c>
    </x:row>
    <x:row r="5">
      <x:c r="A5" t="str">
        <x:v>Reviewed records</x:v>
      </x:c>
      <x:c r="B5" t="n">
        <x:f>COUNTA('Review Data'!A2:A37)</x:f>
        <x:v>36</x:v>
      </x:c>
      <x:c r="D5" t="n">
        <x:v>1</x:v>
      </x:c>
      <x:c r="E5" t="n">
        <x:f>COUNTIF('Review Data'!C$2:C$37,D5)</x:f>
        <x:v>0</x:v>
      </x:c>
      <x:c r="F5" s="11" t="n">
        <x:f>E5/$B$5</x:f>
        <x:v>0</x:v>
      </x:c>
    </x:row>
    <x:row r="6">
      <x:c r="A6" t="str">
        <x:v>Average rating</x:v>
      </x:c>
      <x:c r="B6" s="10" t="n">
        <x:f>AVERAGE('Review Data'!C2:C37)</x:f>
        <x:v>3.6666666666666665</x:v>
      </x:c>
      <x:c r="D6" t="n">
        <x:v>2</x:v>
      </x:c>
      <x:c r="E6" t="n">
        <x:f>COUNTIF('Review Data'!C$2:C$37,D6)</x:f>
        <x:v>3</x:v>
      </x:c>
      <x:c r="F6" s="11" t="n">
        <x:f>E6/$B$5</x:f>
        <x:v>0.08333333333333333</x:v>
      </x:c>
    </x:row>
    <x:row r="7">
      <x:c r="A7" t="str">
        <x:v>On-track goals</x:v>
      </x:c>
      <x:c r="B7" t="n">
        <x:f>COUNTIF('Review Data'!E2:E37,"&gt;=0.85")</x:f>
        <x:v>16</x:v>
      </x:c>
      <x:c r="D7" t="n">
        <x:v>3</x:v>
      </x:c>
      <x:c r="E7" t="n">
        <x:f>COUNTIF('Review Data'!C$2:C$37,D7)</x:f>
        <x:v>11</x:v>
      </x:c>
      <x:c r="F7" s="11" t="n">
        <x:f>E7/$B$5</x:f>
        <x:v>0.3055555555555556</x:v>
      </x:c>
    </x:row>
    <x:row r="8">
      <x:c r="A8" t="str">
        <x:v>Support needed</x:v>
      </x:c>
      <x:c r="B8" t="n">
        <x:f>COUNTIF('Review Data'!E2:E37,"&lt;0.65")</x:f>
        <x:v>3</x:v>
      </x:c>
      <x:c r="D8" t="n">
        <x:v>4</x:v>
      </x:c>
      <x:c r="E8" t="n">
        <x:f>COUNTIF('Review Data'!C$2:C$37,D8)</x:f>
        <x:v>17</x:v>
      </x:c>
      <x:c r="F8" s="11" t="n">
        <x:f>E8/$B$5</x:f>
        <x:v>0.4722222222222222</x:v>
      </x:c>
    </x:row>
    <x:row r="9">
      <x:c r="D9" t="n">
        <x:v>5</x:v>
      </x:c>
      <x:c r="E9" t="n">
        <x:f>COUNTIF('Review Data'!C$2:C$37,D9)</x:f>
        <x:v>5</x:v>
      </x:c>
      <x:c r="F9" s="11" t="n">
        <x:f>E9/$B$5</x:f>
        <x:v>0.1388888888888889</x:v>
      </x:c>
    </x:row>
    <x:row r="11">
      <x:c r="A11" s="13" t="str">
        <x:v>Calibration operating note</x:v>
      </x:c>
      <x:c r="B11" s="13"/>
      <x:c r="C11" s="13"/>
      <x:c r="D11" s="13"/>
      <x:c r="E11" s="13"/>
      <x:c r="F11" s="13"/>
      <x:c r="G11" s="13"/>
      <x:c r="H11" s="13"/>
    </x:row>
    <x:row r="12">
      <x:c r="A12" s="15" t="str">
        <x:v>Use evidence and goal progress to guide discussion. Ratings are synthetic, calibrated at the team-label level, and are not compensation inputs.</x:v>
      </x:c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</x:sheetData>
  <x:mergeCells>
    <x:mergeCell ref="A1:H1"/>
    <x:mergeCell ref="A2:H2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4.329999923706055" hidden="0" customWidth="1"/>
    <x:col min="3" max="3" width="5.559999942779541" hidden="0" customWidth="1"/>
    <x:col min="4" max="4" width="24" hidden="0" customWidth="1"/>
    <x:col min="5" max="5" width="11.4399995803833" hidden="0" customWidth="1"/>
    <x:col min="6" max="6" width="16.329999923706055" hidden="0" customWidth="1"/>
    <x:col min="7" max="7" width="36" hidden="0" customWidth="1"/>
  </x:cols>
  <x:sheetData>
    <x:row r="1">
      <x:c r="A1" s="16" t="str">
        <x:v>Record ID</x:v>
      </x:c>
      <x:c r="B1" s="17" t="str">
        <x:v>Team label</x:v>
      </x:c>
      <x:c r="C1" s="17" t="str">
        <x:v>Rating</x:v>
      </x:c>
      <x:c r="D1" s="17" t="str">
        <x:v>Primary goal</x:v>
      </x:c>
      <x:c r="E1" s="17" t="str">
        <x:v>Goal progress</x:v>
      </x:c>
      <x:c r="F1" s="17" t="str">
        <x:v>Calibration outcome</x:v>
      </x:c>
      <x:c r="G1" s="18" t="str">
        <x:v>Evidence summary</x:v>
      </x:c>
    </x:row>
    <x:row r="2">
      <x:c r="A2" s="19" t="str">
        <x:v>SYN-E001</x:v>
      </x:c>
      <x:c r="B2" s="20" t="str">
        <x:v>Product</x:v>
      </x:c>
      <x:c r="C2" s="20" t="n">
        <x:v>5</x:v>
      </x:c>
      <x:c r="D2" s="20" t="str">
        <x:v>Delivery reliability</x:v>
      </x:c>
      <x:c r="E2" s="21" t="n">
        <x:v>1</x:v>
      </x:c>
      <x:c r="F2" s="20" t="str">
        <x:v>Ready</x:v>
      </x:c>
      <x:c r="G2" s="22" t="str">
        <x:v>Outcomes met; evidence reviewed</x:v>
      </x:c>
    </x:row>
    <x:row r="3">
      <x:c r="A3" s="19" t="str">
        <x:v>SYN-E002</x:v>
      </x:c>
      <x:c r="B3" s="20" t="str">
        <x:v>Engineering</x:v>
      </x:c>
      <x:c r="C3" s="20" t="n">
        <x:v>5</x:v>
      </x:c>
      <x:c r="D3" s="20" t="str">
        <x:v>Process improvement</x:v>
      </x:c>
      <x:c r="E3" s="21" t="n">
        <x:v>1</x:v>
      </x:c>
      <x:c r="F3" s="20" t="str">
        <x:v>Ready</x:v>
      </x:c>
      <x:c r="G3" s="22" t="str">
        <x:v>Outcomes met; evidence reviewed</x:v>
      </x:c>
    </x:row>
    <x:row r="4">
      <x:c r="A4" s="19" t="str">
        <x:v>SYN-E003</x:v>
      </x:c>
      <x:c r="B4" s="20" t="str">
        <x:v>Customer Success</x:v>
      </x:c>
      <x:c r="C4" s="20" t="n">
        <x:v>5</x:v>
      </x:c>
      <x:c r="D4" s="20" t="str">
        <x:v>Customer response quality</x:v>
      </x:c>
      <x:c r="E4" s="21" t="n">
        <x:v>1</x:v>
      </x:c>
      <x:c r="F4" s="20" t="str">
        <x:v>Ready</x:v>
      </x:c>
      <x:c r="G4" s="22" t="str">
        <x:v>Outcomes met; evidence reviewed</x:v>
      </x:c>
    </x:row>
    <x:row r="5">
      <x:c r="A5" s="19" t="str">
        <x:v>SYN-E004</x:v>
      </x:c>
      <x:c r="B5" s="20" t="str">
        <x:v>Operations</x:v>
      </x:c>
      <x:c r="C5" s="20" t="n">
        <x:v>5</x:v>
      </x:c>
      <x:c r="D5" s="20" t="str">
        <x:v>Capability building</x:v>
      </x:c>
      <x:c r="E5" s="21" t="n">
        <x:v>1</x:v>
      </x:c>
      <x:c r="F5" s="20" t="str">
        <x:v>Ready</x:v>
      </x:c>
      <x:c r="G5" s="22" t="str">
        <x:v>Outcomes met; evidence reviewed</x:v>
      </x:c>
    </x:row>
    <x:row r="6">
      <x:c r="A6" s="19" t="str">
        <x:v>SYN-E005</x:v>
      </x:c>
      <x:c r="B6" s="20" t="str">
        <x:v>People</x:v>
      </x:c>
      <x:c r="C6" s="20" t="n">
        <x:v>5</x:v>
      </x:c>
      <x:c r="D6" s="20" t="str">
        <x:v>Cross-team partnership</x:v>
      </x:c>
      <x:c r="E6" s="21" t="n">
        <x:v>1</x:v>
      </x:c>
      <x:c r="F6" s="20" t="str">
        <x:v>Ready</x:v>
      </x:c>
      <x:c r="G6" s="22" t="str">
        <x:v>Outcomes met; evidence reviewed</x:v>
      </x:c>
    </x:row>
    <x:row r="7">
      <x:c r="A7" s="19" t="str">
        <x:v>SYN-E006</x:v>
      </x:c>
      <x:c r="B7" s="20" t="str">
        <x:v>Finance</x:v>
      </x:c>
      <x:c r="C7" s="20" t="n">
        <x:v>4</x:v>
      </x:c>
      <x:c r="D7" s="20" t="str">
        <x:v>Operational readiness</x:v>
      </x:c>
      <x:c r="E7" s="21" t="n">
        <x:v>0.84</x:v>
      </x:c>
      <x:c r="F7" s="20" t="str">
        <x:v>Confirm</x:v>
      </x:c>
      <x:c r="G7" s="22" t="str">
        <x:v>Outcomes met; evidence reviewed</x:v>
      </x:c>
    </x:row>
    <x:row r="8">
      <x:c r="A8" s="19" t="str">
        <x:v>SYN-E007</x:v>
      </x:c>
      <x:c r="B8" s="20" t="str">
        <x:v>Product</x:v>
      </x:c>
      <x:c r="C8" s="20" t="n">
        <x:v>4</x:v>
      </x:c>
      <x:c r="D8" s="20" t="str">
        <x:v>Delivery reliability</x:v>
      </x:c>
      <x:c r="E8" s="21" t="n">
        <x:v>0.92</x:v>
      </x:c>
      <x:c r="F8" s="20" t="str">
        <x:v>Confirm</x:v>
      </x:c>
      <x:c r="G8" s="22" t="str">
        <x:v>Outcomes met; evidence reviewed</x:v>
      </x:c>
    </x:row>
    <x:row r="9">
      <x:c r="A9" s="19" t="str">
        <x:v>SYN-E008</x:v>
      </x:c>
      <x:c r="B9" s="20" t="str">
        <x:v>Engineering</x:v>
      </x:c>
      <x:c r="C9" s="20" t="n">
        <x:v>4</x:v>
      </x:c>
      <x:c r="D9" s="20" t="str">
        <x:v>Process improvement</x:v>
      </x:c>
      <x:c r="E9" s="21" t="n">
        <x:v>0.88</x:v>
      </x:c>
      <x:c r="F9" s="20" t="str">
        <x:v>Confirm</x:v>
      </x:c>
      <x:c r="G9" s="22" t="str">
        <x:v>Outcomes met; evidence reviewed</x:v>
      </x:c>
    </x:row>
    <x:row r="10">
      <x:c r="A10" s="19" t="str">
        <x:v>SYN-E009</x:v>
      </x:c>
      <x:c r="B10" s="20" t="str">
        <x:v>Customer Success</x:v>
      </x:c>
      <x:c r="C10" s="20" t="n">
        <x:v>4</x:v>
      </x:c>
      <x:c r="D10" s="20" t="str">
        <x:v>Customer response quality</x:v>
      </x:c>
      <x:c r="E10" s="21" t="n">
        <x:v>0.84</x:v>
      </x:c>
      <x:c r="F10" s="20" t="str">
        <x:v>Confirm</x:v>
      </x:c>
      <x:c r="G10" s="22" t="str">
        <x:v>Outcomes met; evidence reviewed</x:v>
      </x:c>
    </x:row>
    <x:row r="11">
      <x:c r="A11" s="19" t="str">
        <x:v>SYN-E010</x:v>
      </x:c>
      <x:c r="B11" s="20" t="str">
        <x:v>Operations</x:v>
      </x:c>
      <x:c r="C11" s="20" t="n">
        <x:v>4</x:v>
      </x:c>
      <x:c r="D11" s="20" t="str">
        <x:v>Capability building</x:v>
      </x:c>
      <x:c r="E11" s="21" t="n">
        <x:v>0.92</x:v>
      </x:c>
      <x:c r="F11" s="20" t="str">
        <x:v>Confirm</x:v>
      </x:c>
      <x:c r="G11" s="22" t="str">
        <x:v>Outcomes met; evidence reviewed</x:v>
      </x:c>
    </x:row>
    <x:row r="12">
      <x:c r="A12" s="19" t="str">
        <x:v>SYN-E011</x:v>
      </x:c>
      <x:c r="B12" s="20" t="str">
        <x:v>People</x:v>
      </x:c>
      <x:c r="C12" s="20" t="n">
        <x:v>4</x:v>
      </x:c>
      <x:c r="D12" s="20" t="str">
        <x:v>Cross-team partnership</x:v>
      </x:c>
      <x:c r="E12" s="21" t="n">
        <x:v>0.88</x:v>
      </x:c>
      <x:c r="F12" s="20" t="str">
        <x:v>Confirm</x:v>
      </x:c>
      <x:c r="G12" s="22" t="str">
        <x:v>Outcomes met; evidence reviewed</x:v>
      </x:c>
    </x:row>
    <x:row r="13">
      <x:c r="A13" s="19" t="str">
        <x:v>SYN-E012</x:v>
      </x:c>
      <x:c r="B13" s="20" t="str">
        <x:v>Finance</x:v>
      </x:c>
      <x:c r="C13" s="20" t="n">
        <x:v>4</x:v>
      </x:c>
      <x:c r="D13" s="20" t="str">
        <x:v>Operational readiness</x:v>
      </x:c>
      <x:c r="E13" s="21" t="n">
        <x:v>0.84</x:v>
      </x:c>
      <x:c r="F13" s="20" t="str">
        <x:v>Confirm</x:v>
      </x:c>
      <x:c r="G13" s="22" t="str">
        <x:v>Outcomes met; evidence reviewed</x:v>
      </x:c>
    </x:row>
    <x:row r="14">
      <x:c r="A14" s="19" t="str">
        <x:v>SYN-E013</x:v>
      </x:c>
      <x:c r="B14" s="20" t="str">
        <x:v>Product</x:v>
      </x:c>
      <x:c r="C14" s="20" t="n">
        <x:v>4</x:v>
      </x:c>
      <x:c r="D14" s="20" t="str">
        <x:v>Delivery reliability</x:v>
      </x:c>
      <x:c r="E14" s="21" t="n">
        <x:v>0.92</x:v>
      </x:c>
      <x:c r="F14" s="20" t="str">
        <x:v>Confirm</x:v>
      </x:c>
      <x:c r="G14" s="22" t="str">
        <x:v>Outcomes met; evidence reviewed</x:v>
      </x:c>
    </x:row>
    <x:row r="15">
      <x:c r="A15" s="19" t="str">
        <x:v>SYN-E014</x:v>
      </x:c>
      <x:c r="B15" s="20" t="str">
        <x:v>Engineering</x:v>
      </x:c>
      <x:c r="C15" s="20" t="n">
        <x:v>4</x:v>
      </x:c>
      <x:c r="D15" s="20" t="str">
        <x:v>Process improvement</x:v>
      </x:c>
      <x:c r="E15" s="21" t="n">
        <x:v>0.88</x:v>
      </x:c>
      <x:c r="F15" s="20" t="str">
        <x:v>Confirm</x:v>
      </x:c>
      <x:c r="G15" s="22" t="str">
        <x:v>Outcomes met; evidence reviewed</x:v>
      </x:c>
    </x:row>
    <x:row r="16">
      <x:c r="A16" s="19" t="str">
        <x:v>SYN-E015</x:v>
      </x:c>
      <x:c r="B16" s="20" t="str">
        <x:v>Customer Success</x:v>
      </x:c>
      <x:c r="C16" s="20" t="n">
        <x:v>4</x:v>
      </x:c>
      <x:c r="D16" s="20" t="str">
        <x:v>Customer response quality</x:v>
      </x:c>
      <x:c r="E16" s="21" t="n">
        <x:v>0.84</x:v>
      </x:c>
      <x:c r="F16" s="20" t="str">
        <x:v>Confirm</x:v>
      </x:c>
      <x:c r="G16" s="22" t="str">
        <x:v>Outcomes met; evidence reviewed</x:v>
      </x:c>
    </x:row>
    <x:row r="17">
      <x:c r="A17" s="19" t="str">
        <x:v>SYN-E016</x:v>
      </x:c>
      <x:c r="B17" s="20" t="str">
        <x:v>Operations</x:v>
      </x:c>
      <x:c r="C17" s="20" t="n">
        <x:v>4</x:v>
      </x:c>
      <x:c r="D17" s="20" t="str">
        <x:v>Capability building</x:v>
      </x:c>
      <x:c r="E17" s="21" t="n">
        <x:v>0.92</x:v>
      </x:c>
      <x:c r="F17" s="20" t="str">
        <x:v>Confirm</x:v>
      </x:c>
      <x:c r="G17" s="22" t="str">
        <x:v>Outcomes met; evidence reviewed</x:v>
      </x:c>
    </x:row>
    <x:row r="18">
      <x:c r="A18" s="19" t="str">
        <x:v>SYN-E017</x:v>
      </x:c>
      <x:c r="B18" s="20" t="str">
        <x:v>People</x:v>
      </x:c>
      <x:c r="C18" s="20" t="n">
        <x:v>4</x:v>
      </x:c>
      <x:c r="D18" s="20" t="str">
        <x:v>Cross-team partnership</x:v>
      </x:c>
      <x:c r="E18" s="21" t="n">
        <x:v>0.88</x:v>
      </x:c>
      <x:c r="F18" s="20" t="str">
        <x:v>Confirm</x:v>
      </x:c>
      <x:c r="G18" s="22" t="str">
        <x:v>Outcomes met; evidence reviewed</x:v>
      </x:c>
    </x:row>
    <x:row r="19">
      <x:c r="A19" s="19" t="str">
        <x:v>SYN-E018</x:v>
      </x:c>
      <x:c r="B19" s="20" t="str">
        <x:v>Finance</x:v>
      </x:c>
      <x:c r="C19" s="20" t="n">
        <x:v>4</x:v>
      </x:c>
      <x:c r="D19" s="20" t="str">
        <x:v>Operational readiness</x:v>
      </x:c>
      <x:c r="E19" s="21" t="n">
        <x:v>0.84</x:v>
      </x:c>
      <x:c r="F19" s="20" t="str">
        <x:v>Confirm</x:v>
      </x:c>
      <x:c r="G19" s="22" t="str">
        <x:v>Outcomes met; evidence reviewed</x:v>
      </x:c>
    </x:row>
    <x:row r="20">
      <x:c r="A20" s="19" t="str">
        <x:v>SYN-E019</x:v>
      </x:c>
      <x:c r="B20" s="20" t="str">
        <x:v>Product</x:v>
      </x:c>
      <x:c r="C20" s="20" t="n">
        <x:v>4</x:v>
      </x:c>
      <x:c r="D20" s="20" t="str">
        <x:v>Delivery reliability</x:v>
      </x:c>
      <x:c r="E20" s="21" t="n">
        <x:v>0.92</x:v>
      </x:c>
      <x:c r="F20" s="20" t="str">
        <x:v>Confirm</x:v>
      </x:c>
      <x:c r="G20" s="22" t="str">
        <x:v>Outcomes met; evidence reviewed</x:v>
      </x:c>
    </x:row>
    <x:row r="21">
      <x:c r="A21" s="19" t="str">
        <x:v>SYN-E020</x:v>
      </x:c>
      <x:c r="B21" s="20" t="str">
        <x:v>Engineering</x:v>
      </x:c>
      <x:c r="C21" s="20" t="n">
        <x:v>4</x:v>
      </x:c>
      <x:c r="D21" s="20" t="str">
        <x:v>Process improvement</x:v>
      </x:c>
      <x:c r="E21" s="21" t="n">
        <x:v>0.88</x:v>
      </x:c>
      <x:c r="F21" s="20" t="str">
        <x:v>Confirm</x:v>
      </x:c>
      <x:c r="G21" s="22" t="str">
        <x:v>Outcomes met; evidence reviewed</x:v>
      </x:c>
    </x:row>
    <x:row r="22">
      <x:c r="A22" s="19" t="str">
        <x:v>SYN-E021</x:v>
      </x:c>
      <x:c r="B22" s="20" t="str">
        <x:v>Customer Success</x:v>
      </x:c>
      <x:c r="C22" s="20" t="n">
        <x:v>4</x:v>
      </x:c>
      <x:c r="D22" s="20" t="str">
        <x:v>Customer response quality</x:v>
      </x:c>
      <x:c r="E22" s="21" t="n">
        <x:v>0.84</x:v>
      </x:c>
      <x:c r="F22" s="20" t="str">
        <x:v>Confirm</x:v>
      </x:c>
      <x:c r="G22" s="22" t="str">
        <x:v>Outcomes met; evidence reviewed</x:v>
      </x:c>
    </x:row>
    <x:row r="23">
      <x:c r="A23" s="19" t="str">
        <x:v>SYN-E022</x:v>
      </x:c>
      <x:c r="B23" s="20" t="str">
        <x:v>Operations</x:v>
      </x:c>
      <x:c r="C23" s="20" t="n">
        <x:v>4</x:v>
      </x:c>
      <x:c r="D23" s="20" t="str">
        <x:v>Capability building</x:v>
      </x:c>
      <x:c r="E23" s="21" t="n">
        <x:v>0.92</x:v>
      </x:c>
      <x:c r="F23" s="20" t="str">
        <x:v>Confirm</x:v>
      </x:c>
      <x:c r="G23" s="22" t="str">
        <x:v>Outcomes met; evidence reviewed</x:v>
      </x:c>
    </x:row>
    <x:row r="24">
      <x:c r="A24" s="19" t="str">
        <x:v>SYN-E023</x:v>
      </x:c>
      <x:c r="B24" s="20" t="str">
        <x:v>People</x:v>
      </x:c>
      <x:c r="C24" s="20" t="n">
        <x:v>3</x:v>
      </x:c>
      <x:c r="D24" s="20" t="str">
        <x:v>Cross-team partnership</x:v>
      </x:c>
      <x:c r="E24" s="21" t="n">
        <x:v>0.71</x:v>
      </x:c>
      <x:c r="F24" s="20" t="str">
        <x:v>Develop</x:v>
      </x:c>
      <x:c r="G24" s="22" t="str">
        <x:v>Progress and support plan reviewed</x:v>
      </x:c>
    </x:row>
    <x:row r="25">
      <x:c r="A25" s="19" t="str">
        <x:v>SYN-E024</x:v>
      </x:c>
      <x:c r="B25" s="20" t="str">
        <x:v>Finance</x:v>
      </x:c>
      <x:c r="C25" s="20" t="n">
        <x:v>3</x:v>
      </x:c>
      <x:c r="D25" s="20" t="str">
        <x:v>Operational readiness</x:v>
      </x:c>
      <x:c r="E25" s="21" t="n">
        <x:v>0.66</x:v>
      </x:c>
      <x:c r="F25" s="20" t="str">
        <x:v>Develop</x:v>
      </x:c>
      <x:c r="G25" s="22" t="str">
        <x:v>Progress and support plan reviewed</x:v>
      </x:c>
    </x:row>
    <x:row r="26">
      <x:c r="A26" s="19" t="str">
        <x:v>SYN-E025</x:v>
      </x:c>
      <x:c r="B26" s="20" t="str">
        <x:v>Product</x:v>
      </x:c>
      <x:c r="C26" s="20" t="n">
        <x:v>3</x:v>
      </x:c>
      <x:c r="D26" s="20" t="str">
        <x:v>Delivery reliability</x:v>
      </x:c>
      <x:c r="E26" s="21" t="n">
        <x:v>0.76</x:v>
      </x:c>
      <x:c r="F26" s="20" t="str">
        <x:v>Develop</x:v>
      </x:c>
      <x:c r="G26" s="22" t="str">
        <x:v>Progress and support plan reviewed</x:v>
      </x:c>
    </x:row>
    <x:row r="27">
      <x:c r="A27" s="19" t="str">
        <x:v>SYN-E026</x:v>
      </x:c>
      <x:c r="B27" s="20" t="str">
        <x:v>Engineering</x:v>
      </x:c>
      <x:c r="C27" s="20" t="n">
        <x:v>3</x:v>
      </x:c>
      <x:c r="D27" s="20" t="str">
        <x:v>Process improvement</x:v>
      </x:c>
      <x:c r="E27" s="21" t="n">
        <x:v>0.71</x:v>
      </x:c>
      <x:c r="F27" s="20" t="str">
        <x:v>Develop</x:v>
      </x:c>
      <x:c r="G27" s="22" t="str">
        <x:v>Progress and support plan reviewed</x:v>
      </x:c>
    </x:row>
    <x:row r="28">
      <x:c r="A28" s="19" t="str">
        <x:v>SYN-E027</x:v>
      </x:c>
      <x:c r="B28" s="20" t="str">
        <x:v>Customer Success</x:v>
      </x:c>
      <x:c r="C28" s="20" t="n">
        <x:v>3</x:v>
      </x:c>
      <x:c r="D28" s="20" t="str">
        <x:v>Customer response quality</x:v>
      </x:c>
      <x:c r="E28" s="21" t="n">
        <x:v>0.66</x:v>
      </x:c>
      <x:c r="F28" s="20" t="str">
        <x:v>Develop</x:v>
      </x:c>
      <x:c r="G28" s="22" t="str">
        <x:v>Progress and support plan reviewed</x:v>
      </x:c>
    </x:row>
    <x:row r="29">
      <x:c r="A29" s="19" t="str">
        <x:v>SYN-E028</x:v>
      </x:c>
      <x:c r="B29" s="20" t="str">
        <x:v>Operations</x:v>
      </x:c>
      <x:c r="C29" s="20" t="n">
        <x:v>3</x:v>
      </x:c>
      <x:c r="D29" s="20" t="str">
        <x:v>Capability building</x:v>
      </x:c>
      <x:c r="E29" s="21" t="n">
        <x:v>0.76</x:v>
      </x:c>
      <x:c r="F29" s="20" t="str">
        <x:v>Develop</x:v>
      </x:c>
      <x:c r="G29" s="22" t="str">
        <x:v>Progress and support plan reviewed</x:v>
      </x:c>
    </x:row>
    <x:row r="30">
      <x:c r="A30" s="19" t="str">
        <x:v>SYN-E029</x:v>
      </x:c>
      <x:c r="B30" s="20" t="str">
        <x:v>People</x:v>
      </x:c>
      <x:c r="C30" s="20" t="n">
        <x:v>3</x:v>
      </x:c>
      <x:c r="D30" s="20" t="str">
        <x:v>Cross-team partnership</x:v>
      </x:c>
      <x:c r="E30" s="21" t="n">
        <x:v>0.71</x:v>
      </x:c>
      <x:c r="F30" s="20" t="str">
        <x:v>Develop</x:v>
      </x:c>
      <x:c r="G30" s="22" t="str">
        <x:v>Progress and support plan reviewed</x:v>
      </x:c>
    </x:row>
    <x:row r="31">
      <x:c r="A31" s="19" t="str">
        <x:v>SYN-E030</x:v>
      </x:c>
      <x:c r="B31" s="20" t="str">
        <x:v>Finance</x:v>
      </x:c>
      <x:c r="C31" s="20" t="n">
        <x:v>3</x:v>
      </x:c>
      <x:c r="D31" s="20" t="str">
        <x:v>Operational readiness</x:v>
      </x:c>
      <x:c r="E31" s="21" t="n">
        <x:v>0.66</x:v>
      </x:c>
      <x:c r="F31" s="20" t="str">
        <x:v>Develop</x:v>
      </x:c>
      <x:c r="G31" s="22" t="str">
        <x:v>Progress and support plan reviewed</x:v>
      </x:c>
    </x:row>
    <x:row r="32">
      <x:c r="A32" s="19" t="str">
        <x:v>SYN-E031</x:v>
      </x:c>
      <x:c r="B32" s="20" t="str">
        <x:v>Product</x:v>
      </x:c>
      <x:c r="C32" s="20" t="n">
        <x:v>3</x:v>
      </x:c>
      <x:c r="D32" s="20" t="str">
        <x:v>Delivery reliability</x:v>
      </x:c>
      <x:c r="E32" s="21" t="n">
        <x:v>0.76</x:v>
      </x:c>
      <x:c r="F32" s="20" t="str">
        <x:v>Develop</x:v>
      </x:c>
      <x:c r="G32" s="22" t="str">
        <x:v>Progress and support plan reviewed</x:v>
      </x:c>
    </x:row>
    <x:row r="33">
      <x:c r="A33" s="19" t="str">
        <x:v>SYN-E032</x:v>
      </x:c>
      <x:c r="B33" s="20" t="str">
        <x:v>Engineering</x:v>
      </x:c>
      <x:c r="C33" s="20" t="n">
        <x:v>3</x:v>
      </x:c>
      <x:c r="D33" s="20" t="str">
        <x:v>Process improvement</x:v>
      </x:c>
      <x:c r="E33" s="21" t="n">
        <x:v>0.71</x:v>
      </x:c>
      <x:c r="F33" s="20" t="str">
        <x:v>Develop</x:v>
      </x:c>
      <x:c r="G33" s="22" t="str">
        <x:v>Progress and support plan reviewed</x:v>
      </x:c>
    </x:row>
    <x:row r="34">
      <x:c r="A34" s="19" t="str">
        <x:v>SYN-E033</x:v>
      </x:c>
      <x:c r="B34" s="20" t="str">
        <x:v>Customer Success</x:v>
      </x:c>
      <x:c r="C34" s="20" t="n">
        <x:v>3</x:v>
      </x:c>
      <x:c r="D34" s="20" t="str">
        <x:v>Customer response quality</x:v>
      </x:c>
      <x:c r="E34" s="21" t="n">
        <x:v>0.66</x:v>
      </x:c>
      <x:c r="F34" s="20" t="str">
        <x:v>Develop</x:v>
      </x:c>
      <x:c r="G34" s="22" t="str">
        <x:v>Progress and support plan reviewed</x:v>
      </x:c>
    </x:row>
    <x:row r="35">
      <x:c r="A35" s="19" t="str">
        <x:v>SYN-E034</x:v>
      </x:c>
      <x:c r="B35" s="20" t="str">
        <x:v>Operations</x:v>
      </x:c>
      <x:c r="C35" s="20" t="n">
        <x:v>2</x:v>
      </x:c>
      <x:c r="D35" s="20" t="str">
        <x:v>Capability building</x:v>
      </x:c>
      <x:c r="E35" s="21" t="n">
        <x:v>0.55</x:v>
      </x:c>
      <x:c r="F35" s="20" t="str">
        <x:v>Support</x:v>
      </x:c>
      <x:c r="G35" s="22" t="str">
        <x:v>Progress and support plan reviewed</x:v>
      </x:c>
    </x:row>
    <x:row r="36">
      <x:c r="A36" s="19" t="str">
        <x:v>SYN-E035</x:v>
      </x:c>
      <x:c r="B36" s="20" t="str">
        <x:v>People</x:v>
      </x:c>
      <x:c r="C36" s="20" t="n">
        <x:v>2</x:v>
      </x:c>
      <x:c r="D36" s="20" t="str">
        <x:v>Cross-team partnership</x:v>
      </x:c>
      <x:c r="E36" s="21" t="n">
        <x:v>0.6</x:v>
      </x:c>
      <x:c r="F36" s="20" t="str">
        <x:v>Support</x:v>
      </x:c>
      <x:c r="G36" s="22" t="str">
        <x:v>Progress and support plan reviewed</x:v>
      </x:c>
    </x:row>
    <x:row r="37">
      <x:c r="A37" s="23" t="str">
        <x:v>SYN-E036</x:v>
      </x:c>
      <x:c r="B37" s="24" t="str">
        <x:v>Finance</x:v>
      </x:c>
      <x:c r="C37" s="24" t="n">
        <x:v>2</x:v>
      </x:c>
      <x:c r="D37" s="24" t="str">
        <x:v>Operational readiness</x:v>
      </x:c>
      <x:c r="E37" s="25" t="n">
        <x:v>0.58</x:v>
      </x:c>
      <x:c r="F37" s="24" t="str">
        <x:v>Support</x:v>
      </x:c>
      <x:c r="G37" s="26" t="str">
        <x:v>Progress and support plan reviewed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</x:cols>
  <x:sheetData>
    <x:row r="1">
      <x:c r="A1" s="9" t="str">
        <x:v>Workbook guidance</x:v>
      </x:c>
      <x:c r="B1" s="9" t="str">
        <x:v>Detail</x:v>
      </x:c>
    </x:row>
    <x:row r="2">
      <x:c r="A2" s="14" t="str">
        <x:v>Purpose</x:v>
      </x:c>
      <x:c r="B2" s="14" t="str">
        <x:v>Auditable tracker for a synthetic H1 2026 cycle.</x:v>
      </x:c>
    </x:row>
    <x:row r="3">
      <x:c r="A3" s="14" t="str">
        <x:v>Source</x:v>
      </x:c>
      <x:c r="B3" s="14" t="str">
        <x:v>Review Data is the source of truth.</x:v>
      </x:c>
    </x:row>
    <x:row r="4">
      <x:c r="A4" s="14" t="str">
        <x:v>Formula policy</x:v>
      </x:c>
      <x:c r="B4" s="14" t="str">
        <x:v>Summary cells are formulas referencing Review Data.</x:v>
      </x:c>
    </x:row>
    <x:row r="5">
      <x:c r="A5" s="14" t="str">
        <x:v>Privacy</x:v>
      </x:c>
      <x:c r="B5" s="14" t="str">
        <x:v>No names, contacts, employee IDs, or sensitive traits.</x:v>
      </x:c>
    </x:row>
    <x:row r="6">
      <x:c r="A6" s="14" t="str">
        <x:v>Review date</x:v>
      </x:c>
      <x:c r="B6" s="14" t="str">
        <x:v>2026-08-18</x:v>
      </x:c>
    </x:row>
  </x:sheetData>
  <x:pageMargins left="0.7" right="0.7" top="0.75" bottom="0.75" header="0.3" footer="0.3"/>
</x:worksheet>
</file>