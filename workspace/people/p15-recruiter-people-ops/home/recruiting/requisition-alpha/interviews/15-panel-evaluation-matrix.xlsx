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9fc6c8afe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Matrix" sheetId="1" r:id="Rc7c3fb8b609441d2"/>
    <x:sheet xmlns:r="http://schemas.openxmlformats.org/officeDocument/2006/relationships" name="Rubric" sheetId="2" r:id="R644aa6968253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203040"/>
      <x:name val="Arial"/>
    </x:font>
    <x:font>
      <x:b/>
      <x:sz val="16"/>
      <x:color rgb="FFFFFFFF"/>
      <x:name val="Arial"/>
    </x:font>
    <x:font>
      <x:sz val="10"/>
      <x:color rgb="FF5B2C6F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5B2C6F"/>
      </x:patternFill>
    </x:fill>
    <x:fill>
      <x:patternFill patternType="solid">
        <x:fgColor rgb="FFF4EEF6"/>
      </x:patternFill>
    </x:fill>
    <x:fill>
      <x:patternFill patternType="solid">
        <x:fgColor rgb="FF247B7B"/>
      </x:patternFill>
    </x:fill>
    <x:fill>
      <x:patternFill patternType="solid">
        <x:fgColor rgb="FFDFF3EA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0f3ebaaf846cd" /><Relationship Type="http://schemas.openxmlformats.org/officeDocument/2006/relationships/theme" Target="/xl/theme/theme1.xml" Id="Ref67fa36eaf448cd" /><Relationship Type="http://schemas.openxmlformats.org/officeDocument/2006/relationships/sharedStrings" Target="/xl/sharedStrings.xml" Id="Rf46c80f1791c4e78" /><Relationship Type="http://schemas.openxmlformats.org/officeDocument/2006/relationships/worksheet" Target="/xl/worksheets/sheet1.xml" Id="Rc7c3fb8b609441d2" /><Relationship Type="http://schemas.openxmlformats.org/officeDocument/2006/relationships/worksheet" Target="/xl/worksheets/sheet2.xml" Id="R644aa69682534f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4" hidden="0" customWidth="1"/>
    <x:col min="7" max="7" width="14" hidden="0" customWidth="1"/>
    <x:col min="8" max="8" width="38" hidden="0" customWidth="1"/>
  </x:cols>
  <x:sheetData>
    <x:row r="1" ht="30" customHeight="1">
      <x:c r="A1" s="6" t="str">
        <x:v>Orchid People | Requisition Alpha - Panel Evaluation Matrix</x:v>
      </x:c>
      <x:c r="B1" s="6"/>
      <x:c r="C1" s="6"/>
      <x:c r="D1" s="6"/>
      <x:c r="E1" s="6"/>
      <x:c r="F1" s="6"/>
      <x:c r="G1" s="6"/>
      <x:c r="H1" s="6"/>
    </x:row>
    <x:row r="2">
      <x:c r="A2" s="9" t="str">
        <x:v>People Analytics Partner | Tokyo hybrid | 18 Aug 2026 | 3 openings | Approved role range JPY 7.2-8.4M</x:v>
      </x:c>
      <x:c r="B2" s="9" t="str"/>
      <x:c r="C2" s="9" t="str"/>
      <x:c r="D2" s="9" t="str"/>
      <x:c r="E2" s="9" t="str"/>
      <x:c r="F2" s="9" t="str"/>
      <x:c r="G2" s="9" t="str"/>
      <x:c r="H2" s="9" t="str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13" t="str">
        <x:v>Candidate ID</x:v>
      </x:c>
      <x:c r="B4" s="13" t="str">
        <x:v>Analytical partnership</x:v>
      </x:c>
      <x:c r="C4" s="13" t="str">
        <x:v>Stakeholder influence</x:v>
      </x:c>
      <x:c r="D4" s="13" t="str">
        <x:v>Responsible data practice</x:v>
      </x:c>
      <x:c r="E4" s="13" t="str">
        <x:v>Execution</x:v>
      </x:c>
      <x:c r="F4" s="13" t="str">
        <x:v>Composite</x:v>
      </x:c>
      <x:c r="G4" s="13" t="str">
        <x:v>Panel outcome</x:v>
      </x:c>
      <x:c r="H4" s="13" t="str">
        <x:v>Calibration note</x:v>
      </x:c>
    </x:row>
    <x:row r="5">
      <x:c r="A5" s="14" t="str">
        <x:v>A01</x:v>
      </x:c>
      <x:c r="B5" s="15" t="n">
        <x:v>5</x:v>
      </x:c>
      <x:c r="C5" s="15" t="n">
        <x:v>5</x:v>
      </x:c>
      <x:c r="D5" s="15" t="n">
        <x:v>5</x:v>
      </x:c>
      <x:c r="E5" s="15" t="n">
        <x:v>4</x:v>
      </x:c>
      <x:c r="F5" s="15" t="n">
        <x:f>SUM(B5:E5)</x:f>
        <x:v>19</x:v>
      </x:c>
      <x:c r="G5" s="16" t="str">
        <x:f>IF(F5&gt;=17,"Advance","Hold")</x:f>
        <x:v>Advance</x:v>
      </x:c>
      <x:c r="H5" s="14" t="str">
        <x:v>Evidence complete; advance for opening 1.</x:v>
      </x:c>
    </x:row>
    <x:row r="6">
      <x:c r="A6" s="14" t="str">
        <x:v>A02</x:v>
      </x:c>
      <x:c r="B6" s="15" t="n">
        <x:v>4</x:v>
      </x:c>
      <x:c r="C6" s="15" t="n">
        <x:v>5</x:v>
      </x:c>
      <x:c r="D6" s="15" t="n">
        <x:v>4</x:v>
      </x:c>
      <x:c r="E6" s="15" t="n">
        <x:v>5</x:v>
      </x:c>
      <x:c r="F6" s="15" t="n">
        <x:f>SUM(B6:E6)</x:f>
        <x:v>18</x:v>
      </x:c>
      <x:c r="G6" s="16" t="str">
        <x:f>IF(F6&gt;=17,"Advance","Hold")</x:f>
        <x:v>Advance</x:v>
      </x:c>
      <x:c r="H6" s="14" t="str">
        <x:v>Evidence complete; advance for opening 2.</x:v>
      </x:c>
    </x:row>
    <x:row r="7">
      <x:c r="A7" s="14" t="str">
        <x:v>A03</x:v>
      </x:c>
      <x:c r="B7" s="15" t="n">
        <x:v>4</x:v>
      </x:c>
      <x:c r="C7" s="15" t="n">
        <x:v>4</x:v>
      </x:c>
      <x:c r="D7" s="15" t="n">
        <x:v>5</x:v>
      </x:c>
      <x:c r="E7" s="15" t="n">
        <x:v>4</x:v>
      </x:c>
      <x:c r="F7" s="15" t="n">
        <x:f>SUM(B7:E7)</x:f>
        <x:v>17</x:v>
      </x:c>
      <x:c r="G7" s="16" t="str">
        <x:f>IF(F7&gt;=17,"Advance","Hold")</x:f>
        <x:v>Advance</x:v>
      </x:c>
      <x:c r="H7" s="14" t="str">
        <x:v>Evidence complete; advance for opening 3.</x:v>
      </x:c>
    </x:row>
    <x:row r="8">
      <x:c r="A8" s="14" t="str">
        <x:v>A04</x:v>
      </x:c>
      <x:c r="B8" s="15" t="n">
        <x:v>3</x:v>
      </x:c>
      <x:c r="C8" s="15" t="n">
        <x:v>4</x:v>
      </x:c>
      <x:c r="D8" s="15" t="n">
        <x:v>4</x:v>
      </x:c>
      <x:c r="E8" s="15" t="n">
        <x:v>3</x:v>
      </x:c>
      <x:c r="F8" s="15" t="n">
        <x:f>SUM(B8:E8)</x:f>
        <x:v>14</x:v>
      </x:c>
      <x:c r="G8" s="17" t="str">
        <x:f>IF(F8&gt;=17,"Advance","Hold")</x:f>
        <x:v>Hold</x:v>
      </x:c>
      <x:c r="H8" s="14" t="str">
        <x:v>Comparative hold; no unsupported inference.</x:v>
      </x:c>
    </x:row>
    <x:row r="9">
      <x:c r="A9" s="14" t="str">
        <x:v>A05</x:v>
      </x:c>
      <x:c r="B9" s="15" t="n">
        <x:v>3</x:v>
      </x:c>
      <x:c r="C9" s="15" t="n">
        <x:v>3</x:v>
      </x:c>
      <x:c r="D9" s="15" t="n">
        <x:v>3</x:v>
      </x:c>
      <x:c r="E9" s="15" t="n">
        <x:v>4</x:v>
      </x:c>
      <x:c r="F9" s="15" t="n">
        <x:f>SUM(B9:E9)</x:f>
        <x:v>13</x:v>
      </x:c>
      <x:c r="G9" s="17" t="str">
        <x:f>IF(F9&gt;=17,"Advance","Hold")</x:f>
        <x:v>Hold</x:v>
      </x:c>
      <x:c r="H9" s="14" t="str">
        <x:v>Comparative hold; no unsupported inference.</x:v>
      </x:c>
    </x:row>
    <x:row r="10">
      <x:c r="A10" s="3"/>
      <x:c r="B10" s="3"/>
      <x:c r="C10" s="3"/>
      <x:c r="D10" s="3"/>
      <x:c r="E10" s="3"/>
      <x:c r="F10" s="3"/>
      <x:c r="G10" s="3"/>
      <x:c r="H10" s="3"/>
    </x:row>
    <x:row r="11">
      <x:c r="A11" s="3"/>
      <x:c r="B11" s="3"/>
      <x:c r="C11" s="3"/>
      <x:c r="D11" s="3"/>
      <x:c r="E11" s="3"/>
      <x:c r="F11" s="3"/>
      <x:c r="G11" s="3"/>
      <x:c r="H11" s="3"/>
    </x:row>
    <x:row r="12" ht="28" customHeight="1">
      <x:c r="A12" s="13" t="str">
        <x:v>Decision controls</x:v>
      </x:c>
      <x:c r="B12" s="13" t="str">
        <x:v>Status</x:v>
      </x:c>
      <x:c r="C12" s="13" t="str">
        <x:v>Owner</x:v>
      </x:c>
      <x:c r="D12" s="13" t="str">
        <x:v>Due</x:v>
      </x:c>
      <x:c r="E12" s="3"/>
      <x:c r="F12" s="3"/>
      <x:c r="G12" s="3"/>
      <x:c r="H12" s="3"/>
    </x:row>
    <x:row r="13" ht="28" customHeight="1">
      <x:c r="A13" s="14" t="str">
        <x:v>Same structured rubric used</x:v>
      </x:c>
      <x:c r="B13" s="14" t="str">
        <x:v>Complete</x:v>
      </x:c>
      <x:c r="C13" s="14" t="str">
        <x:v>Panel</x:v>
      </x:c>
      <x:c r="D13" s="14" t="str">
        <x:v>2026-08-18</x:v>
      </x:c>
      <x:c r="E13" s="3"/>
      <x:c r="F13" s="3"/>
      <x:c r="G13" s="3"/>
      <x:c r="H13" s="3"/>
    </x:row>
    <x:row r="14" ht="28" customHeight="1">
      <x:c r="A14" s="14" t="str">
        <x:v>Accommodation check recorded</x:v>
      </x:c>
      <x:c r="B14" s="14" t="str">
        <x:v>Complete</x:v>
      </x:c>
      <x:c r="C14" s="14" t="str">
        <x:v>People Ops</x:v>
      </x:c>
      <x:c r="D14" s="14" t="str">
        <x:v>2026-08-19</x:v>
      </x:c>
      <x:c r="E14" s="3"/>
      <x:c r="F14" s="3"/>
      <x:c r="G14" s="3"/>
      <x:c r="H14" s="3"/>
    </x:row>
    <x:row r="15" ht="28" customHeight="1">
      <x:c r="A15" s="14" t="str">
        <x:v>Scorecard completeness review</x:v>
      </x:c>
      <x:c r="B15" s="14" t="str">
        <x:v>Pending</x:v>
      </x:c>
      <x:c r="C15" s="14" t="str">
        <x:v>People Ops</x:v>
      </x:c>
      <x:c r="D15" s="14" t="str">
        <x:v>2026-08-19</x:v>
      </x:c>
      <x:c r="E15" s="3"/>
      <x:c r="F15" s="3"/>
      <x:c r="G15" s="3"/>
      <x:c r="H15" s="3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20" hidden="0" customWidth="1"/>
  </x:cols>
  <x:sheetData>
    <x:row r="1">
      <x:c r="A1" s="13" t="str">
        <x:v>Competency rubric</x:v>
      </x:c>
      <x:c r="B1" s="13" t="str">
        <x:v>Observable standard</x:v>
      </x:c>
      <x:c r="C1" s="13" t="str">
        <x:v>Score anchor</x:v>
      </x:c>
    </x:row>
    <x:row r="2">
      <x:c r="A2" s="14" t="str">
        <x:v>Analytical partnership</x:v>
      </x:c>
      <x:c r="B2" s="14" t="str">
        <x:v>Translate workforce questions into measurable, decision-ready insight.</x:v>
      </x:c>
      <x:c r="C2" s="14" t="str">
        <x:v>1-5 evidence scale</x:v>
      </x:c>
    </x:row>
    <x:row r="3">
      <x:c r="A3" s="14" t="str">
        <x:v>Stakeholder influence</x:v>
      </x:c>
      <x:c r="B3" s="14" t="str">
        <x:v>Align People, Finance, and leaders with clear trade-offs.</x:v>
      </x:c>
      <x:c r="C3" s="14" t="str">
        <x:v>1-5 evidence scale</x:v>
      </x:c>
    </x:row>
    <x:row r="4">
      <x:c r="A4" s="14" t="str">
        <x:v>Responsible data practice</x:v>
      </x:c>
      <x:c r="B4" s="14" t="str">
        <x:v>Protect privacy and challenge biased assumptions.</x:v>
      </x:c>
      <x:c r="C4" s="14" t="str">
        <x:v>1-5 evidence scale</x:v>
      </x:c>
    </x:row>
    <x:row r="5">
      <x:c r="A5" s="14" t="str">
        <x:v>Execution</x:v>
      </x:c>
      <x:c r="B5" s="14" t="str">
        <x:v>Turn a scoped problem into a practical, adoption-ready plan.</x:v>
      </x:c>
      <x:c r="C5" s="14" t="str">
        <x:v>1-5 evidence scale</x:v>
      </x:c>
    </x:row>
  </x:sheetData>
  <x:pageMargins left="0.7" right="0.7" top="0.75" bottom="0.75" header="0.3" footer="0.3"/>
</x:worksheet>
</file>