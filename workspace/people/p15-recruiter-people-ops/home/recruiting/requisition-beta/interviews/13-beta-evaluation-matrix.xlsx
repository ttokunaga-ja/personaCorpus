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52b187244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Matrix" sheetId="1" r:id="R1f8c70397a354136"/>
    <x:sheet xmlns:r="http://schemas.openxmlformats.org/officeDocument/2006/relationships" name="Rubric" sheetId="2" r:id="R13bdf1755992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6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i/>
      <x:sz val="10"/>
      <x:color rgb="FF5B3F8C"/>
      <x:name val="Aptos"/>
    </x:font>
    <x:font>
      <x:b/>
      <x:sz val="10"/>
      <x:color rgb="FF174A4A"/>
      <x:name val="Aptos"/>
    </x:font>
    <x:font>
      <x:i/>
      <x:sz val="10"/>
      <x:color rgb="FF6B4F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5B3F8C"/>
      </x:patternFill>
    </x:fill>
    <x:fill>
      <x:patternFill patternType="solid">
        <x:fgColor rgb="FFF3EEF8"/>
      </x:patternFill>
    </x:fill>
    <x:fill>
      <x:patternFill patternType="solid">
        <x:fgColor rgb="FFDDEFEF"/>
      </x:patternFill>
    </x:fill>
    <x:fill>
      <x:patternFill patternType="solid">
        <x:fgColor rgb="FFFFF5D6"/>
      </x:patternFill>
    </x:fill>
  </x:fills>
  <x:borders count="2">
    <x:border/>
    <x:border>
      <x:left style="thin">
        <x:color rgb="FFC9D7D7"/>
      </x:left>
      <x:right style="thin">
        <x:color rgb="FFC9D7D7"/>
      </x:right>
      <x:top style="thin">
        <x:color rgb="FFC9D7D7"/>
      </x:top>
      <x:bottom style="thin">
        <x:color rgb="FFC9D7D7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84f3f562e4009" /><Relationship Type="http://schemas.openxmlformats.org/officeDocument/2006/relationships/theme" Target="/xl/theme/theme1.xml" Id="Rc4ea758f45fc4e2a" /><Relationship Type="http://schemas.openxmlformats.org/officeDocument/2006/relationships/sharedStrings" Target="/xl/sharedStrings.xml" Id="Read7941e875f4039" /><Relationship Type="http://schemas.openxmlformats.org/officeDocument/2006/relationships/worksheet" Target="/xl/worksheets/sheet1.xml" Id="R1f8c70397a354136" /><Relationship Type="http://schemas.openxmlformats.org/officeDocument/2006/relationships/worksheet" Target="/xl/worksheets/sheet2.xml" Id="R13bdf175599245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1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38" hidden="0" customWidth="1"/>
  </x:cols>
  <x:sheetData>
    <x:row r="1" ht="32" customHeight="1">
      <x:c r="A1" s="6" t="str">
        <x:v>Requisition Beta | Evaluation Matrix</x:v>
      </x:c>
      <x:c r="B1" s="6"/>
      <x:c r="C1" s="6"/>
      <x:c r="D1" s="6"/>
      <x:c r="E1" s="6"/>
      <x:c r="F1" s="6"/>
      <x:c r="G1" s="6"/>
      <x:c r="H1" s="6"/>
    </x:row>
    <x:row r="2">
      <x:c r="A2" s="9" t="str">
        <x:v>Talent Operations Specialist • Tokyo hybrid • 2 openings • Interview date: 2026-08-18</x:v>
      </x:c>
      <x:c r="B2" s="9"/>
      <x:c r="C2" s="9"/>
      <x:c r="D2" s="9"/>
      <x:c r="E2" s="9"/>
      <x:c r="F2" s="9"/>
      <x:c r="G2" s="9"/>
      <x:c r="H2" s="9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3" t="str">
        <x:v>Candidate</x:v>
      </x:c>
      <x:c r="B4" s="13" t="str">
        <x:v>Operations design</x:v>
      </x:c>
      <x:c r="C4" s="13" t="str">
        <x:v>Stakeholder coordination</x:v>
      </x:c>
      <x:c r="D4" s="13" t="str">
        <x:v>Candidate experience</x:v>
      </x:c>
      <x:c r="E4" s="13" t="str">
        <x:v>Judgment</x:v>
      </x:c>
      <x:c r="F4" s="13" t="str">
        <x:v>Weighted score</x:v>
      </x:c>
      <x:c r="G4" s="13" t="str">
        <x:v>Decision</x:v>
      </x:c>
      <x:c r="H4" s="13" t="str">
        <x:v>Fairness check</x:v>
      </x:c>
    </x:row>
    <x:row r="5">
      <x:c r="A5" s="14" t="str">
        <x:v>B01</x:v>
      </x:c>
      <x:c r="B5" s="14" t="n">
        <x:v>5</x:v>
      </x:c>
      <x:c r="C5" s="14" t="n">
        <x:v>4</x:v>
      </x:c>
      <x:c r="D5" s="14" t="n">
        <x:v>4</x:v>
      </x:c>
      <x:c r="E5" s="14" t="n">
        <x:v>5</x:v>
      </x:c>
      <x:c r="F5" s="18" t="n">
        <x:f>B5*'Rubric'!$B$2+C5*'Rubric'!$B$3+D5*'Rubric'!$B$4+E5*'Rubric'!$B$5</x:f>
        <x:v>4.55</x:v>
      </x:c>
      <x:c r="G5" s="14" t="str">
        <x:f>IF(F5&gt;=4.2,"Recommended",IF(F5&gt;=3.5,"Alternate","Not selected"))</x:f>
        <x:v>Recommended</x:v>
      </x:c>
      <x:c r="H5" s="14" t="str">
        <x:v>Same prompts; independent scores recorded</x:v>
      </x:c>
    </x:row>
    <x:row r="6">
      <x:c r="A6" s="14" t="str">
        <x:v>B02</x:v>
      </x:c>
      <x:c r="B6" s="14" t="n">
        <x:v>4</x:v>
      </x:c>
      <x:c r="C6" s="14" t="n">
        <x:v>4</x:v>
      </x:c>
      <x:c r="D6" s="14" t="n">
        <x:v>4</x:v>
      </x:c>
      <x:c r="E6" s="14" t="n">
        <x:v>4</x:v>
      </x:c>
      <x:c r="F6" s="18" t="n">
        <x:f>B6*'Rubric'!$B$2+C6*'Rubric'!$B$3+D6*'Rubric'!$B$4+E6*'Rubric'!$B$5</x:f>
        <x:v>4</x:v>
      </x:c>
      <x:c r="G6" s="14" t="str">
        <x:f>IF(F6&gt;=4.2,"Recommended",IF(F6&gt;=3.5,"Alternate","Not selected"))</x:f>
        <x:v>Alternate</x:v>
      </x:c>
      <x:c r="H6" s="14" t="str">
        <x:v>Same prompts; independent scores recorded</x:v>
      </x:c>
    </x:row>
    <x:row r="7">
      <x:c r="A7" s="14" t="str">
        <x:v>B03</x:v>
      </x:c>
      <x:c r="B7" s="14" t="n">
        <x:v>4</x:v>
      </x:c>
      <x:c r="C7" s="14" t="n">
        <x:v>3</x:v>
      </x:c>
      <x:c r="D7" s="14" t="n">
        <x:v>4</x:v>
      </x:c>
      <x:c r="E7" s="14" t="n">
        <x:v>3</x:v>
      </x:c>
      <x:c r="F7" s="18" t="n">
        <x:f>B7*'Rubric'!$B$2+C7*'Rubric'!$B$3+D7*'Rubric'!$B$4+E7*'Rubric'!$B$5</x:f>
        <x:v>3.5500000000000003</x:v>
      </x:c>
      <x:c r="G7" s="14" t="str">
        <x:f>IF(F7&gt;=4.2,"Recommended",IF(F7&gt;=3.5,"Alternate","Not selected"))</x:f>
        <x:v>Alternate</x:v>
      </x:c>
      <x:c r="H7" s="14" t="str">
        <x:v>Same prompts; independent scores recorded</x:v>
      </x:c>
    </x:row>
    <x:row r="8">
      <x:c r="A8" s="14" t="str">
        <x:v>B04</x:v>
      </x:c>
      <x:c r="B8" s="14" t="n">
        <x:v>3</x:v>
      </x:c>
      <x:c r="C8" s="14" t="n">
        <x:v>3</x:v>
      </x:c>
      <x:c r="D8" s="14" t="n">
        <x:v>3</x:v>
      </x:c>
      <x:c r="E8" s="14" t="n">
        <x:v>3</x:v>
      </x:c>
      <x:c r="F8" s="18" t="n">
        <x:f>B8*'Rubric'!$B$2+C8*'Rubric'!$B$3+D8*'Rubric'!$B$4+E8*'Rubric'!$B$5</x:f>
        <x:v>3</x:v>
      </x:c>
      <x:c r="G8" s="14" t="str">
        <x:f>IF(F8&gt;=4.2,"Recommended",IF(F8&gt;=3.5,"Alternate","Not selected"))</x:f>
        <x:v>Not selected</x:v>
      </x:c>
      <x:c r="H8" s="14" t="str">
        <x:v>Same prompts; independent scores recorded</x:v>
      </x:c>
    </x:row>
    <x:row r="9">
      <x:c r="A9" s="14" t="str">
        <x:v>B05</x:v>
      </x:c>
      <x:c r="B9" s="14" t="n">
        <x:v>2</x:v>
      </x:c>
      <x:c r="C9" s="14" t="n">
        <x:v>3</x:v>
      </x:c>
      <x:c r="D9" s="14" t="n">
        <x:v>3</x:v>
      </x:c>
      <x:c r="E9" s="14" t="n">
        <x:v>2</x:v>
      </x:c>
      <x:c r="F9" s="18" t="n">
        <x:f>B9*'Rubric'!$B$2+C9*'Rubric'!$B$3+D9*'Rubric'!$B$4+E9*'Rubric'!$B$5</x:f>
        <x:v>2.4499999999999997</x:v>
      </x:c>
      <x:c r="G9" s="14" t="str">
        <x:f>IF(F9&gt;=4.2,"Recommended",IF(F9&gt;=3.5,"Alternate","Not selected"))</x:f>
        <x:v>Not selected</x:v>
      </x:c>
      <x:c r="H9" s="14" t="str">
        <x:v>Same prompts; independent scores recorded</x:v>
      </x:c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16" t="str">
        <x:v>Decision rule: two highest Recommended candidates are B01 and B02; qualitative evidence remains required alongside scores.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0" hidden="0" customWidth="1"/>
  </x:cols>
  <x:sheetData>
    <x:row r="1">
      <x:c r="A1" s="17" t="str">
        <x:v>Competency</x:v>
      </x:c>
      <x:c r="B1" s="17" t="str">
        <x:v>Weight</x:v>
      </x:c>
      <x:c r="C1" s="17" t="str">
        <x:v>Observable signal</x:v>
      </x:c>
    </x:row>
    <x:row r="2">
      <x:c r="A2" s="14" t="str">
        <x:v>Operations design</x:v>
      </x:c>
      <x:c r="B2" s="19" t="n">
        <x:v>0.35</x:v>
      </x:c>
      <x:c r="C2" s="14" t="str">
        <x:v>Intake triage, handoff design, and operating rhythm</x:v>
      </x:c>
    </x:row>
    <x:row r="3">
      <x:c r="A3" s="14" t="str">
        <x:v>Stakeholder coordination</x:v>
      </x:c>
      <x:c r="B3" s="19" t="n">
        <x:v>0.25</x:v>
      </x:c>
      <x:c r="C3" s="14" t="str">
        <x:v>Clarifies owners and resolves competing priorities</x:v>
      </x:c>
    </x:row>
    <x:row r="4">
      <x:c r="A4" s="14" t="str">
        <x:v>Candidate experience</x:v>
      </x:c>
      <x:c r="B4" s="19" t="n">
        <x:v>0.2</x:v>
      </x:c>
      <x:c r="C4" s="14" t="str">
        <x:v>Creates clear, equitable updates and access</x:v>
      </x:c>
    </x:row>
    <x:row r="5">
      <x:c r="A5" s="14" t="str">
        <x:v>Judgment</x:v>
      </x:c>
      <x:c r="B5" s="19" t="n">
        <x:v>0.2</x:v>
      </x:c>
      <x:c r="C5" s="14" t="str">
        <x:v>Names trigger, action, decision, and measure</x:v>
      </x:c>
    </x:row>
  </x:sheetData>
  <x:pageMargins left="0.7" right="0.7" top="0.75" bottom="0.75" header="0.3" footer="0.3"/>
</x:worksheet>
</file>