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82ebff97b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peline Summary" sheetId="1" r:id="R548c6852b9fb4968"/>
    <x:sheet xmlns:r="http://schemas.openxmlformats.org/officeDocument/2006/relationships" name="Candidate Tracker" sheetId="2" r:id="Re05dae9f971f4ee7"/>
    <x:sheet xmlns:r="http://schemas.openxmlformats.org/officeDocument/2006/relationships" name="Lists" sheetId="3" r:id="R9fbefbe9589141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i/>
      <x:sz val="10"/>
      <x:color rgb="FF5B6472"/>
      <x:name val="Carlito"/>
    </x:font>
    <x:font>
      <x:i/>
      <x:sz val="9"/>
      <x:color rgb="FF5B6472"/>
      <x:name val="Carlito"/>
    </x:font>
    <x:font>
      <x:b/>
      <x:sz val="14"/>
      <x:color rgb="FF6B3FA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B3FA0"/>
      </x:patternFill>
    </x:fill>
    <x:fill>
      <x:patternFill patternType="solid">
        <x:fgColor rgb="FF17233C"/>
      </x:patternFill>
    </x:fill>
    <x:fill>
      <x:patternFill patternType="solid">
        <x:fgColor rgb="FFF1EBF8"/>
      </x:patternFill>
    </x:fill>
  </x:fills>
  <x:borders count="2">
    <x:border/>
    <x:border>
      <x:left style="thin">
        <x:color rgb="FFDED5E8"/>
      </x:left>
      <x:right style="thin">
        <x:color rgb="FFDED5E8"/>
      </x:right>
      <x:top style="thin">
        <x:color rgb="FFDED5E8"/>
      </x:top>
      <x:bottom style="thin">
        <x:color rgb="FFDED5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713ba130754bf2" /><Relationship Type="http://schemas.openxmlformats.org/officeDocument/2006/relationships/theme" Target="/xl/theme/theme1.xml" Id="Rfc667ef8d1324f52" /><Relationship Type="http://schemas.openxmlformats.org/officeDocument/2006/relationships/sharedStrings" Target="/xl/sharedStrings.xml" Id="R0c789351c63c4a79" /><Relationship Type="http://schemas.openxmlformats.org/officeDocument/2006/relationships/worksheet" Target="/xl/worksheets/sheet1.xml" Id="R548c6852b9fb4968" /><Relationship Type="http://schemas.openxmlformats.org/officeDocument/2006/relationships/worksheet" Target="/xl/worksheets/sheet2.xml" Id="Re05dae9f971f4ee7" /><Relationship Type="http://schemas.openxmlformats.org/officeDocument/2006/relationships/worksheet" Target="/xl/worksheets/sheet3.xml" Id="R9fbefbe9589141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5" hidden="0" customWidth="1"/>
    <x:col min="4" max="4" width="26" hidden="0" customWidth="1"/>
    <x:col min="5" max="5" width="12" hidden="0" customWidth="1"/>
    <x:col min="6" max="6" width="27" hidden="0" customWidth="1"/>
    <x:col min="7" max="7" width="5" hidden="0" customWidth="1"/>
    <x:col min="8" max="8" width="5" hidden="0" customWidth="1"/>
  </x:cols>
  <x:sheetData>
    <x:row r="1" ht="32" customHeight="1">
      <x:c r="A1" s="10" t="str">
        <x:v>ORCHID PEOPLE | REQUISITION BETA | PIPELINE SUMMARY</x:v>
      </x:c>
      <x:c r="B1" s="10"/>
      <x:c r="C1" s="10"/>
      <x:c r="D1" s="10"/>
      <x:c r="E1" s="10"/>
      <x:c r="F1" s="10"/>
      <x:c r="G1" s="10"/>
      <x:c r="H1" s="10"/>
    </x:row>
    <x:row r="2">
      <x:c r="A2" s="12" t="str">
        <x:v>Synthetic recruiting planning view | Talent Operations Specialist | Tokyo hybrid | 2 openings</x:v>
      </x:c>
      <x:c r="B2" s="12"/>
      <x:c r="C2" s="12"/>
      <x:c r="D2" s="12"/>
      <x:c r="E2" s="12"/>
      <x:c r="F2" s="12"/>
      <x:c r="G2" s="12"/>
      <x:c r="H2" s="12"/>
    </x:row>
    <x:row r="4">
      <x:c r="A4" s="6" t="str">
        <x:v>Metric</x:v>
      </x:c>
      <x:c r="B4" s="6" t="str">
        <x:v>Value</x:v>
      </x:c>
      <x:c r="D4" s="6" t="str">
        <x:v>Stage</x:v>
      </x:c>
      <x:c r="E4" s="6" t="str">
        <x:v>Count</x:v>
      </x:c>
      <x:c r="F4" s="6" t="str">
        <x:v>Action</x:v>
      </x:c>
    </x:row>
    <x:row r="5">
      <x:c r="A5" s="7" t="str">
        <x:v>Candidate records</x:v>
      </x:c>
      <x:c r="B5" s="19" t="n">
        <x:f>COUNTA('Candidate Tracker'!A5:A9)</x:f>
        <x:v>5</x:v>
      </x:c>
      <x:c r="D5" s="7" t="str">
        <x:v>Panel recommended</x:v>
      </x:c>
      <x:c r="E5" s="7" t="n">
        <x:f>COUNTIF('Candidate Tracker'!B5:B9,D5)</x:f>
        <x:v>1</x:v>
      </x:c>
      <x:c r="F5" s="7" t="str">
        <x:v>Panel conversation</x:v>
      </x:c>
    </x:row>
    <x:row r="6">
      <x:c r="A6" s="7" t="str">
        <x:v>Advance-ready</x:v>
      </x:c>
      <x:c r="B6" s="19" t="n">
        <x:f>COUNTIF('Candidate Tracker'!H5:H9,"Advance to screen")</x:f>
        <x:v>3</x:v>
      </x:c>
      <x:c r="D6" s="7" t="str">
        <x:v>Screen recommended</x:v>
      </x:c>
      <x:c r="E6" s="7" t="n">
        <x:f>COUNTIF('Candidate Tracker'!B6:B10,D6)</x:f>
        <x:v>2</x:v>
      </x:c>
      <x:c r="F6" s="7" t="str">
        <x:v>Structured screen</x:v>
      </x:c>
    </x:row>
    <x:row r="7">
      <x:c r="A7" s="7" t="str">
        <x:v>Average evidence score</x:v>
      </x:c>
      <x:c r="B7" s="19" t="n">
        <x:f>ROUND(AVERAGE('Candidate Tracker'!G5:G9),0)</x:f>
        <x:v>77</x:v>
      </x:c>
      <x:c r="D7" s="7" t="str">
        <x:v>Hold - evidence gap</x:v>
      </x:c>
      <x:c r="E7" s="7" t="n">
        <x:f>COUNTIF('Candidate Tracker'!B7:B11,D7)</x:f>
        <x:v>1</x:v>
      </x:c>
      <x:c r="F7" s="7" t="str">
        <x:v>Request work sample</x:v>
      </x:c>
    </x:row>
    <x:row r="8">
      <x:c r="D8" s="7" t="str">
        <x:v>Hold - calibration</x:v>
      </x:c>
      <x:c r="E8" s="7" t="n">
        <x:f>COUNTIF('Candidate Tracker'!B8:B12,D8)</x:f>
        <x:v>1</x:v>
      </x:c>
      <x:c r="F8" s="7" t="str">
        <x:v>Review sourcing exercise</x:v>
      </x:c>
    </x:row>
    <x:row r="9">
      <x:c r="D9" s="21" t="str">
        <x:v>Total</x:v>
      </x:c>
      <x:c r="E9" s="21" t="n">
        <x:f>SUM(E5:E8)</x:f>
        <x:v>5</x:v>
      </x:c>
      <x:c r="F9" s="21" t="str"/>
    </x:row>
    <x:row r="10">
      <x:c r="A10" s="23" t="str">
        <x:v>Decision note: advance B01-B03 into consistent structured screens. B04 and B05 remain on focused evidence holds. All content is fictional and must not be treated as an employment record.</x:v>
      </x:c>
      <x:c r="B10" s="23"/>
      <x:c r="C10" s="23"/>
      <x:c r="D10" s="23"/>
      <x:c r="E10" s="23"/>
      <x:c r="F10" s="23"/>
      <x:c r="G10" s="23"/>
      <x:c r="H10" s="23"/>
    </x:row>
    <x:row r="11">
      <x:c r="A11" s="23"/>
      <x:c r="B11" s="23"/>
      <x:c r="C11" s="23"/>
      <x:c r="D11" s="23"/>
      <x:c r="E11" s="23"/>
      <x:c r="F11" s="23"/>
      <x:c r="G11" s="23"/>
      <x:c r="H11" s="23"/>
    </x:row>
  </x:sheetData>
  <x:mergeCells>
    <x:mergeCell ref="A1:H1"/>
    <x:mergeCell ref="A2:H2"/>
    <x:mergeCell ref="A10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2" hidden="0" customWidth="1"/>
    <x:col min="4" max="4" width="17" hidden="0" customWidth="1"/>
    <x:col min="5" max="5" width="12" hidden="0" customWidth="1"/>
    <x:col min="6" max="6" width="16" hidden="0" customWidth="1"/>
    <x:col min="7" max="7" width="13" hidden="0" customWidth="1"/>
    <x:col min="8" max="8" width="23" hidden="0" customWidth="1"/>
  </x:cols>
  <x:sheetData>
    <x:row r="1" ht="32" customHeight="1">
      <x:c r="A1" s="10" t="str">
        <x:v>ORCHID PEOPLE | REQUISITION BETA | SYNTHETIC PIPELINE TRACKER</x:v>
      </x:c>
      <x:c r="B1" s="10"/>
      <x:c r="C1" s="10"/>
      <x:c r="D1" s="10"/>
      <x:c r="E1" s="10"/>
      <x:c r="F1" s="10"/>
      <x:c r="G1" s="10"/>
      <x:c r="H1" s="10"/>
    </x:row>
    <x:row r="2">
      <x:c r="A2" s="12" t="str">
        <x:v>Talent Operations Specialist | Opened 2026-08-11 | Tokyo hybrid | 2 openings | JPY 5.8-6.8M planning band</x:v>
      </x:c>
      <x:c r="B2" s="12"/>
      <x:c r="C2" s="12"/>
      <x:c r="D2" s="12"/>
      <x:c r="E2" s="12"/>
      <x:c r="F2" s="12"/>
      <x:c r="G2" s="12"/>
      <x:c r="H2" s="12"/>
    </x:row>
    <x:row r="4">
      <x:c r="A4" s="6" t="str">
        <x:v>Candidate ID</x:v>
      </x:c>
      <x:c r="B4" s="6" t="str">
        <x:v>Stage</x:v>
      </x:c>
      <x:c r="C4" s="6" t="str">
        <x:v>Ops score</x:v>
      </x:c>
      <x:c r="D4" s="6" t="str">
        <x:v>Experience score</x:v>
      </x:c>
      <x:c r="E4" s="6" t="str">
        <x:v>Data score</x:v>
      </x:c>
      <x:c r="F4" s="6" t="str">
        <x:v>Partnership score</x:v>
      </x:c>
      <x:c r="G4" s="6" t="str">
        <x:v>Total score</x:v>
      </x:c>
      <x:c r="H4" s="6" t="str">
        <x:v>Next action</x:v>
      </x:c>
    </x:row>
    <x:row r="5">
      <x:c r="A5" s="13" t="str">
        <x:v>B01</x:v>
      </x:c>
      <x:c r="B5" s="13" t="str">
        <x:v>Panel recommended</x:v>
      </x:c>
      <x:c r="C5" s="15" t="n">
        <x:v>90</x:v>
      </x:c>
      <x:c r="D5" s="15" t="n">
        <x:v>88</x:v>
      </x:c>
      <x:c r="E5" s="15" t="n">
        <x:v>90</x:v>
      </x:c>
      <x:c r="F5" s="15" t="n">
        <x:v>84</x:v>
      </x:c>
      <x:c r="G5" s="15" t="n">
        <x:f>ROUND(AVERAGE(C5:F5),0)</x:f>
        <x:v>88</x:v>
      </x:c>
      <x:c r="H5" s="13" t="str">
        <x:v>Advance to screen</x:v>
      </x:c>
    </x:row>
    <x:row r="6">
      <x:c r="A6" s="13" t="str">
        <x:v>B02</x:v>
      </x:c>
      <x:c r="B6" s="13" t="str">
        <x:v>Screen recommended</x:v>
      </x:c>
      <x:c r="C6" s="15" t="n">
        <x:v>84</x:v>
      </x:c>
      <x:c r="D6" s="15" t="n">
        <x:v>80</x:v>
      </x:c>
      <x:c r="E6" s="15" t="n">
        <x:v>84</x:v>
      </x:c>
      <x:c r="F6" s="15" t="n">
        <x:v>80</x:v>
      </x:c>
      <x:c r="G6" s="15" t="n">
        <x:f>ROUND(AVERAGE(C6:F6),0)</x:f>
        <x:v>82</x:v>
      </x:c>
      <x:c r="H6" s="13" t="str">
        <x:v>Advance to screen</x:v>
      </x:c>
    </x:row>
    <x:row r="7">
      <x:c r="A7" s="13" t="str">
        <x:v>B03</x:v>
      </x:c>
      <x:c r="B7" s="13" t="str">
        <x:v>Screen recommended</x:v>
      </x:c>
      <x:c r="C7" s="15" t="n">
        <x:v>78</x:v>
      </x:c>
      <x:c r="D7" s="15" t="n">
        <x:v>84</x:v>
      </x:c>
      <x:c r="E7" s="15" t="n">
        <x:v>76</x:v>
      </x:c>
      <x:c r="F7" s="15" t="n">
        <x:v>78</x:v>
      </x:c>
      <x:c r="G7" s="15" t="n">
        <x:f>ROUND(AVERAGE(C7:F7),0)</x:f>
        <x:v>79</x:v>
      </x:c>
      <x:c r="H7" s="13" t="str">
        <x:v>Advance to screen</x:v>
      </x:c>
    </x:row>
    <x:row r="8">
      <x:c r="A8" s="13" t="str">
        <x:v>B04</x:v>
      </x:c>
      <x:c r="B8" s="13" t="str">
        <x:v>Hold - evidence gap</x:v>
      </x:c>
      <x:c r="C8" s="15" t="n">
        <x:v>68</x:v>
      </x:c>
      <x:c r="D8" s="15" t="n">
        <x:v>72</x:v>
      </x:c>
      <x:c r="E8" s="15" t="n">
        <x:v>56</x:v>
      </x:c>
      <x:c r="F8" s="15" t="n">
        <x:v>68</x:v>
      </x:c>
      <x:c r="G8" s="15" t="n">
        <x:f>ROUND(AVERAGE(C8:F8),0)</x:f>
        <x:v>66</x:v>
      </x:c>
      <x:c r="H8" s="13" t="str">
        <x:v>Hold for evidence</x:v>
      </x:c>
    </x:row>
    <x:row r="9">
      <x:c r="A9" s="13" t="str">
        <x:v>B05</x:v>
      </x:c>
      <x:c r="B9" s="13" t="str">
        <x:v>Hold - calibration</x:v>
      </x:c>
      <x:c r="C9" s="15" t="n">
        <x:v>66</x:v>
      </x:c>
      <x:c r="D9" s="15" t="n">
        <x:v>70</x:v>
      </x:c>
      <x:c r="E9" s="15" t="n">
        <x:v>72</x:v>
      </x:c>
      <x:c r="F9" s="15" t="n">
        <x:v>72</x:v>
      </x:c>
      <x:c r="G9" s="15" t="n">
        <x:f>ROUND(AVERAGE(C9:F9),0)</x:f>
        <x:v>70</x:v>
      </x:c>
      <x:c r="H9" s="13" t="str">
        <x:v>Hold for evidence</x:v>
      </x:c>
    </x:row>
    <x:row r="11">
      <x:c r="A11" s="17" t="str">
        <x:v>Evidence is synthetic and candidate IDs are non-identifying. Do not add names, contacts, resumes, addresses, or compensation history.</x:v>
      </x:c>
      <x:c r="B11" s="17"/>
      <x:c r="C11" s="17"/>
      <x:c r="D11" s="17"/>
      <x:c r="E11" s="17"/>
      <x:c r="F11" s="17"/>
      <x:c r="G11" s="17"/>
      <x:c r="H11" s="17"/>
    </x:row>
  </x:sheetData>
  <x:mergeCells>
    <x:mergeCell ref="A1:H1"/>
    <x:mergeCell ref="A2:H2"/>
    <x:mergeCell ref="A11:H11"/>
  </x:mergeCells>
  <x:conditionalFormatting sqref="G5:G9">
    <x:cfRule type="colorScale" priority="1">
      <x:colorScale>
        <x:cfvo type="min"/>
        <x:cfvo type="percentile" val="50"/>
        <x:cfvo type="max"/>
        <x:color rgb="FFFDE2E2"/>
        <x:color rgb="FFFFF3BF"/>
        <x:color rgb="FFDDF3E4"/>
      </x:colorScale>
    </x:cfRule>
  </x:conditionalFormatting>
  <x:dataValidations count="2">
    <x:dataValidation type="list" sqref="B5:B9">
      <x:formula1>'Lists'!$A$2:$A$5</x:formula1>
    </x:dataValidation>
    <x:dataValidation type="list" sqref="H5:H9">
      <x:formula1>'Lists'!$B$2:$B$3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6" t="str">
        <x:v>Stage</x:v>
      </x:c>
      <x:c r="B1" s="6" t="str">
        <x:v>Next action</x:v>
      </x:c>
      <x:c r="C1" s="7"/>
      <x:c r="D1" s="6" t="str">
        <x:v>Candidate ID</x:v>
      </x:c>
      <x:c r="E1" s="6" t="str">
        <x:v>Stage</x:v>
      </x:c>
    </x:row>
    <x:row r="2">
      <x:c r="A2" s="7" t="str">
        <x:v>Panel recommended</x:v>
      </x:c>
      <x:c r="B2" s="7" t="str">
        <x:v>Advance to screen</x:v>
      </x:c>
      <x:c r="C2" s="7"/>
      <x:c r="D2" s="7" t="str">
        <x:v>B01</x:v>
      </x:c>
      <x:c r="E2" s="7" t="str">
        <x:v>Panel recommended</x:v>
      </x:c>
    </x:row>
    <x:row r="3">
      <x:c r="A3" s="7" t="str">
        <x:v>Screen recommended</x:v>
      </x:c>
      <x:c r="B3" s="7" t="str">
        <x:v>Hold for evidence</x:v>
      </x:c>
      <x:c r="C3" s="7"/>
      <x:c r="D3" s="7" t="str">
        <x:v>B02</x:v>
      </x:c>
      <x:c r="E3" s="7" t="str">
        <x:v>Screen recommended</x:v>
      </x:c>
    </x:row>
    <x:row r="4">
      <x:c r="A4" s="7" t="str">
        <x:v>Hold - evidence gap</x:v>
      </x:c>
      <x:c r="B4" s="7"/>
      <x:c r="C4" s="7"/>
      <x:c r="D4" s="7" t="str">
        <x:v>B03</x:v>
      </x:c>
      <x:c r="E4" s="7" t="str">
        <x:v>Screen recommended</x:v>
      </x:c>
    </x:row>
    <x:row r="5">
      <x:c r="A5" s="7" t="str">
        <x:v>Hold - calibration</x:v>
      </x:c>
      <x:c r="B5" s="7"/>
      <x:c r="C5" s="7"/>
      <x:c r="D5" s="7" t="str">
        <x:v>B04</x:v>
      </x:c>
      <x:c r="E5" s="7" t="str">
        <x:v>Hold - evidence gap</x:v>
      </x:c>
    </x:row>
    <x:row r="6">
      <x:c r="A6" s="7"/>
      <x:c r="B6" s="7"/>
      <x:c r="C6" s="7"/>
      <x:c r="D6" s="7" t="str">
        <x:v>B05</x:v>
      </x:c>
      <x:c r="E6" s="7" t="str">
        <x:v>Hold - calibration</x:v>
      </x:c>
    </x:row>
  </x:sheetData>
  <x:pageMargins left="0.7" right="0.7" top="0.75" bottom="0.75" header="0.3" footer="0.3"/>
</x:worksheet>
</file>