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chid People Comp Bands 20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<sst xmlns="http://schemas.openxmlformats.org/spreadsheetml/2006/main" count="25" uniqueCount="25">
  <si>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 xml:space="preserve">Orchid People | Compensation Bands 2026</t>
  </si>
  <si>
    <t xml:space="preserve">Effective 2026-08-18 | Internal governance reference | Synthetic aggregated values only</t>
  </si>
  <si>
    <t xml:space="preserve">Band</t>
  </si>
  <si>
    <t xml:space="preserve">Minimum JPY</t>
  </si>
  <si>
    <t xml:space="preserve">Midpoint JPY</t>
  </si>
  <si>
    <t xml:space="preserve">Maximum JPY</t>
  </si>
  <si>
    <t xml:space="preserve">Spread</t>
  </si>
  <si>
    <t xml:space="preserve">Lower approval</t>
  </si>
  <si>
    <t xml:space="preserve">Upper approval</t>
  </si>
  <si>
    <t xml:space="preserve">Governance note</t>
  </si>
  <si>
    <t xml:space="preserve">P</t>
  </si>
  <si>
    <t xml:space="preserve">Talent Operations Specialist reference</t>
  </si>
  <si>
    <t xml:space="preserve">J</t>
  </si>
  <si>
    <t xml:space="preserve">People Analytics Partner reference</t>
  </si>
  <si>
    <t xml:space="preserve">Visible assumptions</t>
  </si>
  <si>
    <t xml:space="preserve">Value</t>
  </si>
  <si>
    <t xml:space="preserve">Below-midpoint review corridor</t>
  </si>
  <si>
    <t xml:space="preserve">Above-midpoint review corridor</t>
  </si>
  <si>
    <t xml:space="preserve">Governance caveat</t>
  </si>
  <si>
    <t xml:space="preserve">Purpose</t>
  </si>
  <si>
    <t xml:space="preserve">Range calibration and approval routing; not an individual pay decision.</t>
  </si>
  <si>
    <t xml:space="preserve">Market reference</t>
  </si>
  <si>
    <t xml:space="preserve">Synthetic, aggregated reference points only; refresh before operational use.</t>
  </si>
  <si>
    <t xml:space="preserve">Decision boundary</t>
  </si>
  <si>
    <t xml:space="preserve">People Ops and Finance review policy application; final decisions remain subject to internal approvals.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</si>
</sst>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Aptos Display"/>
      <family val="0"/>
      <charset val="1"/>
    </font>
    <font>
      <i val="true"/>
      <sz val="10"/>
      <color rgb="FF52616B"/>
      <name val="Calibri"/>
      <family val="0"/>
      <charset val="1"/>
    </font>
    <font>
      <sz val="11"/>
      <name val="Linux Libertine G"/>
      <family val="2"/>
    </font>
    <font>
      <b val="true"/>
      <sz val="10"/>
      <color rgb="FFFFFFFF"/>
      <name val="Aptos"/>
      <family val="0"/>
      <charset val="1"/>
    </font>
    <font>
      <sz val="11"/>
      <color rgb="FF1F2937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24D"/>
        <bgColor rgb="FF1F2937"/>
      </patternFill>
    </fill>
    <fill>
      <patternFill patternType="solid">
        <fgColor rgb="FF0F766E"/>
        <bgColor rgb="FF008080"/>
      </patternFill>
    </fill>
    <fill>
      <patternFill patternType="solid">
        <fgColor rgb="FFFFF7D6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/>
      <top style="thin">
        <color rgb="FFB9C7D0"/>
      </top>
      <bottom style="thin">
        <color rgb="FFB9C7D0"/>
      </bottom>
      <diagonal/>
    </border>
    <border diagonalUp="false" diagonalDown="false">
      <left/>
      <right/>
      <top style="thin">
        <color rgb="FFB9C7D0"/>
      </top>
      <bottom style="thin">
        <color rgb="FFB9C7D0"/>
      </bottom>
      <diagonal/>
    </border>
    <border diagonalUp="false" diagonalDown="false">
      <left/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B9C7D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16B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35.81"/>
    <col collapsed="false" customWidth="true" hidden="false" outlineLevel="0" max="2" min="2" style="0" width="29.84"/>
    <col collapsed="false" customWidth="true" hidden="false" outlineLevel="0" max="3" min="3" style="0" width="16.71"/>
    <col collapsed="false" customWidth="true" hidden="false" outlineLevel="0" max="4" min="4" style="0" width="23.87"/>
    <col collapsed="false" customWidth="true" hidden="false" outlineLevel="0" max="5" min="5" style="0" width="21.48"/>
    <col collapsed="false" customWidth="true" hidden="false" outlineLevel="0" max="6" min="6" style="0" width="23.87"/>
    <col collapsed="false" customWidth="true" hidden="false" outlineLevel="0" max="7" min="7" style="0" width="19.1"/>
    <col collapsed="false" customWidth="true" hidden="false" outlineLevel="0" max="8" min="8" style="0" width="40.58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customFormat="false" ht="15" hidden="false" customHeight="false" outlineLevel="0" collapsed="false">
      <c r="A5" s="7" t="s">
        <v>10</v>
      </c>
      <c r="B5" s="8" t="n">
        <v>5800000</v>
      </c>
      <c r="C5" s="8" t="n">
        <v>6300000</v>
      </c>
      <c r="D5" s="8" t="n">
        <v>6800000</v>
      </c>
      <c r="E5" s="9" t="n">
        <f aca="false">D5/B5-1</f>
        <v>0.172413793103448</v>
      </c>
      <c r="F5" s="8" t="n">
        <f aca="false">C5*(1-$B$10)</f>
        <v>5985000</v>
      </c>
      <c r="G5" s="8" t="n">
        <f aca="false">C5*(1+$B$11)</f>
        <v>6615000</v>
      </c>
      <c r="H5" s="7" t="s">
        <v>11</v>
      </c>
    </row>
    <row r="6" customFormat="false" ht="15" hidden="false" customHeight="false" outlineLevel="0" collapsed="false">
      <c r="A6" s="7" t="s">
        <v>12</v>
      </c>
      <c r="B6" s="8" t="n">
        <v>7200000</v>
      </c>
      <c r="C6" s="8" t="n">
        <v>7800000</v>
      </c>
      <c r="D6" s="8" t="n">
        <v>8400000</v>
      </c>
      <c r="E6" s="9" t="n">
        <f aca="false">D6/B6-1</f>
        <v>0.166666666666667</v>
      </c>
      <c r="F6" s="8" t="n">
        <f aca="false">C6*(1-$B$10)</f>
        <v>7410000</v>
      </c>
      <c r="G6" s="8" t="n">
        <f aca="false">C6*(1+$B$11)</f>
        <v>8190000</v>
      </c>
      <c r="H6" s="7" t="s">
        <v>13</v>
      </c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</row>
    <row r="9" customFormat="false" ht="15" hidden="false" customHeight="false" outlineLevel="0" collapsed="false">
      <c r="A9" s="4" t="s">
        <v>14</v>
      </c>
      <c r="B9" s="6" t="s">
        <v>15</v>
      </c>
      <c r="C9" s="7"/>
      <c r="D9" s="7"/>
      <c r="E9" s="7"/>
      <c r="F9" s="7"/>
      <c r="G9" s="7"/>
      <c r="H9" s="7"/>
    </row>
    <row r="10" customFormat="false" ht="15" hidden="false" customHeight="false" outlineLevel="0" collapsed="false">
      <c r="A10" s="7" t="s">
        <v>16</v>
      </c>
      <c r="B10" s="10" t="n">
        <v>0.05</v>
      </c>
      <c r="C10" s="7"/>
      <c r="D10" s="7"/>
      <c r="E10" s="7"/>
      <c r="F10" s="7"/>
      <c r="G10" s="7"/>
      <c r="H10" s="7"/>
    </row>
    <row r="11" customFormat="false" ht="15" hidden="false" customHeight="false" outlineLevel="0" collapsed="false">
      <c r="A11" s="7" t="s">
        <v>17</v>
      </c>
      <c r="B11" s="10" t="n">
        <v>0.05</v>
      </c>
      <c r="C11" s="7"/>
      <c r="D11" s="7"/>
      <c r="E11" s="7"/>
      <c r="F11" s="7"/>
      <c r="G11" s="7"/>
      <c r="H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</row>
    <row r="14" customFormat="false" ht="15" hidden="false" customHeight="false" outlineLevel="0" collapsed="false">
      <c r="A14" s="4" t="s">
        <v>18</v>
      </c>
      <c r="B14" s="5"/>
      <c r="C14" s="5"/>
      <c r="D14" s="5"/>
      <c r="E14" s="5"/>
      <c r="F14" s="5"/>
      <c r="G14" s="5"/>
      <c r="H14" s="6"/>
    </row>
    <row r="15" customFormat="false" ht="15" hidden="false" customHeight="false" outlineLevel="0" collapsed="false">
      <c r="A15" s="7" t="s">
        <v>19</v>
      </c>
      <c r="B15" s="7" t="s">
        <v>20</v>
      </c>
      <c r="C15" s="7"/>
      <c r="D15" s="7"/>
      <c r="E15" s="7"/>
      <c r="F15" s="7"/>
      <c r="G15" s="7"/>
      <c r="H15" s="7"/>
    </row>
    <row r="16" customFormat="false" ht="15" hidden="false" customHeight="false" outlineLevel="0" collapsed="false">
      <c r="A16" s="7" t="s">
        <v>21</v>
      </c>
      <c r="B16" s="7" t="s">
        <v>22</v>
      </c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7" t="s">
        <v>23</v>
      </c>
      <c r="B17" s="7" t="s">
        <v>24</v>
      </c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</row>
  </sheetData>
  <mergeCells count="5">
    <mergeCell ref="A1:H1"/>
    <mergeCell ref="A2:H2"/>
    <mergeCell ref="B15:H15"/>
    <mergeCell ref="B16:H16"/>
    <mergeCell ref="B17:H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