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1a22875fb4e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a6e5df3af647e4"/>
    <x:sheet xmlns:r="http://schemas.openxmlformats.org/officeDocument/2006/relationships" name="Inputs" sheetId="2" r:id="R3d43d64300ab4b4c"/>
    <x:sheet xmlns:r="http://schemas.openxmlformats.org/officeDocument/2006/relationships" name="Model" sheetId="3" r:id="R0fbe53e19daa49c6"/>
    <x:sheet xmlns:r="http://schemas.openxmlformats.org/officeDocument/2006/relationships" name="Checks" sheetId="4" r:id="R1af6637311534b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B5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7a6d335bed4c35" /><Relationship Type="http://schemas.openxmlformats.org/officeDocument/2006/relationships/theme" Target="/xl/theme/theme1.xml" Id="R2c13d466d6b348ef" /><Relationship Type="http://schemas.openxmlformats.org/officeDocument/2006/relationships/sharedStrings" Target="/xl/sharedStrings.xml" Id="R478dc72491fa4adc" /><Relationship Type="http://schemas.openxmlformats.org/officeDocument/2006/relationships/worksheet" Target="/xl/worksheets/sheet1.xml" Id="R4ea6e5df3af647e4" /><Relationship Type="http://schemas.openxmlformats.org/officeDocument/2006/relationships/worksheet" Target="/xl/worksheets/sheet2.xml" Id="R3d43d64300ab4b4c" /><Relationship Type="http://schemas.openxmlformats.org/officeDocument/2006/relationships/worksheet" Target="/xl/worksheets/sheet3.xml" Id="R0fbe53e19daa49c6" /><Relationship Type="http://schemas.openxmlformats.org/officeDocument/2006/relationships/worksheet" Target="/xl/worksheets/sheet4.xml" Id="R1af6637311534b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FY2026 Scenario Sensitivity</x:v>
      </x:c>
      <x:c r="B1" s="2"/>
      <x:c r="C1" s="2"/>
      <x:c r="D1" s="2"/>
    </x:row>
    <x:row r="2">
      <x:c r="A2" t="str">
        <x:v>Cedar Works | FY2026 Jan-Dec | Version 1.1 | Finance Controller</x:v>
      </x:c>
    </x:row>
    <x:row r="4">
      <x:c r="A4" s="4" t="str">
        <x:v>Metric</x:v>
      </x:c>
      <x:c r="B4" s="4" t="str">
        <x:v>FY2026 Budget JPY m</x:v>
      </x:c>
      <x:c r="C4" s="4" t="str">
        <x:v>Base Forecast JPY m</x:v>
      </x:c>
      <x:c r="D4" s="4" t="str">
        <x:v>Variance JPY m</x:v>
      </x:c>
    </x:row>
    <x:row r="5">
      <x:c r="A5" t="str">
        <x:v>Revenue</x:v>
      </x:c>
      <x:c r="B5" s="5" t="n">
        <x:f>'Model'!N4</x:f>
        <x:v>7400</x:v>
      </x:c>
      <x:c r="C5" s="5" t="n">
        <x:f>'Model'!N5</x:f>
        <x:v>7560</x:v>
      </x:c>
      <x:c r="D5" s="6" t="n">
        <x:f>C5-B5</x:f>
        <x:v>160</x:v>
      </x:c>
    </x:row>
    <x:row r="6">
      <x:c r="A6" t="str">
        <x:v>EBITDA</x:v>
      </x:c>
      <x:c r="B6" s="5" t="n">
        <x:f>'Model'!N9</x:f>
        <x:v>860</x:v>
      </x:c>
      <x:c r="C6" s="5" t="n">
        <x:f>'Model'!N10</x:f>
        <x:v>900</x:v>
      </x:c>
      <x:c r="D6" s="6" t="n">
        <x:f>C6-B6</x:f>
        <x:v>40</x:v>
      </x:c>
    </x:row>
    <x:row r="7">
      <x:c r="A7" t="str">
        <x:v>EBITDA Margin</x:v>
      </x:c>
      <x:c r="B7" s="7" t="n">
        <x:f>B6/B5</x:f>
        <x:v>0.11621621621621622</x:v>
      </x:c>
      <x:c r="C7" s="7" t="n">
        <x:f>C6/C5</x:f>
        <x:v>0.11904761904761904</x:v>
      </x:c>
      <x:c r="D7" s="7" t="n">
        <x:f>C7-B7</x:f>
        <x:v>0.0028314028314028183</x:v>
      </x:c>
    </x:row>
    <x:row r="9">
      <x:c r="A9" s="4" t="str">
        <x:v>Control</x:v>
      </x:c>
      <x:c r="B9" s="4" t="str">
        <x:v>Status</x:v>
      </x:c>
      <x:c r="C9" s="4" t="str">
        <x:v>Delta</x:v>
      </x:c>
    </x:row>
    <x:row r="10">
      <x:c r="A10" t="str">
        <x:v>Annual budget roll-up</x:v>
      </x:c>
      <x:c r="B10" s="6" t="str">
        <x:f>IF(AND(ABS(B5-7400)&lt;0.1,ABS(B6-860)&lt;0.1,ABS(C5-7560)&lt;0.1,ABS(C6-900)&lt;0.1),"PASS","FAIL")</x:f>
        <x:v>PASS</x:v>
      </x:c>
      <x:c r="C10" s="6" t="n">
        <x:f>B5-7400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Inputs and assumptions | Blue = editable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>
      <x:c r="A3" s="4" t="str">
        <x:v>Driver</x:v>
      </x:c>
      <x:c r="B3" s="4" t="str">
        <x:v>Unit</x:v>
      </x:c>
      <x:c r="C3" s="4" t="str">
        <x:v>Jan</x:v>
      </x:c>
      <x:c r="D3" s="4" t="str">
        <x:v>Feb</x:v>
      </x:c>
      <x:c r="E3" s="4" t="str">
        <x:v>Mar</x:v>
      </x:c>
      <x:c r="F3" s="4" t="str">
        <x:v>Apr</x:v>
      </x:c>
      <x:c r="G3" s="4" t="str">
        <x:v>May</x:v>
      </x:c>
      <x:c r="H3" s="4" t="str">
        <x:v>Jun</x:v>
      </x:c>
      <x:c r="I3" s="4" t="str">
        <x:v>Jul</x:v>
      </x:c>
      <x:c r="J3" s="4" t="str">
        <x:v>Aug</x:v>
      </x:c>
      <x:c r="K3" s="4" t="str">
        <x:v>Sep</x:v>
      </x:c>
      <x:c r="L3" s="4" t="str">
        <x:v>Oct</x:v>
      </x:c>
      <x:c r="M3" s="4" t="str">
        <x:v>Nov</x:v>
      </x:c>
      <x:c r="N3" s="4" t="str">
        <x:v>Dec</x:v>
      </x:c>
      <x:c r="O3" s="4" t="str">
        <x:v>FY2026</x:v>
      </x:c>
    </x:row>
    <x:row r="4">
      <x:c r="A4" t="str">
        <x:v>Budget Revenue</x:v>
      </x:c>
      <x:c r="B4" t="str">
        <x:v>JPY m</x:v>
      </x:c>
      <x:c r="C4" s="9" t="n">
        <x:v>580</x:v>
      </x:c>
      <x:c r="D4" s="9" t="n">
        <x:v>590</x:v>
      </x:c>
      <x:c r="E4" s="9" t="n">
        <x:v>630</x:v>
      </x:c>
      <x:c r="F4" s="9" t="n">
        <x:v>590</x:v>
      </x:c>
      <x:c r="G4" s="9" t="n">
        <x:v>600</x:v>
      </x:c>
      <x:c r="H4" s="9" t="n">
        <x:v>610</x:v>
      </x:c>
      <x:c r="I4" s="9" t="n">
        <x:v>620</x:v>
      </x:c>
      <x:c r="J4" s="9" t="n">
        <x:v>630</x:v>
      </x:c>
      <x:c r="K4" s="9" t="n">
        <x:v>640</x:v>
      </x:c>
      <x:c r="L4" s="9" t="n">
        <x:v>640</x:v>
      </x:c>
      <x:c r="M4" s="9" t="n">
        <x:v>640</x:v>
      </x:c>
      <x:c r="N4" s="9" t="n">
        <x:v>630</x:v>
      </x:c>
      <x:c r="O4" s="6" t="n">
        <x:f>SUM(C4:N4)</x:f>
        <x:v>7400</x:v>
      </x:c>
    </x:row>
    <x:row r="5">
      <x:c r="A5" t="str">
        <x:v>Base Revenue</x:v>
      </x:c>
      <x:c r="B5" t="str">
        <x:v>JPY m</x:v>
      </x:c>
      <x:c r="C5" s="9" t="n">
        <x:v>593</x:v>
      </x:c>
      <x:c r="D5" s="9" t="n">
        <x:v>604</x:v>
      </x:c>
      <x:c r="E5" s="9" t="n">
        <x:v>646</x:v>
      </x:c>
      <x:c r="F5" s="9" t="n">
        <x:v>602</x:v>
      </x:c>
      <x:c r="G5" s="9" t="n">
        <x:v>613</x:v>
      </x:c>
      <x:c r="H5" s="9" t="n">
        <x:v>624</x:v>
      </x:c>
      <x:c r="I5" s="9" t="n">
        <x:v>634</x:v>
      </x:c>
      <x:c r="J5" s="9" t="n">
        <x:v>644</x:v>
      </x:c>
      <x:c r="K5" s="9" t="n">
        <x:v>655</x:v>
      </x:c>
      <x:c r="L5" s="9" t="n">
        <x:v>655</x:v>
      </x:c>
      <x:c r="M5" s="9" t="n">
        <x:v>655</x:v>
      </x:c>
      <x:c r="N5" s="9" t="n">
        <x:v>635</x:v>
      </x:c>
      <x:c r="O5" s="6" t="n">
        <x:f>SUM(C5:N5)</x:f>
        <x:v>7560</x:v>
      </x:c>
    </x:row>
    <x:row r="6">
      <x:c r="A6" t="str">
        <x:v>COGS</x:v>
      </x:c>
      <x:c r="B6" t="str">
        <x:v>JPY m</x:v>
      </x:c>
      <x:c r="C6" s="9" t="n">
        <x:v>320</x:v>
      </x:c>
      <x:c r="D6" s="9" t="n">
        <x:v>325</x:v>
      </x:c>
      <x:c r="E6" s="9" t="n">
        <x:v>345</x:v>
      </x:c>
      <x:c r="F6" s="9" t="n">
        <x:v>320</x:v>
      </x:c>
      <x:c r="G6" s="9" t="n">
        <x:v>325</x:v>
      </x:c>
      <x:c r="H6" s="9" t="n">
        <x:v>330</x:v>
      </x:c>
      <x:c r="I6" s="9" t="n">
        <x:v>335</x:v>
      </x:c>
      <x:c r="J6" s="9" t="n">
        <x:v>340</x:v>
      </x:c>
      <x:c r="K6" s="9" t="n">
        <x:v>340</x:v>
      </x:c>
      <x:c r="L6" s="9" t="n">
        <x:v>340</x:v>
      </x:c>
      <x:c r="M6" s="9" t="n">
        <x:v>340</x:v>
      </x:c>
      <x:c r="N6" s="9" t="n">
        <x:v>340</x:v>
      </x:c>
      <x:c r="O6" s="6" t="n">
        <x:f>SUM(C6:N6)</x:f>
        <x:v>4000</x:v>
      </x:c>
    </x:row>
    <x:row r="7">
      <x:c r="A7" t="str">
        <x:v>Opex</x:v>
      </x:c>
      <x:c r="B7" t="str">
        <x:v>JPY m</x:v>
      </x:c>
      <x:c r="C7" s="9" t="n">
        <x:v>185</x:v>
      </x:c>
      <x:c r="D7" s="9" t="n">
        <x:v>195</x:v>
      </x:c>
      <x:c r="E7" s="9" t="n">
        <x:v>220</x:v>
      </x:c>
      <x:c r="F7" s="9" t="n">
        <x:v>210</x:v>
      </x:c>
      <x:c r="G7" s="9" t="n">
        <x:v>215</x:v>
      </x:c>
      <x:c r="H7" s="9" t="n">
        <x:v>215</x:v>
      </x:c>
      <x:c r="I7" s="9" t="n">
        <x:v>220</x:v>
      </x:c>
      <x:c r="J7" s="9" t="n">
        <x:v>215</x:v>
      </x:c>
      <x:c r="K7" s="9" t="n">
        <x:v>215</x:v>
      </x:c>
      <x:c r="L7" s="9" t="n">
        <x:v>215</x:v>
      </x:c>
      <x:c r="M7" s="9" t="n">
        <x:v>215</x:v>
      </x:c>
      <x:c r="N7" s="9" t="n">
        <x:v>220</x:v>
      </x:c>
      <x:c r="O7" s="6" t="n">
        <x:f>SUM(C7:N7)</x:f>
        <x:v>2540</x:v>
      </x:c>
    </x:row>
    <x:row r="8">
      <x:c r="A8" t="str">
        <x:v>Revenue</x:v>
      </x:c>
      <x:c r="B8" t="str">
        <x:v>JPY m</x:v>
      </x:c>
      <x:c r="C8" s="9" t="n">
        <x:v>580</x:v>
      </x:c>
      <x:c r="D8" s="9" t="n">
        <x:v>590</x:v>
      </x:c>
      <x:c r="E8" s="9" t="n">
        <x:v>630</x:v>
      </x:c>
      <x:c r="F8" s="9" t="n">
        <x:v>590</x:v>
      </x:c>
      <x:c r="G8" s="9" t="n">
        <x:v>600</x:v>
      </x:c>
      <x:c r="H8" s="9" t="n">
        <x:v>610</x:v>
      </x:c>
      <x:c r="I8" s="9" t="n">
        <x:v>620</x:v>
      </x:c>
      <x:c r="J8" s="9" t="n">
        <x:v>630</x:v>
      </x:c>
      <x:c r="K8" s="9" t="n">
        <x:v>640</x:v>
      </x:c>
      <x:c r="L8" s="9" t="n">
        <x:v>640</x:v>
      </x:c>
      <x:c r="M8" s="9" t="n">
        <x:v>640</x:v>
      </x:c>
      <x:c r="N8" s="9" t="n">
        <x:v>630</x:v>
      </x:c>
      <x:c r="O8" s="6" t="n">
        <x:f>SUM(C8:N8)</x:f>
        <x:v>7400</x:v>
      </x:c>
    </x:row>
    <x:row r="9">
      <x:c r="A9" t="str">
        <x:v>Capex</x:v>
      </x:c>
      <x:c r="B9" t="str">
        <x:v>JPY m</x:v>
      </x:c>
      <x:c r="C9" s="9" t="n">
        <x:v>30</x:v>
      </x:c>
      <x:c r="D9" s="9" t="n">
        <x:v>35</x:v>
      </x:c>
      <x:c r="E9" s="9" t="n">
        <x:v>45</x:v>
      </x:c>
      <x:c r="F9" s="9" t="n">
        <x:v>40</x:v>
      </x:c>
      <x:c r="G9" s="9" t="n">
        <x:v>35</x:v>
      </x:c>
      <x:c r="H9" s="9" t="n">
        <x:v>30</x:v>
      </x:c>
      <x:c r="I9" s="9" t="n">
        <x:v>30</x:v>
      </x:c>
      <x:c r="J9" s="9" t="n">
        <x:v>35</x:v>
      </x:c>
      <x:c r="K9" s="9" t="n">
        <x:v>40</x:v>
      </x:c>
      <x:c r="L9" s="9" t="n">
        <x:v>45</x:v>
      </x:c>
      <x:c r="M9" s="9" t="n">
        <x:v>35</x:v>
      </x:c>
      <x:c r="N9" s="9" t="n">
        <x:v>30</x:v>
      </x:c>
      <x:c r="O9" s="6" t="n">
        <x:f>SUM(C9:N9)</x:f>
        <x:v>430</x:v>
      </x:c>
    </x:row>
    <x:row r="10">
      <x:c r="A10" t="str">
        <x:v>Base cost normalization</x:v>
      </x:c>
      <x:c r="B10" t="str">
        <x:v>JPY m</x:v>
      </x:c>
      <x:c r="C10" s="9" t="n">
        <x:v>8</x:v>
      </x:c>
      <x:c r="D10" s="9" t="n">
        <x:v>9</x:v>
      </x:c>
      <x:c r="E10" s="9" t="n">
        <x:v>10</x:v>
      </x:c>
      <x:c r="F10" s="9" t="n">
        <x:v>9</x:v>
      </x:c>
      <x:c r="G10" s="9" t="n">
        <x:v>10</x:v>
      </x:c>
      <x:c r="H10" s="9" t="n">
        <x:v>10</x:v>
      </x:c>
      <x:c r="I10" s="9" t="n">
        <x:v>10</x:v>
      </x:c>
      <x:c r="J10" s="9" t="n">
        <x:v>10</x:v>
      </x:c>
      <x:c r="K10" s="9" t="n">
        <x:v>10</x:v>
      </x:c>
      <x:c r="L10" s="9" t="n">
        <x:v>10</x:v>
      </x:c>
      <x:c r="M10" s="9" t="n">
        <x:v>10</x:v>
      </x:c>
      <x:c r="N10" s="9" t="n">
        <x:v>14</x:v>
      </x:c>
      <x:c r="O10" s="6" t="n">
        <x:f>SUM(C10:N10)</x:f>
        <x:v>120</x:v>
      </x:c>
    </x:row>
    <x:row r="12">
      <x:c r="A12" s="4" t="str">
        <x:v>Q1 actual and March cash reference controls</x:v>
      </x:c>
      <x:c r="B12" s="4"/>
      <x:c r="C12" s="4"/>
    </x:row>
    <x:row r="13">
      <x:c r="A13" t="str">
        <x:v>Q1 actual revenue</x:v>
      </x:c>
      <x:c r="B13" s="9" t="n">
        <x:v>1842</x:v>
      </x:c>
    </x:row>
    <x:row r="14">
      <x:c r="A14" t="str">
        <x:v>Q1 actual COGS</x:v>
      </x:c>
      <x:c r="B14" s="9" t="n">
        <x:v>1131</x:v>
      </x:c>
    </x:row>
    <x:row r="15">
      <x:c r="A15" t="str">
        <x:v>Q1 actual opex</x:v>
      </x:c>
      <x:c r="B15" s="9" t="n">
        <x:v>489</x:v>
      </x:c>
    </x:row>
    <x:row r="16">
      <x:c r="A16" t="str">
        <x:v>Q1 actual EBITDA</x:v>
      </x:c>
      <x:c r="B16" s="9" t="n">
        <x:v>222</x:v>
      </x:c>
    </x:row>
    <x:row r="17">
      <x:c r="A17" t="str">
        <x:v>March bank balance</x:v>
      </x:c>
      <x:c r="B17" s="9" t="n">
        <x:v>486.2</x:v>
      </x:c>
    </x:row>
    <x:row r="18">
      <x:c r="A18" t="str">
        <x:v>March ledger balance</x:v>
      </x:c>
      <x:c r="B18" s="9" t="n">
        <x:v>498.6</x:v>
      </x:c>
    </x:row>
    <x:row r="19">
      <x:c r="A19" t="str">
        <x:v>Receipt timing item</x:v>
      </x:c>
      <x:c r="B19" s="9" t="n">
        <x:v>7.2</x:v>
      </x:c>
    </x:row>
    <x:row r="20">
      <x:c r="A20" t="str">
        <x:v>Vendor timing item</x:v>
      </x:c>
      <x:c r="B20" s="9" t="n">
        <x:v>3.1</x:v>
      </x:c>
    </x:row>
    <x:row r="21">
      <x:c r="A21" t="str">
        <x:v>Bank fees</x:v>
      </x:c>
      <x:c r="B21" s="9" t="n">
        <x:v>1.3</x:v>
      </x:c>
    </x:row>
    <x:row r="22">
      <x:c r="A22" t="str">
        <x:v>FX item</x:v>
      </x:c>
      <x:c r="B22" s="9" t="n">
        <x:v>0.8</x:v>
      </x:c>
    </x:row>
    <x:row r="23">
      <x:c r="A23" t="str">
        <x:v>Cash driver total</x:v>
      </x:c>
      <x:c r="B23" s="6" t="n">
        <x:f>SUM(B19:B22)</x:f>
        <x:v>12.400000000000002</x:v>
      </x:c>
    </x:row>
  </x:sheetData>
  <x:mergeCells>
    <x:mergeCell ref="A1:O1"/>
    <x:mergeCell ref="A12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Monthly operating model | Jan-Dec FY2026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3">
      <x:c r="A3" s="4" t="str">
        <x:v>Line item</x:v>
      </x:c>
      <x:c r="B3" s="4" t="str">
        <x:v>Jan</x:v>
      </x:c>
      <x:c r="C3" s="4" t="str">
        <x:v>Feb</x:v>
      </x:c>
      <x:c r="D3" s="4" t="str">
        <x:v>Mar</x:v>
      </x:c>
      <x:c r="E3" s="4" t="str">
        <x:v>Apr</x:v>
      </x:c>
      <x:c r="F3" s="4" t="str">
        <x:v>May</x:v>
      </x:c>
      <x:c r="G3" s="4" t="str">
        <x:v>Jun</x:v>
      </x:c>
      <x:c r="H3" s="4" t="str">
        <x:v>Jul</x:v>
      </x:c>
      <x:c r="I3" s="4" t="str">
        <x:v>Aug</x:v>
      </x:c>
      <x:c r="J3" s="4" t="str">
        <x:v>Sep</x:v>
      </x:c>
      <x:c r="K3" s="4" t="str">
        <x:v>Oct</x:v>
      </x:c>
      <x:c r="L3" s="4" t="str">
        <x:v>Nov</x:v>
      </x:c>
      <x:c r="M3" s="4" t="str">
        <x:v>Dec</x:v>
      </x:c>
      <x:c r="N3" s="4" t="str">
        <x:v>FY2026</x:v>
      </x:c>
    </x:row>
    <x:row r="4">
      <x:c r="A4" t="str">
        <x:v>Revenue</x:v>
      </x:c>
      <x:c r="B4" s="5" t="n">
        <x:f>'Inputs'!C4</x:f>
        <x:v>580</x:v>
      </x:c>
      <x:c r="C4" s="5" t="n">
        <x:f>'Inputs'!D4</x:f>
        <x:v>590</x:v>
      </x:c>
      <x:c r="D4" s="5" t="n">
        <x:f>'Inputs'!E4</x:f>
        <x:v>630</x:v>
      </x:c>
      <x:c r="E4" s="5" t="n">
        <x:f>'Inputs'!F4</x:f>
        <x:v>590</x:v>
      </x:c>
      <x:c r="F4" s="5" t="n">
        <x:f>'Inputs'!G4</x:f>
        <x:v>600</x:v>
      </x:c>
      <x:c r="G4" s="5" t="n">
        <x:f>'Inputs'!H4</x:f>
        <x:v>610</x:v>
      </x:c>
      <x:c r="H4" s="5" t="n">
        <x:f>'Inputs'!I4</x:f>
        <x:v>620</x:v>
      </x:c>
      <x:c r="I4" s="5" t="n">
        <x:f>'Inputs'!J4</x:f>
        <x:v>630</x:v>
      </x:c>
      <x:c r="J4" s="5" t="n">
        <x:f>'Inputs'!K4</x:f>
        <x:v>640</x:v>
      </x:c>
      <x:c r="K4" s="5" t="n">
        <x:f>'Inputs'!L4</x:f>
        <x:v>640</x:v>
      </x:c>
      <x:c r="L4" s="5" t="n">
        <x:f>'Inputs'!M4</x:f>
        <x:v>640</x:v>
      </x:c>
      <x:c r="M4" s="5" t="n">
        <x:f>'Inputs'!N4</x:f>
        <x:v>630</x:v>
      </x:c>
      <x:c r="N4" t="n">
        <x:f>SUM(B4:M4)</x:f>
        <x:v>7400</x:v>
      </x:c>
    </x:row>
    <x:row r="5">
      <x:c r="A5" t="str">
        <x:v>Base Revenue</x:v>
      </x:c>
      <x:c r="B5" s="5" t="n">
        <x:f>'Inputs'!C5</x:f>
        <x:v>593</x:v>
      </x:c>
      <x:c r="C5" s="5" t="n">
        <x:f>'Inputs'!D5</x:f>
        <x:v>604</x:v>
      </x:c>
      <x:c r="D5" s="5" t="n">
        <x:f>'Inputs'!E5</x:f>
        <x:v>646</x:v>
      </x:c>
      <x:c r="E5" s="5" t="n">
        <x:f>'Inputs'!F5</x:f>
        <x:v>602</x:v>
      </x:c>
      <x:c r="F5" s="5" t="n">
        <x:f>'Inputs'!G5</x:f>
        <x:v>613</x:v>
      </x:c>
      <x:c r="G5" s="5" t="n">
        <x:f>'Inputs'!H5</x:f>
        <x:v>624</x:v>
      </x:c>
      <x:c r="H5" s="5" t="n">
        <x:f>'Inputs'!I5</x:f>
        <x:v>634</x:v>
      </x:c>
      <x:c r="I5" s="5" t="n">
        <x:f>'Inputs'!J5</x:f>
        <x:v>644</x:v>
      </x:c>
      <x:c r="J5" s="5" t="n">
        <x:f>'Inputs'!K5</x:f>
        <x:v>655</x:v>
      </x:c>
      <x:c r="K5" s="5" t="n">
        <x:f>'Inputs'!L5</x:f>
        <x:v>655</x:v>
      </x:c>
      <x:c r="L5" s="5" t="n">
        <x:f>'Inputs'!M5</x:f>
        <x:v>655</x:v>
      </x:c>
      <x:c r="M5" s="5" t="n">
        <x:f>'Inputs'!N5</x:f>
        <x:v>635</x:v>
      </x:c>
      <x:c r="N5" t="n">
        <x:f>SUM(B5:M5)</x:f>
        <x:v>7560</x:v>
      </x:c>
    </x:row>
    <x:row r="6">
      <x:c r="A6" t="str">
        <x:v>COGS</x:v>
      </x:c>
      <x:c r="B6" s="5" t="n">
        <x:f>'Inputs'!C6</x:f>
        <x:v>320</x:v>
      </x:c>
      <x:c r="C6" s="5" t="n">
        <x:f>'Inputs'!D6</x:f>
        <x:v>325</x:v>
      </x:c>
      <x:c r="D6" s="5" t="n">
        <x:f>'Inputs'!E6</x:f>
        <x:v>345</x:v>
      </x:c>
      <x:c r="E6" s="5" t="n">
        <x:f>'Inputs'!F6</x:f>
        <x:v>320</x:v>
      </x:c>
      <x:c r="F6" s="5" t="n">
        <x:f>'Inputs'!G6</x:f>
        <x:v>325</x:v>
      </x:c>
      <x:c r="G6" s="5" t="n">
        <x:f>'Inputs'!H6</x:f>
        <x:v>330</x:v>
      </x:c>
      <x:c r="H6" s="5" t="n">
        <x:f>'Inputs'!I6</x:f>
        <x:v>335</x:v>
      </x:c>
      <x:c r="I6" s="5" t="n">
        <x:f>'Inputs'!J6</x:f>
        <x:v>340</x:v>
      </x:c>
      <x:c r="J6" s="5" t="n">
        <x:f>'Inputs'!K6</x:f>
        <x:v>340</x:v>
      </x:c>
      <x:c r="K6" s="5" t="n">
        <x:f>'Inputs'!L6</x:f>
        <x:v>340</x:v>
      </x:c>
      <x:c r="L6" s="5" t="n">
        <x:f>'Inputs'!M6</x:f>
        <x:v>340</x:v>
      </x:c>
      <x:c r="M6" s="5" t="n">
        <x:f>'Inputs'!N6</x:f>
        <x:v>340</x:v>
      </x:c>
      <x:c r="N6" t="n">
        <x:f>SUM(B6:M6)</x:f>
        <x:v>4000</x:v>
      </x:c>
    </x:row>
    <x:row r="7">
      <x:c r="A7" t="str">
        <x:v>Opex</x:v>
      </x:c>
      <x:c r="B7" s="5" t="n">
        <x:f>'Inputs'!C7</x:f>
        <x:v>185</x:v>
      </x:c>
      <x:c r="C7" s="5" t="n">
        <x:f>'Inputs'!D7</x:f>
        <x:v>195</x:v>
      </x:c>
      <x:c r="D7" s="5" t="n">
        <x:f>'Inputs'!E7</x:f>
        <x:v>220</x:v>
      </x:c>
      <x:c r="E7" s="5" t="n">
        <x:f>'Inputs'!F7</x:f>
        <x:v>210</x:v>
      </x:c>
      <x:c r="F7" s="5" t="n">
        <x:f>'Inputs'!G7</x:f>
        <x:v>215</x:v>
      </x:c>
      <x:c r="G7" s="5" t="n">
        <x:f>'Inputs'!H7</x:f>
        <x:v>215</x:v>
      </x:c>
      <x:c r="H7" s="5" t="n">
        <x:f>'Inputs'!I7</x:f>
        <x:v>220</x:v>
      </x:c>
      <x:c r="I7" s="5" t="n">
        <x:f>'Inputs'!J7</x:f>
        <x:v>215</x:v>
      </x:c>
      <x:c r="J7" s="5" t="n">
        <x:f>'Inputs'!K7</x:f>
        <x:v>215</x:v>
      </x:c>
      <x:c r="K7" s="5" t="n">
        <x:f>'Inputs'!L7</x:f>
        <x:v>215</x:v>
      </x:c>
      <x:c r="L7" s="5" t="n">
        <x:f>'Inputs'!M7</x:f>
        <x:v>215</x:v>
      </x:c>
      <x:c r="M7" s="5" t="n">
        <x:f>'Inputs'!N7</x:f>
        <x:v>220</x:v>
      </x:c>
      <x:c r="N7" t="n">
        <x:f>SUM(B7:M7)</x:f>
        <x:v>2540</x:v>
      </x:c>
    </x:row>
    <x:row r="8">
      <x:c r="A8" t="str">
        <x:v>Revenue</x:v>
      </x:c>
      <x:c r="B8" s="5" t="n">
        <x:f>'Inputs'!C8</x:f>
        <x:v>580</x:v>
      </x:c>
      <x:c r="C8" s="5" t="n">
        <x:f>'Inputs'!D8</x:f>
        <x:v>590</x:v>
      </x:c>
      <x:c r="D8" s="5" t="n">
        <x:f>'Inputs'!E8</x:f>
        <x:v>630</x:v>
      </x:c>
      <x:c r="E8" s="5" t="n">
        <x:f>'Inputs'!F8</x:f>
        <x:v>590</x:v>
      </x:c>
      <x:c r="F8" s="5" t="n">
        <x:f>'Inputs'!G8</x:f>
        <x:v>600</x:v>
      </x:c>
      <x:c r="G8" s="5" t="n">
        <x:f>'Inputs'!H8</x:f>
        <x:v>610</x:v>
      </x:c>
      <x:c r="H8" s="5" t="n">
        <x:f>'Inputs'!I8</x:f>
        <x:v>620</x:v>
      </x:c>
      <x:c r="I8" s="5" t="n">
        <x:f>'Inputs'!J8</x:f>
        <x:v>630</x:v>
      </x:c>
      <x:c r="J8" s="5" t="n">
        <x:f>'Inputs'!K8</x:f>
        <x:v>640</x:v>
      </x:c>
      <x:c r="K8" s="5" t="n">
        <x:f>'Inputs'!L8</x:f>
        <x:v>640</x:v>
      </x:c>
      <x:c r="L8" s="5" t="n">
        <x:f>'Inputs'!M8</x:f>
        <x:v>640</x:v>
      </x:c>
      <x:c r="M8" s="5" t="n">
        <x:f>'Inputs'!N8</x:f>
        <x:v>630</x:v>
      </x:c>
      <x:c r="N8" t="n">
        <x:f>SUM(B8:M8)</x:f>
        <x:v>7400</x:v>
      </x:c>
    </x:row>
    <x:row r="9">
      <x:c r="A9" t="str">
        <x:v>EBITDA</x:v>
      </x:c>
      <x:c r="B9" s="6" t="n">
        <x:f>B4-B6-B7</x:f>
        <x:v>75</x:v>
      </x:c>
      <x:c r="C9" s="6" t="n">
        <x:f>C4-C6-C7</x:f>
        <x:v>70</x:v>
      </x:c>
      <x:c r="D9" s="6" t="n">
        <x:f>D4-D6-D7</x:f>
        <x:v>65</x:v>
      </x:c>
      <x:c r="E9" s="6" t="n">
        <x:f>E4-E6-E7</x:f>
        <x:v>60</x:v>
      </x:c>
      <x:c r="F9" s="6" t="n">
        <x:f>F4-F6-F7</x:f>
        <x:v>60</x:v>
      </x:c>
      <x:c r="G9" s="6" t="n">
        <x:f>G4-G6-G7</x:f>
        <x:v>65</x:v>
      </x:c>
      <x:c r="H9" s="6" t="n">
        <x:f>H4-H6-H7</x:f>
        <x:v>65</x:v>
      </x:c>
      <x:c r="I9" s="6" t="n">
        <x:f>I4-I6-I7</x:f>
        <x:v>75</x:v>
      </x:c>
      <x:c r="J9" s="6" t="n">
        <x:f>J4-J6-J7</x:f>
        <x:v>85</x:v>
      </x:c>
      <x:c r="K9" s="6" t="n">
        <x:f>K4-K6-K7</x:f>
        <x:v>85</x:v>
      </x:c>
      <x:c r="L9" s="6" t="n">
        <x:f>L4-L6-L7</x:f>
        <x:v>85</x:v>
      </x:c>
      <x:c r="M9" s="6" t="n">
        <x:f>M4-M6-M7</x:f>
        <x:v>70</x:v>
      </x:c>
      <x:c r="N9" s="6" t="n">
        <x:f>SUM(B9:M9)</x:f>
        <x:v>860</x:v>
      </x:c>
    </x:row>
    <x:row r="10">
      <x:c r="A10" t="str">
        <x:v>Base EBITDA</x:v>
      </x:c>
      <x:c r="B10" s="6" t="n">
        <x:f>B5-B6-B7-'Inputs'!C10</x:f>
        <x:v>80</x:v>
      </x:c>
      <x:c r="C10" s="6" t="n">
        <x:f>C5-C6-C7-'Inputs'!D10</x:f>
        <x:v>75</x:v>
      </x:c>
      <x:c r="D10" s="6" t="n">
        <x:f>D5-D6-D7-'Inputs'!E10</x:f>
        <x:v>71</x:v>
      </x:c>
      <x:c r="E10" s="6" t="n">
        <x:f>E5-E6-E7-'Inputs'!F10</x:f>
        <x:v>63</x:v>
      </x:c>
      <x:c r="F10" s="6" t="n">
        <x:f>F5-F6-F7-'Inputs'!G10</x:f>
        <x:v>63</x:v>
      </x:c>
      <x:c r="G10" s="6" t="n">
        <x:f>G5-G6-G7-'Inputs'!H10</x:f>
        <x:v>69</x:v>
      </x:c>
      <x:c r="H10" s="6" t="n">
        <x:f>H5-H6-H7-'Inputs'!I10</x:f>
        <x:v>69</x:v>
      </x:c>
      <x:c r="I10" s="6" t="n">
        <x:f>I5-I6-I7-'Inputs'!J10</x:f>
        <x:v>79</x:v>
      </x:c>
      <x:c r="J10" s="6" t="n">
        <x:f>J5-J6-J7-'Inputs'!K10</x:f>
        <x:v>90</x:v>
      </x:c>
      <x:c r="K10" s="6" t="n">
        <x:f>K5-K6-K7-'Inputs'!L10</x:f>
        <x:v>90</x:v>
      </x:c>
      <x:c r="L10" s="6" t="n">
        <x:f>L5-L6-L7-'Inputs'!M10</x:f>
        <x:v>90</x:v>
      </x:c>
      <x:c r="M10" s="6" t="n">
        <x:f>M5-M6-M7-'Inputs'!N10</x:f>
        <x:v>61</x:v>
      </x:c>
      <x:c r="N10" s="6" t="n">
        <x:f>SUM(B10:M10)</x:f>
        <x:v>900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Checks and governance</x:v>
      </x:c>
      <x:c r="B1" s="2"/>
      <x:c r="C1" s="2"/>
    </x:row>
    <x:row r="3">
      <x:c r="A3" s="4" t="str">
        <x:v>Check</x:v>
      </x:c>
      <x:c r="B3" s="4" t="str">
        <x:v>Result</x:v>
      </x:c>
      <x:c r="C3" s="4" t="str">
        <x:v>Comment</x:v>
      </x:c>
    </x:row>
    <x:row r="4">
      <x:c r="A4" t="str">
        <x:v>Budget Revenue</x:v>
      </x:c>
      <x:c r="B4" s="6" t="str">
        <x:f>IF(ABS('Model'!N4-7400)&lt;0.1,"PASS","FAIL")</x:f>
        <x:v>PASS</x:v>
      </x:c>
      <x:c r="C4" t="str">
        <x:v>JPY 7,400m</x:v>
      </x:c>
    </x:row>
    <x:row r="5">
      <x:c r="A5" t="str">
        <x:v>Budget EBITDA</x:v>
      </x:c>
      <x:c r="B5" s="6" t="str">
        <x:f>IF(ABS('Model'!N9-860)&lt;0.1,"PASS","FAIL")</x:f>
        <x:v>PASS</x:v>
      </x:c>
      <x:c r="C5" t="str">
        <x:v>JPY 860m</x:v>
      </x:c>
    </x:row>
    <x:row r="6">
      <x:c r="A6" t="str">
        <x:v>Base Revenue</x:v>
      </x:c>
      <x:c r="B6" s="6" t="str">
        <x:f>IF(ABS('Model'!N5-7560)&lt;0.1,"PASS","FAIL")</x:f>
        <x:v>PASS</x:v>
      </x:c>
      <x:c r="C6" t="str">
        <x:v>JPY 7,560m</x:v>
      </x:c>
    </x:row>
    <x:row r="7">
      <x:c r="A7" t="str">
        <x:v>Base EBITDA</x:v>
      </x:c>
      <x:c r="B7" s="6" t="str">
        <x:f>IF(ABS('Model'!N10-900)&lt;0.1,"PASS","FAIL")</x:f>
        <x:v>PASS</x:v>
      </x:c>
      <x:c r="C7" t="str">
        <x:v>JPY 900m</x:v>
      </x:c>
    </x:row>
    <x:row r="8">
      <x:c r="A8" t="str">
        <x:v>Q1 actuals</x:v>
      </x:c>
      <x:c r="B8" s="6" t="str">
        <x:f>IF(AND('Inputs'!B16='Inputs'!B13-'Inputs'!B14-'Inputs'!B15,'Inputs'!B16=222),"PASS","FAIL")</x:f>
        <x:v>PASS</x:v>
      </x:c>
      <x:c r="C8" t="str">
        <x:v>Inputs reference block: Revenue - COGS - opex = EBITDA</x:v>
      </x:c>
    </x:row>
    <x:row r="9">
      <x:c r="A9" t="str">
        <x:v>March cash bridge</x:v>
      </x:c>
      <x:c r="B9" s="6" t="str">
        <x:f>IF(AND('Inputs'!B18-'Inputs'!B17=12.4,'Inputs'!B23=12.4),"PASS","FAIL")</x:f>
        <x:v>PASS</x:v>
      </x:c>
      <x:c r="C9" t="str">
        <x:v>Inputs: ledger - bank and timing drivers each equal JPY 12.4m</x:v>
      </x:c>
    </x:row>
  </x:sheetData>
  <x:mergeCells>
    <x:mergeCell ref="A1:C1"/>
  </x:mergeCells>
  <x:pageMargins left="0.7" right="0.7" top="0.75" bottom="0.75" header="0.3" footer="0.3"/>
</x:worksheet>
</file>