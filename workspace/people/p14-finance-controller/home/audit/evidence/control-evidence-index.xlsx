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7a312b5fc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168add13c5445f"/>
    <x:sheet xmlns:r="http://schemas.openxmlformats.org/officeDocument/2006/relationships" name="Evidence Index" sheetId="2" r:id="Raef1bf610db74bee"/>
    <x:sheet xmlns:r="http://schemas.openxmlformats.org/officeDocument/2006/relationships" name="Cash Bridge" sheetId="3" r:id="Rd6c7c27ecf7d4dce"/>
    <x:sheet xmlns:r="http://schemas.openxmlformats.org/officeDocument/2006/relationships" name="Checks" sheetId="4" r:id="R5509cf99132c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3"/>
      <x:color rgb="FF006100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0061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47A82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0" borderId="1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/>
    <x:xf numFmtId="0" fontId="5" fillId="5" borderId="2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f4a7d7cee4908" /><Relationship Type="http://schemas.openxmlformats.org/officeDocument/2006/relationships/theme" Target="/xl/theme/theme1.xml" Id="Red5f55cdc62f4e2d" /><Relationship Type="http://schemas.openxmlformats.org/officeDocument/2006/relationships/sharedStrings" Target="/xl/sharedStrings.xml" Id="Ree31f756f5254b98" /><Relationship Type="http://schemas.openxmlformats.org/officeDocument/2006/relationships/worksheet" Target="/xl/worksheets/sheet1.xml" Id="Rd7168add13c5445f" /><Relationship Type="http://schemas.openxmlformats.org/officeDocument/2006/relationships/worksheet" Target="/xl/worksheets/sheet2.xml" Id="Raef1bf610db74bee" /><Relationship Type="http://schemas.openxmlformats.org/officeDocument/2006/relationships/worksheet" Target="/xl/worksheets/sheet3.xml" Id="Rd6c7c27ecf7d4dce" /><Relationship Type="http://schemas.openxmlformats.org/officeDocument/2006/relationships/worksheet" Target="/xl/worksheets/sheet4.xml" Id="R5509cf99132c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.11000061035156" hidden="0" customWidth="1"/>
    <x:col min="3" max="3" width="35.11000061035156" hidden="0" customWidth="1"/>
    <x:col min="4" max="4" width="149.88999938964844" hidden="0" customWidth="1"/>
    <x:col min="5" max="5" width="35.11000061035156" hidden="0" customWidth="1"/>
    <x:col min="6" max="6" width="35.11000061035156" hidden="0" customWidth="1"/>
    <x:col min="7" max="7" width="35.11000061035156" hidden="0" customWidth="1"/>
    <x:col min="8" max="8" width="35.11000061035156" hidden="0" customWidth="1"/>
  </x:cols>
  <x:sheetData>
    <x:row r="1" ht="30" customHeight="1">
      <x:c r="A1" s="23" t="str">
        <x:v>Cedar Works | FY2026 Q1 Control Evidence Index</x:v>
      </x:c>
      <x:c r="B1" s="23" t="str">
        <x:v>Cedar Works | FY2026 Q1 Control Evidence Index</x:v>
      </x:c>
      <x:c r="C1" s="23" t="str">
        <x:v>Cedar Works | FY2026 Q1 Control Evidence Index</x:v>
      </x:c>
      <x:c r="D1" s="23" t="str">
        <x:v>Cedar Works | FY2026 Q1 Control Evidence Index</x:v>
      </x:c>
      <x:c r="E1" s="23" t="str">
        <x:v>Cedar Works | FY2026 Q1 Control Evidence Index</x:v>
      </x:c>
      <x:c r="F1" s="23" t="str">
        <x:v>Cedar Works | FY2026 Q1 Control Evidence Index</x:v>
      </x:c>
      <x:c r="G1" s="23" t="str">
        <x:v>Cedar Works | FY2026 Q1 Control Evidence Index</x:v>
      </x:c>
      <x:c r="H1" s="23" t="str">
        <x:v>Cedar Works | FY2026 Q1 Control Evidence Index</x:v>
      </x:c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5" t="str">
        <x:v>As of</x:v>
      </x:c>
      <x:c r="B3" s="26" t="str">
        <x:v>2026-04-03</x:v>
      </x:c>
      <x:c r="C3" s="24"/>
      <x:c r="D3" s="27" t="str">
        <x:v>MODEL STATUS: PASS</x:v>
      </x:c>
      <x:c r="E3" s="27"/>
      <x:c r="F3" s="27"/>
      <x:c r="G3" s="27"/>
      <x:c r="H3" s="27"/>
    </x:row>
    <x:row r="4">
      <x:c r="A4" s="25" t="str">
        <x:v>Owner</x:v>
      </x:c>
      <x:c r="B4" s="26" t="str">
        <x:v>Audit Coordination</x:v>
      </x:c>
      <x:c r="C4" s="24"/>
      <x:c r="D4" s="24"/>
      <x:c r="E4" s="24"/>
      <x:c r="F4" s="24"/>
      <x:c r="G4" s="24"/>
      <x:c r="H4" s="24"/>
    </x:row>
    <x:row r="5">
      <x:c r="A5" s="25" t="str">
        <x:v>Scope</x:v>
      </x:c>
      <x:c r="B5" s="26" t="str">
        <x:v>Synthetic Q1 audit evidence</x:v>
      </x:c>
      <x:c r="C5" s="24"/>
      <x:c r="D5" s="28" t="str">
        <x:v>March reconciliation: ledger cash JPY 498,600,000 less bank cash JPY 486,200,000 = JPY 12,400,000 unfavorable. Full bridge: receipt timing JPY 7,200,000; vendor timing JPY 3,100,000; fees JPY 1,300,000; FX JPY 800,000.</x:v>
      </x:c>
      <x:c r="E5" s="28"/>
      <x:c r="F5" s="28"/>
      <x:c r="G5" s="28"/>
      <x:c r="H5" s="28"/>
    </x:row>
    <x:row r="6">
      <x:c r="A6" s="25" t="str">
        <x:v>Primary control</x:v>
      </x:c>
      <x:c r="B6" s="26" t="str">
        <x:v>CTRL-CASH-01</x:v>
      </x:c>
      <x:c r="C6" s="24"/>
      <x:c r="D6" s="28"/>
      <x:c r="E6" s="28"/>
      <x:c r="F6" s="28"/>
      <x:c r="G6" s="28"/>
      <x:c r="H6" s="28"/>
    </x:row>
    <x:row r="7">
      <x:c r="A7" s="25" t="str">
        <x:v>Cash variance (JPY)</x:v>
      </x:c>
      <x:c r="B7" s="29" t="n">
        <x:v>12400000</x:v>
      </x:c>
      <x:c r="C7" s="24"/>
      <x:c r="D7" s="28"/>
      <x:c r="E7" s="28"/>
      <x:c r="F7" s="28"/>
      <x:c r="G7" s="28"/>
      <x:c r="H7" s="28"/>
    </x:row>
    <x:row r="8">
      <x:c r="A8" s="25" t="str">
        <x:v>Reviewer outcome</x:v>
      </x:c>
      <x:c r="B8" s="26" t="str">
        <x:v>Accepted</x:v>
      </x:c>
      <x:c r="C8" s="24"/>
      <x:c r="D8" s="28"/>
      <x:c r="E8" s="28"/>
      <x:c r="F8" s="28"/>
      <x:c r="G8" s="28"/>
      <x:c r="H8" s="28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30" t="str">
        <x:v>Control ID</x:v>
      </x:c>
      <x:c r="B10" s="30" t="str">
        <x:v>Evidence count</x:v>
      </x:c>
      <x:c r="C10" s="30" t="str">
        <x:v>Closed</x:v>
      </x:c>
      <x:c r="D10" s="30" t="str">
        <x:v>Accepted</x:v>
      </x:c>
      <x:c r="E10" s="30" t="str">
        <x:v>Owner role</x:v>
      </x:c>
      <x:c r="F10" s="30" t="str">
        <x:v>Latest date</x:v>
      </x:c>
      <x:c r="G10" s="30" t="str">
        <x:v>Variance linkage</x:v>
      </x:c>
      <x:c r="H10" s="30" t="str">
        <x:v>Status</x:v>
      </x:c>
    </x:row>
    <x:row r="11">
      <x:c r="A11" s="31" t="str">
        <x:v>CTRL-CASH-01</x:v>
      </x:c>
      <x:c r="B11" s="31" t="n">
        <x:v>4</x:v>
      </x:c>
      <x:c r="C11" s="31" t="n">
        <x:v>4</x:v>
      </x:c>
      <x:c r="D11" s="31" t="n">
        <x:v>4</x:v>
      </x:c>
      <x:c r="E11" s="31" t="str">
        <x:v>Financial Control</x:v>
      </x:c>
      <x:c r="F11" s="31" t="str">
        <x:v>2026-04-03</x:v>
      </x:c>
      <x:c r="G11" s="31" t="str">
        <x:v>JPY 12,400,000</x:v>
      </x:c>
      <x:c r="H11" s="32" t="str">
        <x:v>Pass</x:v>
      </x:c>
    </x:row>
    <x:row r="12">
      <x:c r="A12" s="31" t="str">
        <x:v>CTRL-AP-04</x:v>
      </x:c>
      <x:c r="B12" s="31" t="n">
        <x:v>1</x:v>
      </x:c>
      <x:c r="C12" s="31" t="n">
        <x:v>1</x:v>
      </x:c>
      <x:c r="D12" s="31" t="n">
        <x:v>1</x:v>
      </x:c>
      <x:c r="E12" s="31" t="str">
        <x:v>AP Operations</x:v>
      </x:c>
      <x:c r="F12" s="31" t="str">
        <x:v>2026-04-02</x:v>
      </x:c>
      <x:c r="G12" s="31" t="str">
        <x:v>Cut-off</x:v>
      </x:c>
      <x:c r="H12" s="32" t="str">
        <x:v>Pass</x:v>
      </x:c>
    </x:row>
    <x:row r="13">
      <x:c r="A13" s="31" t="str">
        <x:v>CTRL-INV-03</x:v>
      </x:c>
      <x:c r="B13" s="31" t="n">
        <x:v>1</x:v>
      </x:c>
      <x:c r="C13" s="31" t="n">
        <x:v>1</x:v>
      </x:c>
      <x:c r="D13" s="31" t="n">
        <x:v>1</x:v>
      </x:c>
      <x:c r="E13" s="31" t="str">
        <x:v>Inventory Control</x:v>
      </x:c>
      <x:c r="F13" s="31" t="str">
        <x:v>2026-03-29</x:v>
      </x:c>
      <x:c r="G13" s="31" t="str">
        <x:v>Observation</x:v>
      </x:c>
      <x:c r="H13" s="32" t="str">
        <x:v>Pass</x:v>
      </x:c>
    </x:row>
    <x:row r="14">
      <x:c r="A14" s="31" t="str">
        <x:v>CTRL-JE-05</x:v>
      </x:c>
      <x:c r="B14" s="31" t="n">
        <x:v>1</x:v>
      </x:c>
      <x:c r="C14" s="31" t="n">
        <x:v>1</x:v>
      </x:c>
      <x:c r="D14" s="31" t="n">
        <x:v>1</x:v>
      </x:c>
      <x:c r="E14" s="31" t="str">
        <x:v>GL Control</x:v>
      </x:c>
      <x:c r="F14" s="31" t="str">
        <x:v>2026-04-02</x:v>
      </x:c>
      <x:c r="G14" s="31" t="str">
        <x:v>Sampling</x:v>
      </x:c>
      <x:c r="H14" s="32" t="str">
        <x:v>Pass</x:v>
      </x:c>
    </x:row>
  </x:sheetData>
  <x:mergeCells>
    <x:mergeCell ref="A1:H1"/>
    <x:mergeCell ref="D3:H3"/>
    <x:mergeCell ref="D5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34" hidden="0" customWidth="1"/>
    <x:col min="3" max="3" width="11" hidden="0" customWidth="1"/>
    <x:col min="4" max="4" width="12.220000267028809" hidden="0" customWidth="1"/>
    <x:col min="5" max="5" width="22.110000610351562" hidden="0" customWidth="1"/>
    <x:col min="6" max="6" width="11.4399995803833" hidden="0" customWidth="1"/>
    <x:col min="7" max="7" width="5.670000076293945" hidden="0" customWidth="1"/>
    <x:col min="8" max="8" width="15" hidden="0" customWidth="1"/>
    <x:col min="9" max="9" width="29" hidden="0" customWidth="1"/>
  </x:cols>
  <x:sheetData>
    <x:row r="1" ht="30" customHeight="1">
      <x:c r="A1" s="4" t="str">
        <x:v>Evidence Register</x:v>
      </x:c>
      <x:c r="B1" s="4" t="str">
        <x:v>Evidence Register</x:v>
      </x:c>
      <x:c r="C1" s="4" t="str">
        <x:v>Evidence Register</x:v>
      </x:c>
      <x:c r="D1" s="4" t="str">
        <x:v>Evidence Register</x:v>
      </x:c>
      <x:c r="E1" s="4" t="str">
        <x:v>Evidence Register</x:v>
      </x:c>
      <x:c r="F1" s="4" t="str">
        <x:v>Evidence Register</x:v>
      </x:c>
      <x:c r="G1" s="4" t="str">
        <x:v>Evidence Register</x:v>
      </x:c>
      <x:c r="H1" s="4" t="str">
        <x:v>Evidence Register</x:v>
      </x:c>
      <x:c r="I1" s="4" t="str">
        <x:v>Evidence Register</x:v>
      </x:c>
    </x:row>
    <x:row r="3">
      <x:c r="A3" s="19" t="str">
        <x:v>Evidence ID</x:v>
      </x:c>
      <x:c r="B3" s="19" t="str">
        <x:v>Filename</x:v>
      </x:c>
      <x:c r="C3" s="19" t="str">
        <x:v>Request ID</x:v>
      </x:c>
      <x:c r="D3" s="19" t="str">
        <x:v>Control ID</x:v>
      </x:c>
      <x:c r="E3" s="19" t="str">
        <x:v>Owner role</x:v>
      </x:c>
      <x:c r="F3" s="19" t="str">
        <x:v>Evidence date</x:v>
      </x:c>
      <x:c r="G3" s="19" t="str">
        <x:v>Status</x:v>
      </x:c>
      <x:c r="H3" s="19" t="str">
        <x:v>Reviewer outcome</x:v>
      </x:c>
      <x:c r="I3" s="19" t="str">
        <x:v>Description</x:v>
      </x:c>
    </x:row>
    <x:row r="4">
      <x:c r="A4" s="21" t="str">
        <x:v>CW-EV-2603-01</x:v>
      </x:c>
      <x:c r="B4" s="21" t="str">
        <x:v>2026-q1-audit-request-tracker.csv</x:v>
      </x:c>
      <x:c r="C4" s="21" t="str">
        <x:v>RFI-2603-01</x:v>
      </x:c>
      <x:c r="D4" s="21" t="str">
        <x:v>CTRL-CASH-01</x:v>
      </x:c>
      <x:c r="E4" s="21" t="str">
        <x:v>Treasury Operations</x:v>
      </x:c>
      <x:c r="F4" s="33" t="str">
        <x:v>2026-03-31</x:v>
      </x:c>
      <x:c r="G4" s="22" t="str">
        <x:v>Closed</x:v>
      </x:c>
      <x:c r="H4" s="22" t="str">
        <x:v>Accepted</x:v>
      </x:c>
      <x:c r="I4" s="21" t="str">
        <x:v>Audit request register</x:v>
      </x:c>
    </x:row>
    <x:row r="5">
      <x:c r="A5" s="21" t="str">
        <x:v>CW-EV-2603-02</x:v>
      </x:c>
      <x:c r="B5" s="21" t="str">
        <x:v>2026-q1-control-testing-memo.docx</x:v>
      </x:c>
      <x:c r="C5" s="21" t="str">
        <x:v>MEM-2603-02</x:v>
      </x:c>
      <x:c r="D5" s="21" t="str">
        <x:v>CTRL-CASH-01</x:v>
      </x:c>
      <x:c r="E5" s="21" t="str">
        <x:v>Financial Control</x:v>
      </x:c>
      <x:c r="F5" s="33" t="str">
        <x:v>2026-04-03</x:v>
      </x:c>
      <x:c r="G5" s="22" t="str">
        <x:v>Closed</x:v>
      </x:c>
      <x:c r="H5" s="22" t="str">
        <x:v>Accepted</x:v>
      </x:c>
      <x:c r="I5" s="21" t="str">
        <x:v>Control testing conclusion</x:v>
      </x:c>
    </x:row>
    <x:row r="6">
      <x:c r="A6" s="21" t="str">
        <x:v>CW-EV-2603-03</x:v>
      </x:c>
      <x:c r="B6" s="21" t="str">
        <x:v>ap-cutoff-testing-report.pdf</x:v>
      </x:c>
      <x:c r="C6" s="21" t="str">
        <x:v>APC-2603-03</x:v>
      </x:c>
      <x:c r="D6" s="21" t="str">
        <x:v>CTRL-AP-04</x:v>
      </x:c>
      <x:c r="E6" s="21" t="str">
        <x:v>Accounts Payable Operations</x:v>
      </x:c>
      <x:c r="F6" s="33" t="str">
        <x:v>2026-04-02</x:v>
      </x:c>
      <x:c r="G6" s="22" t="str">
        <x:v>Closed</x:v>
      </x:c>
      <x:c r="H6" s="22" t="str">
        <x:v>Accepted</x:v>
      </x:c>
      <x:c r="I6" s="21" t="str">
        <x:v>25-item cut-off sample</x:v>
      </x:c>
    </x:row>
    <x:row r="7">
      <x:c r="A7" s="21" t="str">
        <x:v>CW-EV-2603-04</x:v>
      </x:c>
      <x:c r="B7" s="21" t="str">
        <x:v>bank-confirmation-redacted-scan.pdf</x:v>
      </x:c>
      <x:c r="C7" s="21" t="str">
        <x:v>BC-2603-04</x:v>
      </x:c>
      <x:c r="D7" s="21" t="str">
        <x:v>CTRL-CASH-01</x:v>
      </x:c>
      <x:c r="E7" s="21" t="str">
        <x:v>Treasury Operations</x:v>
      </x:c>
      <x:c r="F7" s="33" t="str">
        <x:v>2026-03-31</x:v>
      </x:c>
      <x:c r="G7" s="22" t="str">
        <x:v>Closed</x:v>
      </x:c>
      <x:c r="H7" s="22" t="str">
        <x:v>Accepted</x:v>
      </x:c>
      <x:c r="I7" s="21" t="str">
        <x:v>Synthetic redacted confirmation</x:v>
      </x:c>
    </x:row>
    <x:row r="8">
      <x:c r="A8" s="21" t="str">
        <x:v>CW-EV-2603-05</x:v>
      </x:c>
      <x:c r="B8" s="21" t="str">
        <x:v>cash-variance-bridge-evidence.pdf</x:v>
      </x:c>
      <x:c r="C8" s="21" t="str">
        <x:v>CVB-2603-05</x:v>
      </x:c>
      <x:c r="D8" s="21" t="str">
        <x:v>CTRL-CASH-01</x:v>
      </x:c>
      <x:c r="E8" s="21" t="str">
        <x:v>Financial Control</x:v>
      </x:c>
      <x:c r="F8" s="33" t="str">
        <x:v>2026-04-03</x:v>
      </x:c>
      <x:c r="G8" s="22" t="str">
        <x:v>Closed</x:v>
      </x:c>
      <x:c r="H8" s="22" t="str">
        <x:v>Accepted</x:v>
      </x:c>
      <x:c r="I8" s="21" t="str">
        <x:v>JPY 12,400,000 bridge</x:v>
      </x:c>
    </x:row>
    <x:row r="9">
      <x:c r="A9" s="21" t="str">
        <x:v>CW-EV-2603-06</x:v>
      </x:c>
      <x:c r="B9" s="21" t="str">
        <x:v>evidence-chain-of-custody-map.png</x:v>
      </x:c>
      <x:c r="C9" s="21" t="str">
        <x:v>COC-2603-06</x:v>
      </x:c>
      <x:c r="D9" s="21" t="str">
        <x:v>CTRL-GOV-02</x:v>
      </x:c>
      <x:c r="E9" s="21" t="str">
        <x:v>Audit Coordination</x:v>
      </x:c>
      <x:c r="F9" s="33" t="str">
        <x:v>2026-04-03</x:v>
      </x:c>
      <x:c r="G9" s="22" t="str">
        <x:v>Closed</x:v>
      </x:c>
      <x:c r="H9" s="22" t="str">
        <x:v>Accepted</x:v>
      </x:c>
      <x:c r="I9" s="21" t="str">
        <x:v>Evidence custody map</x:v>
      </x:c>
    </x:row>
    <x:row r="10">
      <x:c r="A10" s="21" t="str">
        <x:v>CW-EV-2603-07</x:v>
      </x:c>
      <x:c r="B10" s="21" t="str">
        <x:v>inventory-observation-signoff-scan.pdf</x:v>
      </x:c>
      <x:c r="C10" s="21" t="str">
        <x:v>INV-2603-07</x:v>
      </x:c>
      <x:c r="D10" s="21" t="str">
        <x:v>CTRL-INV-03</x:v>
      </x:c>
      <x:c r="E10" s="21" t="str">
        <x:v>Inventory Control</x:v>
      </x:c>
      <x:c r="F10" s="33" t="str">
        <x:v>2026-03-29</x:v>
      </x:c>
      <x:c r="G10" s="22" t="str">
        <x:v>Closed</x:v>
      </x:c>
      <x:c r="H10" s="22" t="str">
        <x:v>Accepted</x:v>
      </x:c>
      <x:c r="I10" s="21" t="str">
        <x:v>Synthetic redacted observation</x:v>
      </x:c>
    </x:row>
    <x:row r="11">
      <x:c r="A11" s="21" t="str">
        <x:v>CW-EV-2603-08</x:v>
      </x:c>
      <x:c r="B11" s="21" t="str">
        <x:v>journal-entry-sampling-report.pdf</x:v>
      </x:c>
      <x:c r="C11" s="21" t="str">
        <x:v>JES-2603-08</x:v>
      </x:c>
      <x:c r="D11" s="21" t="str">
        <x:v>CTRL-JE-05</x:v>
      </x:c>
      <x:c r="E11" s="21" t="str">
        <x:v>General Ledger Control</x:v>
      </x:c>
      <x:c r="F11" s="33" t="str">
        <x:v>2026-04-02</x:v>
      </x:c>
      <x:c r="G11" s="22" t="str">
        <x:v>Closed</x:v>
      </x:c>
      <x:c r="H11" s="22" t="str">
        <x:v>Accepted</x:v>
      </x:c>
      <x:c r="I11" s="21" t="str">
        <x:v>40-entry sampling report</x:v>
      </x:c>
    </x:row>
    <x:row r="12">
      <x:c r="A12" s="21" t="str">
        <x:v>CW-EV-2603-09</x:v>
      </x:c>
      <x:c r="B12" s="21" t="str">
        <x:v>reconciliation-control-narrative.pdf</x:v>
      </x:c>
      <x:c r="C12" s="21" t="str">
        <x:v>RCN-2603-09</x:v>
      </x:c>
      <x:c r="D12" s="21" t="str">
        <x:v>CTRL-CASH-01</x:v>
      </x:c>
      <x:c r="E12" s="21" t="str">
        <x:v>Financial Control</x:v>
      </x:c>
      <x:c r="F12" s="33" t="str">
        <x:v>2026-04-03</x:v>
      </x:c>
      <x:c r="G12" s="22" t="str">
        <x:v>Closed</x:v>
      </x:c>
      <x:c r="H12" s="22" t="str">
        <x:v>Accepted</x:v>
      </x:c>
      <x:c r="I12" s="21" t="str">
        <x:v>Reconciliation narrative</x:v>
      </x:c>
    </x:row>
    <x:row r="13">
      <x:c r="A13" s="21" t="str">
        <x:v>CW-EV-2603-10</x:v>
      </x:c>
      <x:c r="B13" s="21" t="str">
        <x:v>control-evidence-index.xlsx</x:v>
      </x:c>
      <x:c r="C13" s="21" t="str">
        <x:v>IDX-2603-10</x:v>
      </x:c>
      <x:c r="D13" s="21" t="str">
        <x:v>CTRL-GOV-02</x:v>
      </x:c>
      <x:c r="E13" s="21" t="str">
        <x:v>Audit Coordination</x:v>
      </x:c>
      <x:c r="F13" s="33" t="str">
        <x:v>2026-04-03</x:v>
      </x:c>
      <x:c r="G13" s="22" t="str">
        <x:v>Closed</x:v>
      </x:c>
      <x:c r="H13" s="22" t="str">
        <x:v>Accepted</x:v>
      </x:c>
      <x:c r="I13" s="21" t="str">
        <x:v>Master evidence index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0.109999656677246" hidden="0" customWidth="1"/>
    <x:col min="3" max="3" width="18.780000686645508" hidden="0" customWidth="1"/>
    <x:col min="4" max="4" width="17" hidden="0" customWidth="1"/>
    <x:col min="5" max="5" width="12.220000267028809" hidden="0" customWidth="1"/>
    <x:col min="6" max="6" width="15" hidden="0" customWidth="1"/>
  </x:cols>
  <x:sheetData>
    <x:row r="1" ht="30" customHeight="1">
      <x:c r="A1" s="4" t="str">
        <x:v>March Cash Variance Bridge - JPY</x:v>
      </x:c>
      <x:c r="B1" s="4" t="str">
        <x:v>March Cash Variance Bridge - JPY</x:v>
      </x:c>
      <x:c r="C1" s="4" t="str">
        <x:v>March Cash Variance Bridge - JPY</x:v>
      </x:c>
      <x:c r="D1" s="4" t="str">
        <x:v>March Cash Variance Bridge - JPY</x:v>
      </x:c>
      <x:c r="E1" s="4" t="str">
        <x:v>March Cash Variance Bridge - JPY</x:v>
      </x:c>
      <x:c r="F1" s="4" t="str">
        <x:v>March Cash Variance Bridge - JPY</x:v>
      </x:c>
    </x:row>
    <x:row r="3">
      <x:c r="A3" s="19" t="str">
        <x:v>Measure</x:v>
      </x:c>
      <x:c r="B3" s="19" t="str">
        <x:v>Ledger cash</x:v>
      </x:c>
      <x:c r="C3" s="19" t="str">
        <x:v>Bank cash</x:v>
      </x:c>
      <x:c r="D3" s="19" t="str">
        <x:v>Unfavorable variance</x:v>
      </x:c>
      <x:c r="E3" s="19" t="str">
        <x:v>Control ID</x:v>
      </x:c>
      <x:c r="F3" s="19" t="str">
        <x:v>Reviewer outcome</x:v>
      </x:c>
    </x:row>
    <x:row r="4">
      <x:c r="A4" s="34" t="str">
        <x:v>March 2026</x:v>
      </x:c>
      <x:c r="B4" s="34" t="n">
        <x:v>498600000</x:v>
      </x:c>
      <x:c r="C4" s="34" t="n">
        <x:v>486200000</x:v>
      </x:c>
      <x:c r="D4" s="34" t="n">
        <x:f>B4-C4</x:f>
        <x:v>12400000</x:v>
      </x:c>
      <x:c r="E4" s="21" t="str">
        <x:v>CTRL-CASH-01</x:v>
      </x:c>
      <x:c r="F4" s="21" t="str">
        <x:v>Accepted</x:v>
      </x:c>
    </x:row>
    <x:row r="7">
      <x:c r="A7" s="19" t="str">
        <x:v>Driver</x:v>
      </x:c>
      <x:c r="B7" s="19" t="str">
        <x:v>Amount</x:v>
      </x:c>
      <x:c r="C7" s="19" t="str">
        <x:v>Classification</x:v>
      </x:c>
      <x:c r="D7" s="19" t="str">
        <x:v>Evidence ID</x:v>
      </x:c>
    </x:row>
    <x:row r="8">
      <x:c r="A8" s="21" t="str">
        <x:v>Receipt timing</x:v>
      </x:c>
      <x:c r="B8" s="34" t="n">
        <x:v>7200000</x:v>
      </x:c>
      <x:c r="C8" s="21" t="str">
        <x:v>In transit receipt</x:v>
      </x:c>
      <x:c r="D8" s="21" t="str">
        <x:v>CW-EV-2603-04</x:v>
      </x:c>
    </x:row>
    <x:row r="9">
      <x:c r="A9" s="21" t="str">
        <x:v>Vendor timing</x:v>
      </x:c>
      <x:c r="B9" s="34" t="n">
        <x:v>3100000</x:v>
      </x:c>
      <x:c r="C9" s="21" t="str">
        <x:v>Unpresented payment</x:v>
      </x:c>
      <x:c r="D9" s="21" t="str">
        <x:v>CW-EV-2603-09</x:v>
      </x:c>
    </x:row>
    <x:row r="10">
      <x:c r="A10" s="21" t="str">
        <x:v>Bank fees</x:v>
      </x:c>
      <x:c r="B10" s="34" t="n">
        <x:v>1300000</x:v>
      </x:c>
      <x:c r="C10" s="21" t="str">
        <x:v>Posted after ledger close</x:v>
      </x:c>
      <x:c r="D10" s="21" t="str">
        <x:v>CW-EV-2603-04</x:v>
      </x:c>
    </x:row>
    <x:row r="11">
      <x:c r="A11" s="21" t="str">
        <x:v>FX</x:v>
      </x:c>
      <x:c r="B11" s="34" t="n">
        <x:v>800000</x:v>
      </x:c>
      <x:c r="C11" s="21" t="str">
        <x:v>Remeasurement timing</x:v>
      </x:c>
      <x:c r="D11" s="21" t="str">
        <x:v>CW-EV-2603-09</x:v>
      </x:c>
    </x:row>
    <x:row r="12">
      <x:c r="A12" s="21" t="str">
        <x:v>Total</x:v>
      </x:c>
      <x:c r="B12" s="34" t="n">
        <x:f>SUM(B8:B11)</x:f>
        <x:v>12400000</x:v>
      </x:c>
      <x:c r="C12" s="21" t="str">
        <x:v>Bridge total</x:v>
      </x:c>
      <x:c r="D12" s="21" t="str">
        <x:v>CW-EV-2603-05</x:v>
      </x:c>
    </x:row>
    <x:row r="14">
      <x:c r="A14" s="19" t="str">
        <x:v>Reconciliation check</x:v>
      </x:c>
      <x:c r="B14" s="19"/>
      <x:c r="C14" s="19" t="str">
        <x:v>Expected zero</x:v>
      </x:c>
      <x:c r="D14" s="19" t="str">
        <x:v>Status</x:v>
      </x:c>
    </x:row>
    <x:row r="15">
      <x:c r="A15" t="str">
        <x:v>Ledger variance less bridge</x:v>
      </x:c>
      <x:c r="B15" s="35" t="n">
        <x:f>D4-B12</x:f>
        <x:v>0</x:v>
      </x:c>
      <x:c r="C15" t="str"/>
      <x:c r="D15" s="9" t="str">
        <x:f>IF(B15=0,"PASS","FAIL")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329999923706055" hidden="0" customWidth="1"/>
    <x:col min="2" max="2" width="8.670000076293945" hidden="0" customWidth="1"/>
    <x:col min="3" max="3" width="8.670000076293945" hidden="0" customWidth="1"/>
    <x:col min="4" max="4" width="8.4399995803833" hidden="0" customWidth="1"/>
    <x:col min="5" max="5" width="5.440000057220459" hidden="0" customWidth="1"/>
    <x:col min="6" max="6" width="16.780000686645508" hidden="0" customWidth="1"/>
  </x:cols>
  <x:sheetData>
    <x:row r="1" ht="30" customHeight="1">
      <x:c r="A1" s="4" t="str">
        <x:v>Checks and Audit Trail</x:v>
      </x:c>
      <x:c r="B1" s="4" t="str">
        <x:v>Checks and Audit Trail</x:v>
      </x:c>
      <x:c r="C1" s="4" t="str">
        <x:v>Checks and Audit Trail</x:v>
      </x:c>
      <x:c r="D1" s="4" t="str">
        <x:v>Checks and Audit Trail</x:v>
      </x:c>
      <x:c r="E1" s="4" t="str">
        <x:v>Checks and Audit Trail</x:v>
      </x:c>
      <x:c r="F1" s="4" t="str">
        <x:v>Checks and Audit Trail</x:v>
      </x:c>
    </x:row>
    <x:row r="3">
      <x:c r="A3" s="19" t="str">
        <x:v>Check</x:v>
      </x:c>
      <x:c r="B3" s="19" t="str">
        <x:v>Actual</x:v>
      </x:c>
      <x:c r="C3" s="19" t="str">
        <x:v>Expected</x:v>
      </x:c>
      <x:c r="D3" s="19" t="str">
        <x:v>Difference</x:v>
      </x:c>
      <x:c r="E3" s="19" t="str">
        <x:v>Status</x:v>
      </x:c>
      <x:c r="F3" s="19" t="str">
        <x:v>Where to fix</x:v>
      </x:c>
    </x:row>
    <x:row r="4">
      <x:c r="A4" s="21" t="str">
        <x:v>Cash variance</x:v>
      </x:c>
      <x:c r="B4" s="34" t="n">
        <x:f>'Cash Bridge'!D4</x:f>
        <x:v>12400000</x:v>
      </x:c>
      <x:c r="C4" s="34" t="n">
        <x:v>12400000</x:v>
      </x:c>
      <x:c r="D4" s="34" t="n">
        <x:f>B4-C4</x:f>
        <x:v>0</x:v>
      </x:c>
      <x:c r="E4" s="22" t="str">
        <x:f>IF(D4=0,"PASS","FAIL")</x:f>
        <x:v>PASS</x:v>
      </x:c>
      <x:c r="F4" s="21" t="str">
        <x:v>Cash Bridge D4</x:v>
      </x:c>
    </x:row>
    <x:row r="5">
      <x:c r="A5" s="21" t="str">
        <x:v>Bridge total</x:v>
      </x:c>
      <x:c r="B5" s="34" t="n">
        <x:f>'Cash Bridge'!B12</x:f>
        <x:v>12400000</x:v>
      </x:c>
      <x:c r="C5" s="34" t="n">
        <x:v>12400000</x:v>
      </x:c>
      <x:c r="D5" s="34" t="n">
        <x:f>B5-C5</x:f>
        <x:v>0</x:v>
      </x:c>
      <x:c r="E5" s="22" t="str">
        <x:f>IF(D5=0,"PASS","FAIL")</x:f>
        <x:v>PASS</x:v>
      </x:c>
      <x:c r="F5" s="21" t="str">
        <x:v>Cash Bridge B12</x:v>
      </x:c>
    </x:row>
    <x:row r="6">
      <x:c r="A6" s="21" t="str">
        <x:v>Reconciliation</x:v>
      </x:c>
      <x:c r="B6" s="34" t="n">
        <x:f>'Cash Bridge'!B15</x:f>
        <x:v>0</x:v>
      </x:c>
      <x:c r="C6" s="34" t="n">
        <x:v>0</x:v>
      </x:c>
      <x:c r="D6" s="34" t="n">
        <x:f>B6-C6</x:f>
        <x:v>0</x:v>
      </x:c>
      <x:c r="E6" s="22" t="str">
        <x:f>IF(D6=0,"PASS","FAIL")</x:f>
        <x:v>PASS</x:v>
      </x:c>
      <x:c r="F6" s="21" t="str">
        <x:v>Cash Bridge B15</x:v>
      </x:c>
    </x:row>
    <x:row r="7">
      <x:c r="A7" s="21" t="str">
        <x:v>Evidence rows</x:v>
      </x:c>
      <x:c r="B7" s="21" t="n">
        <x:f>COUNTA('Evidence Index'!A4:A13)</x:f>
        <x:v>10</x:v>
      </x:c>
      <x:c r="C7" s="21" t="n">
        <x:v>10</x:v>
      </x:c>
      <x:c r="D7" s="21" t="n">
        <x:f>B7-C7</x:f>
        <x:v>0</x:v>
      </x:c>
      <x:c r="E7" s="22" t="str">
        <x:f>IF(D7=0,"PASS","FAIL")</x:f>
        <x:v>PASS</x:v>
      </x:c>
      <x:c r="F7" s="21" t="str">
        <x:v>Evidence Index A4:I13</x:v>
      </x:c>
    </x:row>
    <x:row r="9">
      <x:c r="A9" s="11" t="str">
        <x:f>IF(COUNTIF(E4:E7,"PASS")=4,"MODEL STATUS: PASS","MODEL STATUS: FAIL")</x:f>
        <x:v>MODEL STATUS: PASS</x:v>
      </x:c>
      <x:c r="B9" s="11"/>
      <x:c r="C9" s="11"/>
      <x:c r="D9" s="11"/>
      <x:c r="E9" s="11"/>
      <x:c r="F9" s="11"/>
    </x:row>
  </x:sheetData>
  <x:mergeCells>
    <x:mergeCell ref="A1:F1"/>
    <x:mergeCell ref="A9:F9"/>
  </x:mergeCells>
  <x:pageMargins left="0.7" right="0.7" top="0.75" bottom="0.75" header="0.3" footer="0.3"/>
</x:worksheet>
</file>