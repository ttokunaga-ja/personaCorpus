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410f3cb39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&amp;E Review" sheetId="1" r:id="Re06cdab14654417f"/>
    <x:sheet xmlns:r="http://schemas.openxmlformats.org/officeDocument/2006/relationships" name="Checks" sheetId="2" r:id="Rd371838a2e924a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[Red](#,##0)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419c45d00a42dc" /><Relationship Type="http://schemas.openxmlformats.org/officeDocument/2006/relationships/theme" Target="/xl/theme/theme1.xml" Id="R9d0ef6657c834af4" /><Relationship Type="http://schemas.openxmlformats.org/officeDocument/2006/relationships/sharedStrings" Target="/xl/sharedStrings.xml" Id="R7fd2264e8abd4237" /><Relationship Type="http://schemas.openxmlformats.org/officeDocument/2006/relationships/worksheet" Target="/xl/worksheets/sheet1.xml" Id="Re06cdab14654417f" /><Relationship Type="http://schemas.openxmlformats.org/officeDocument/2006/relationships/worksheet" Target="/xl/worksheets/sheet2.xml" Id="Rd371838a2e924a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600004196167" hidden="0" customWidth="1"/>
    <x:col min="2" max="2" width="9" hidden="0" customWidth="1"/>
    <x:col min="3" max="3" width="9.890000343322754" hidden="0" customWidth="1"/>
    <x:col min="4" max="4" width="9.890000343322754" hidden="0" customWidth="1"/>
    <x:col min="5" max="5" width="18.559999465942383" hidden="0" customWidth="1"/>
    <x:col min="6" max="6" width="10.109999656677246" hidden="0" customWidth="1"/>
    <x:col min="7" max="7" width="13.4399995803833" hidden="0" customWidth="1"/>
    <x:col min="8" max="8" width="17" hidden="0" customWidth="1"/>
  </x:cols>
  <x:sheetData>
    <x:row r="1" ht="15" hidden="0" customHeight="1">
      <x:c r="A1" s="9" t="str">
        <x:v>Expense ID</x:v>
      </x:c>
      <x:c r="B1" s="9" t="str">
        <x:v>Date</x:v>
      </x:c>
      <x:c r="C1" s="9" t="str">
        <x:v>Cost Center</x:v>
      </x:c>
      <x:c r="D1" s="9" t="str">
        <x:v>Vendor</x:v>
      </x:c>
      <x:c r="E1" s="9" t="str">
        <x:v>Category</x:v>
      </x:c>
      <x:c r="F1" s="9" t="str">
        <x:v>Amount JPY</x:v>
      </x:c>
      <x:c r="G1" s="9" t="str">
        <x:v>Review outcome</x:v>
      </x:c>
      <x:c r="H1" s="9" t="str">
        <x:v>Owner</x:v>
      </x:c>
    </x:row>
    <x:row r="2" ht="15" hidden="0" customHeight="1">
      <x:c r="A2" s="10" t="str">
        <x:v>ENG-2603-008</x:v>
      </x:c>
      <x:c r="B2" s="11" t="str">
        <x:v>2026-03-10</x:v>
      </x:c>
      <x:c r="C2" s="10" t="str">
        <x:v>ENG-310</x:v>
      </x:c>
      <x:c r="D2" s="10" t="str">
        <x:v>Metro Rail</x:v>
      </x:c>
      <x:c r="E2" s="10" t="str">
        <x:v>Business travel</x:v>
      </x:c>
      <x:c r="F2" s="12" t="n">
        <x:v>74000</x:v>
      </x:c>
      <x:c r="G2" s="10" t="str">
        <x:v>Evidence review</x:v>
      </x:c>
      <x:c r="H2" s="10" t="str">
        <x:v>Sales Operations Lead</x:v>
      </x:c>
    </x:row>
    <x:row r="3" ht="15" hidden="0" customHeight="1">
      <x:c r="A3" s="10" t="str">
        <x:v>ENG-2603-009</x:v>
      </x:c>
      <x:c r="B3" s="11" t="str">
        <x:v>2026-03-15</x:v>
      </x:c>
      <x:c r="C3" s="10" t="str">
        <x:v>ENG-310</x:v>
      </x:c>
      <x:c r="D3" s="10" t="str">
        <x:v>Harbor Hotel</x:v>
      </x:c>
      <x:c r="E3" s="10" t="str">
        <x:v>Business travel</x:v>
      </x:c>
      <x:c r="F3" s="12" t="n">
        <x:v>96000</x:v>
      </x:c>
      <x:c r="G3" s="10" t="str">
        <x:v>Evidence review</x:v>
      </x:c>
      <x:c r="H3" s="10" t="str">
        <x:v>Sales Operations Lead</x:v>
      </x:c>
    </x:row>
    <x:row r="4" ht="15" hidden="0" customHeight="1">
      <x:c r="A4" s="10" t="str">
        <x:v>SAL-2601-003</x:v>
      </x:c>
      <x:c r="B4" s="11" t="str">
        <x:v>2026-01-27</x:v>
      </x:c>
      <x:c r="C4" s="10" t="str">
        <x:v>SALES-410</x:v>
      </x:c>
      <x:c r="D4" s="10" t="str">
        <x:v>Metro Rail</x:v>
      </x:c>
      <x:c r="E4" s="10" t="str">
        <x:v>Business travel</x:v>
      </x:c>
      <x:c r="F4" s="12" t="n">
        <x:v>68000</x:v>
      </x:c>
      <x:c r="G4" s="10" t="str">
        <x:v>Cleared</x:v>
      </x:c>
      <x:c r="H4" s="10" t="str">
        <x:v>Sales Operations Lead</x:v>
      </x:c>
    </x:row>
    <x:row r="5" ht="15" hidden="0" customHeight="1">
      <x:c r="A5" s="10" t="str">
        <x:v>SAL-2602-004</x:v>
      </x:c>
      <x:c r="B5" s="11" t="str">
        <x:v>2026-02-02</x:v>
      </x:c>
      <x:c r="C5" s="10" t="str">
        <x:v>SALES-410</x:v>
      </x:c>
      <x:c r="D5" s="10" t="str">
        <x:v>Harbor Hotel</x:v>
      </x:c>
      <x:c r="E5" s="10" t="str">
        <x:v>Business travel</x:v>
      </x:c>
      <x:c r="F5" s="12" t="n">
        <x:v>92000</x:v>
      </x:c>
      <x:c r="G5" s="10" t="str">
        <x:v>Evidence review</x:v>
      </x:c>
      <x:c r="H5" s="10" t="str">
        <x:v>Sales Operations Lead</x:v>
      </x:c>
    </x:row>
    <x:row r="6" ht="15" hidden="0" customHeight="1">
      <x:c r="A6" s="10" t="str">
        <x:v>SAL-2602-006</x:v>
      </x:c>
      <x:c r="B6" s="11" t="str">
        <x:v>2026-02-20</x:v>
      </x:c>
      <x:c r="C6" s="10" t="str">
        <x:v>SALES-410</x:v>
      </x:c>
      <x:c r="D6" s="10" t="str">
        <x:v>Client Table</x:v>
      </x:c>
      <x:c r="E6" s="10" t="str">
        <x:v>Meals and entertainment</x:v>
      </x:c>
      <x:c r="F6" s="12" t="n">
        <x:v>58000</x:v>
      </x:c>
      <x:c r="G6" s="10" t="str">
        <x:v>Cleared</x:v>
      </x:c>
      <x:c r="H6" s="10" t="str">
        <x:v>Sales Operations Lead</x:v>
      </x:c>
    </x:row>
    <x:row r="7" ht="15" hidden="0" customHeight="1">
      <x:c r="A7" s="10" t="str">
        <x:v>SAL-2603-008</x:v>
      </x:c>
      <x:c r="B7" s="11" t="str">
        <x:v>2026-03-11</x:v>
      </x:c>
      <x:c r="C7" s="10" t="str">
        <x:v>SALES-410</x:v>
      </x:c>
      <x:c r="D7" s="10" t="str">
        <x:v>Metro Rail</x:v>
      </x:c>
      <x:c r="E7" s="10" t="str">
        <x:v>Business travel</x:v>
      </x:c>
      <x:c r="F7" s="12" t="n">
        <x:v>76000</x:v>
      </x:c>
      <x:c r="G7" s="10" t="str">
        <x:v>Evidence review</x:v>
      </x:c>
      <x:c r="H7" s="10" t="str">
        <x:v>Sales Operations Lead</x:v>
      </x:c>
    </x:row>
    <x:row r="8" ht="15" hidden="0" customHeight="1">
      <x:c r="A8" s="10" t="str">
        <x:v>SAL-2603-009</x:v>
      </x:c>
      <x:c r="B8" s="11" t="str">
        <x:v>2026-03-16</x:v>
      </x:c>
      <x:c r="C8" s="10" t="str">
        <x:v>SALES-410</x:v>
      </x:c>
      <x:c r="D8" s="10" t="str">
        <x:v>Harbor Hotel</x:v>
      </x:c>
      <x:c r="E8" s="10" t="str">
        <x:v>Business travel</x:v>
      </x:c>
      <x:c r="F8" s="12" t="n">
        <x:v>105000</x:v>
      </x:c>
      <x:c r="G8" s="10" t="str">
        <x:v>Evidence review</x:v>
      </x:c>
      <x:c r="H8" s="10" t="str">
        <x:v>Sales Operations Lead</x:v>
      </x:c>
    </x:row>
    <x:row r="9" ht="15" hidden="0" customHeight="1">
      <x:c r="A9" s="10" t="str">
        <x:v>SAL-2603-010</x:v>
      </x:c>
      <x:c r="B9" s="11" t="str">
        <x:v>2026-03-21</x:v>
      </x:c>
      <x:c r="C9" s="10" t="str">
        <x:v>SALES-410</x:v>
      </x:c>
      <x:c r="D9" s="10" t="str">
        <x:v>Client Table</x:v>
      </x:c>
      <x:c r="E9" s="10" t="str">
        <x:v>Meals and entertainment</x:v>
      </x:c>
      <x:c r="F9" s="12" t="n">
        <x:v>72000</x:v>
      </x:c>
      <x:c r="G9" s="10" t="str">
        <x:v>Evidence review</x:v>
      </x:c>
      <x:c r="H9" s="10" t="str">
        <x:v>Sales Operations Lead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889999389648438" hidden="0" customWidth="1"/>
    <x:col min="2" max="2" width="5.889999866485596" hidden="0" customWidth="1"/>
    <x:col min="3" max="3" width="6.559999942779541" hidden="0" customWidth="1"/>
  </x:cols>
  <x:sheetData>
    <x:row r="1" ht="15" hidden="0" customHeight="1">
      <x:c r="A1" s="9" t="str">
        <x:v>Control</x:v>
      </x:c>
      <x:c r="B1" s="9" t="str">
        <x:v>Result</x:v>
      </x:c>
      <x:c r="C1" s="9" t="str">
        <x:v>Status</x:v>
      </x:c>
    </x:row>
    <x:row r="2" ht="15" hidden="0" customHeight="1">
      <x:c r="A2" s="10" t="str">
        <x:v>T&amp;E items in review</x:v>
      </x:c>
      <x:c r="B2" s="10" t="n">
        <x:f>COUNTA('T&amp;E Review'!$A$2:$A$9)</x:f>
        <x:v>8</x:v>
      </x:c>
      <x:c r="C2" s="10" t="str">
        <x:f>IF(B2&gt;0,"PASS","CHECK")</x:f>
        <x:v>PASS</x:v>
      </x:c>
    </x:row>
    <x:row r="3" ht="15" hidden="0" customHeight="1">
      <x:c r="A3" s="10" t="str">
        <x:v>Items needing evidence review</x:v>
      </x:c>
      <x:c r="B3" s="10" t="n">
        <x:f>COUNTIF('T&amp;E Review'!$G$2:$G$9,"Evidence review")</x:f>
        <x:v>6</x:v>
      </x:c>
      <x:c r="C3" s="10" t="str">
        <x:f>IF(B3&gt;0,"REVIEW","PASS")</x:f>
        <x:v>REVIEW</x:v>
      </x:c>
    </x:row>
    <x:row r="4" ht="15" hidden="0" customHeight="1">
      <x:c r="A4" s="10" t="str">
        <x:v>T&amp;E total JPY</x:v>
      </x:c>
      <x:c r="B4" s="10" t="n">
        <x:f>SUM('T&amp;E Review'!$F$2:$F$9)</x:f>
        <x:v>641000</x:v>
      </x:c>
      <x:c r="C4" s="10" t="str">
        <x:f>IF(B4&gt;0,"PASS","CHECK")</x:f>
        <x:v>PASS</x:v>
      </x:c>
    </x:row>
  </x:sheetData>
  <x:pageMargins left="0.7" right="0.7" top="0.75" bottom="0.75" header="0.3" footer="0.3"/>
</x:worksheet>
</file>