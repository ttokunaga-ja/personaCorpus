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5a967b2334e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0afee18c584234"/>
    <x:sheet xmlns:r="http://schemas.openxmlformats.org/officeDocument/2006/relationships" name="Import Detail" sheetId="2" r:id="Reae7b25736fe4920"/>
    <x:sheet xmlns:r="http://schemas.openxmlformats.org/officeDocument/2006/relationships" name="Checks" sheetId="3" r:id="Rd73b16d2e4ff4d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;[Red](#,##0)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39c4c0d1b43af" /><Relationship Type="http://schemas.openxmlformats.org/officeDocument/2006/relationships/theme" Target="/xl/theme/theme1.xml" Id="R5a62fe7ef21644ab" /><Relationship Type="http://schemas.openxmlformats.org/officeDocument/2006/relationships/sharedStrings" Target="/xl/sharedStrings.xml" Id="R9ba02b6080e94375" /><Relationship Type="http://schemas.openxmlformats.org/officeDocument/2006/relationships/worksheet" Target="/xl/worksheets/sheet1.xml" Id="R790afee18c584234" /><Relationship Type="http://schemas.openxmlformats.org/officeDocument/2006/relationships/worksheet" Target="/xl/worksheets/sheet2.xml" Id="Reae7b25736fe4920" /><Relationship Type="http://schemas.openxmlformats.org/officeDocument/2006/relationships/worksheet" Target="/xl/worksheets/sheet3.xml" Id="Rd73b16d2e4ff4d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779998779296875" hidden="0" customWidth="1"/>
    <x:col min="2" max="2" width="16.440000534057617" hidden="0" customWidth="1"/>
    <x:col min="3" max="3" width="68.88999938964844" hidden="0" customWidth="1"/>
    <x:col min="4" max="4" width="9.220000267028809" hidden="0" customWidth="1"/>
    <x:col min="5" max="5" width="10.109999656677246" hidden="0" customWidth="1"/>
    <x:col min="6" max="6" width="17" hidden="0" customWidth="1"/>
  </x:cols>
  <x:sheetData>
    <x:row r="1" ht="15" hidden="0" customHeight="1">
      <x:c r="A1" s="7" t="str">
        <x:v>Cedar Works | FY2026 Q1 Department Expense Summary</x:v>
      </x:c>
      <x:c r="B1" s="7"/>
      <x:c r="C1" s="7"/>
      <x:c r="D1" s="7"/>
      <x:c r="E1" s="7"/>
      <x:c r="F1" s="7"/>
    </x:row>
    <x:row r="2" ht="15" hidden="0" customHeight="1">
      <x:c r="A2" s="8"/>
      <x:c r="B2" s="8"/>
      <x:c r="C2" s="8"/>
      <x:c r="D2" s="8"/>
      <x:c r="E2" s="8"/>
      <x:c r="F2" s="8"/>
    </x:row>
    <x:row r="3" ht="15" hidden="0" customHeight="1">
      <x:c r="A3" s="8" t="str">
        <x:v>Cost Center</x:v>
      </x:c>
      <x:c r="B3" s="8" t="str">
        <x:v>Department</x:v>
      </x:c>
      <x:c r="C3" s="8" t="str">
        <x:v>Actual JPY</x:v>
      </x:c>
      <x:c r="D3" s="8" t="str">
        <x:v>Budget JPY</x:v>
      </x:c>
      <x:c r="E3" s="8" t="str">
        <x:v>Variance JPY</x:v>
      </x:c>
      <x:c r="F3" s="8" t="str">
        <x:v>Status</x:v>
      </x:c>
    </x:row>
    <x:row r="4" ht="15" hidden="0" customHeight="1">
      <x:c r="A4" s="8" t="str">
        <x:v>ENG-310</x:v>
      </x:c>
      <x:c r="B4" s="8" t="str">
        <x:v>Engineering</x:v>
      </x:c>
      <x:c r="C4" s="12" t="n">
        <x:f>SUMIF('Import Detail'!$B$2:$B$49,A4,'Import Detail'!$F$2:$F$49)</x:f>
        <x:v>2717000</x:v>
      </x:c>
      <x:c r="D4" s="12" t="n">
        <x:f>SUMIF('Import Detail'!$B$2:$B$49,A4,'Import Detail'!$G$2:$G$49)</x:f>
        <x:v>2510000</x:v>
      </x:c>
      <x:c r="E4" s="12" t="n">
        <x:f>C4-D4</x:f>
        <x:v>207000</x:v>
      </x:c>
      <x:c r="F4" s="8" t="str">
        <x:f>IF(E4&gt;0,"Unfavorable",IF(E4&lt;0,"Favorable","On budget"))</x:f>
        <x:v>Unfavorable</x:v>
      </x:c>
    </x:row>
    <x:row r="5" ht="15" hidden="0" customHeight="1">
      <x:c r="A5" s="8" t="str">
        <x:v>FAC-510</x:v>
      </x:c>
      <x:c r="B5" s="8" t="str">
        <x:v>Facilities</x:v>
      </x:c>
      <x:c r="C5" s="12" t="n">
        <x:f>SUMIF('Import Detail'!$B$2:$B$49,A5,'Import Detail'!$F$2:$F$49)</x:f>
        <x:v>2338000</x:v>
      </x:c>
      <x:c r="D5" s="12" t="n">
        <x:f>SUMIF('Import Detail'!$B$2:$B$49,A5,'Import Detail'!$G$2:$G$49)</x:f>
        <x:v>2140000</x:v>
      </x:c>
      <x:c r="E5" s="12" t="n">
        <x:f>C5-D5</x:f>
        <x:v>198000</x:v>
      </x:c>
      <x:c r="F5" s="8" t="str">
        <x:f>IF(E5&gt;0,"Unfavorable",IF(E5&lt;0,"Favorable","On budget"))</x:f>
        <x:v>Unfavorable</x:v>
      </x:c>
    </x:row>
    <x:row r="6" ht="15" hidden="0" customHeight="1">
      <x:c r="A6" s="8" t="str">
        <x:v>OPS-210</x:v>
      </x:c>
      <x:c r="B6" s="8" t="str">
        <x:v>Operations</x:v>
      </x:c>
      <x:c r="C6" s="12" t="n">
        <x:f>SUMIF('Import Detail'!$B$2:$B$49,A6,'Import Detail'!$F$2:$F$49)</x:f>
        <x:v>2394000</x:v>
      </x:c>
      <x:c r="D6" s="12" t="n">
        <x:f>SUMIF('Import Detail'!$B$2:$B$49,A6,'Import Detail'!$G$2:$G$49)</x:f>
        <x:v>2220000</x:v>
      </x:c>
      <x:c r="E6" s="12" t="n">
        <x:f>C6-D6</x:f>
        <x:v>174000</x:v>
      </x:c>
      <x:c r="F6" s="8" t="str">
        <x:f>IF(E6&gt;0,"Unfavorable",IF(E6&lt;0,"Favorable","On budget"))</x:f>
        <x:v>Unfavorable</x:v>
      </x:c>
    </x:row>
    <x:row r="7" ht="15" hidden="0" customHeight="1">
      <x:c r="A7" s="8" t="str">
        <x:v>SALES-410</x:v>
      </x:c>
      <x:c r="B7" s="8" t="str">
        <x:v>Sales</x:v>
      </x:c>
      <x:c r="C7" s="12" t="n">
        <x:f>SUMIF('Import Detail'!$B$2:$B$49,A7,'Import Detail'!$F$2:$F$49)</x:f>
        <x:v>1891000</x:v>
      </x:c>
      <x:c r="D7" s="12" t="n">
        <x:f>SUMIF('Import Detail'!$B$2:$B$49,A7,'Import Detail'!$G$2:$G$49)</x:f>
        <x:v>1680000</x:v>
      </x:c>
      <x:c r="E7" s="12" t="n">
        <x:f>C7-D7</x:f>
        <x:v>211000</x:v>
      </x:c>
      <x:c r="F7" s="8" t="str">
        <x:f>IF(E7&gt;0,"Unfavorable",IF(E7&lt;0,"Favorable","On budget"))</x:f>
        <x:v>Unfavorable</x:v>
      </x:c>
    </x:row>
    <x:row r="8" ht="15" hidden="0" customHeight="1">
      <x:c r="A8" s="8" t="str">
        <x:v>FIN-100</x:v>
      </x:c>
      <x:c r="B8" s="8" t="str">
        <x:v>Finance (context only)</x:v>
      </x:c>
      <x:c r="C8" s="12" t="n">
        <x:v>0</x:v>
      </x:c>
      <x:c r="D8" s="12" t="n">
        <x:v>0</x:v>
      </x:c>
      <x:c r="E8" s="12" t="n">
        <x:f>C8-D8</x:f>
        <x:v>0</x:v>
      </x:c>
      <x:c r="F8" s="8" t="str">
        <x:v>Not in expense extract</x:v>
      </x:c>
    </x:row>
    <x:row r="9" ht="15" hidden="0" customHeight="1">
      <x:c r="A9" s="8"/>
      <x:c r="B9" s="8"/>
      <x:c r="C9" s="8"/>
      <x:c r="D9" s="8"/>
      <x:c r="E9" s="8"/>
      <x:c r="F9" s="8"/>
    </x:row>
    <x:row r="10" ht="15" hidden="0" customHeight="1">
      <x:c r="A10" s="8" t="str">
        <x:v>Business context</x:v>
      </x:c>
      <x:c r="B10" s="8" t="str">
        <x:v>FY2026 Q1</x:v>
      </x:c>
      <x:c r="C10" s="8" t="str">
        <x:v>Cash variance is an operating-cash context metric; it is not reconciled to this expense extract.</x:v>
      </x:c>
      <x:c r="D10" s="8"/>
      <x:c r="E10" s="8"/>
      <x:c r="F10" s="8"/>
    </x:row>
    <x:row r="11" ht="15" hidden="0" customHeight="1">
      <x:c r="A11" s="8" t="str">
        <x:v>Revenue JPY</x:v>
      </x:c>
      <x:c r="B11" s="12" t="n">
        <x:v>1842000000</x:v>
      </x:c>
      <x:c r="C11" s="8"/>
      <x:c r="D11" s="8"/>
      <x:c r="E11" s="8"/>
      <x:c r="F11" s="8"/>
    </x:row>
    <x:row r="12" ht="15" hidden="0" customHeight="1">
      <x:c r="A12" s="8" t="str">
        <x:v>EBITDA JPY</x:v>
      </x:c>
      <x:c r="B12" s="12" t="n">
        <x:v>222000000</x:v>
      </x:c>
      <x:c r="C12" s="8"/>
      <x:c r="D12" s="8"/>
      <x:c r="E12" s="8"/>
      <x:c r="F12" s="8"/>
    </x:row>
    <x:row r="13" ht="15" hidden="0" customHeight="1">
      <x:c r="A13" s="8" t="str">
        <x:v>March cash variance JPY</x:v>
      </x:c>
      <x:c r="B13" s="12" t="n">
        <x:v>12400000</x:v>
      </x:c>
      <x:c r="C13" s="8"/>
      <x:c r="D13" s="8"/>
      <x:c r="E13" s="8"/>
      <x:c r="F13" s="8"/>
    </x:row>
  </x:sheetData>
  <x:mergeCells>
    <x:mergeCell ref="A1:F1"/>
    <x:mergeCell ref="C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20000267028809" hidden="0" customWidth="1"/>
    <x:col min="2" max="2" width="9.890000343322754" hidden="0" customWidth="1"/>
    <x:col min="3" max="3" width="11.5600004196167" hidden="0" customWidth="1"/>
    <x:col min="4" max="4" width="16.329999923706055" hidden="0" customWidth="1"/>
    <x:col min="5" max="5" width="18.559999465942383" hidden="0" customWidth="1"/>
    <x:col min="6" max="6" width="10.109999656677246" hidden="0" customWidth="1"/>
    <x:col min="7" max="7" width="9.670000076293945" hidden="0" customWidth="1"/>
    <x:col min="8" max="8" width="12.890000343322754" hidden="0" customWidth="1"/>
  </x:cols>
  <x:sheetData>
    <x:row r="1" ht="15" hidden="0" customHeight="1">
      <x:c r="A1" s="7" t="str">
        <x:v>Expense Date</x:v>
      </x:c>
      <x:c r="B1" s="7" t="str">
        <x:v>Cost Center</x:v>
      </x:c>
      <x:c r="C1" s="7" t="str">
        <x:v>Expense ID</x:v>
      </x:c>
      <x:c r="D1" s="7" t="str">
        <x:v>Vendor</x:v>
      </x:c>
      <x:c r="E1" s="7" t="str">
        <x:v>Category</x:v>
      </x:c>
      <x:c r="F1" s="7" t="str">
        <x:v>Amount JPY</x:v>
      </x:c>
      <x:c r="G1" s="7" t="str">
        <x:v>Budget JPY</x:v>
      </x:c>
      <x:c r="H1" s="7" t="str">
        <x:v>Approval Status</x:v>
      </x:c>
    </x:row>
    <x:row r="2" ht="15" hidden="0" customHeight="1">
      <x:c r="A2" s="11" t="str">
        <x:v>2026-01-08</x:v>
      </x:c>
      <x:c r="B2" s="8" t="str">
        <x:v>ENG-310</x:v>
      </x:c>
      <x:c r="C2" s="8" t="str">
        <x:v>ENG-2601-001</x:v>
      </x:c>
      <x:c r="D2" s="8" t="str">
        <x:v>Nimbus Dev Tools</x:v>
      </x:c>
      <x:c r="E2" s="8" t="str">
        <x:v>Software subscriptions</x:v>
      </x:c>
      <x:c r="F2" s="12" t="n">
        <x:v>185000</x:v>
      </x:c>
      <x:c r="G2" s="12" t="n">
        <x:v>170000</x:v>
      </x:c>
      <x:c r="H2" s="8" t="str">
        <x:v>Approved</x:v>
      </x:c>
    </x:row>
    <x:row r="3" ht="15" hidden="0" customHeight="1">
      <x:c r="A3" s="11" t="str">
        <x:v>2026-01-14</x:v>
      </x:c>
      <x:c r="B3" s="8" t="str">
        <x:v>ENG-310</x:v>
      </x:c>
      <x:c r="C3" s="8" t="str">
        <x:v>ENG-2601-002</x:v>
      </x:c>
      <x:c r="D3" s="8" t="str">
        <x:v>Cedar Cloud Lab</x:v>
      </x:c>
      <x:c r="E3" s="8" t="str">
        <x:v>Cloud compute</x:v>
      </x:c>
      <x:c r="F3" s="12" t="n">
        <x:v>420000</x:v>
      </x:c>
      <x:c r="G3" s="12" t="n">
        <x:v>400000</x:v>
      </x:c>
      <x:c r="H3" s="8" t="str">
        <x:v>Approved</x:v>
      </x:c>
    </x:row>
    <x:row r="4" ht="15" hidden="0" customHeight="1">
      <x:c r="A4" s="11" t="str">
        <x:v>2026-01-22</x:v>
      </x:c>
      <x:c r="B4" s="8" t="str">
        <x:v>ENG-310</x:v>
      </x:c>
      <x:c r="C4" s="8" t="str">
        <x:v>ENG-2601-003</x:v>
      </x:c>
      <x:c r="D4" s="8" t="str">
        <x:v>Prototype Parts Co.</x:v>
      </x:c>
      <x:c r="E4" s="8" t="str">
        <x:v>Lab supplies</x:v>
      </x:c>
      <x:c r="F4" s="12" t="n">
        <x:v>98000</x:v>
      </x:c>
      <x:c r="G4" s="12" t="n">
        <x:v>110000</x:v>
      </x:c>
      <x:c r="H4" s="8" t="str">
        <x:v>Approved</x:v>
      </x:c>
    </x:row>
    <x:row r="5" ht="15" hidden="0" customHeight="1">
      <x:c r="A5" s="11" t="str">
        <x:v>2026-02-03</x:v>
      </x:c>
      <x:c r="B5" s="8" t="str">
        <x:v>ENG-310</x:v>
      </x:c>
      <x:c r="C5" s="8" t="str">
        <x:v>ENG-2602-004</x:v>
      </x:c>
      <x:c r="D5" s="8" t="str">
        <x:v>Atlas Training</x:v>
      </x:c>
      <x:c r="E5" s="8" t="str">
        <x:v>Technical training</x:v>
      </x:c>
      <x:c r="F5" s="12" t="n">
        <x:v>156000</x:v>
      </x:c>
      <x:c r="G5" s="12" t="n">
        <x:v>150000</x:v>
      </x:c>
      <x:c r="H5" s="8" t="str">
        <x:v>Approved</x:v>
      </x:c>
    </x:row>
    <x:row r="6" ht="15" hidden="0" customHeight="1">
      <x:c r="A6" s="11" t="str">
        <x:v>2026-02-11</x:v>
      </x:c>
      <x:c r="B6" s="8" t="str">
        <x:v>ENG-310</x:v>
      </x:c>
      <x:c r="C6" s="8" t="str">
        <x:v>ENG-2602-005</x:v>
      </x:c>
      <x:c r="D6" s="8" t="str">
        <x:v>Nimbus Dev Tools</x:v>
      </x:c>
      <x:c r="E6" s="8" t="str">
        <x:v>Software subscriptions</x:v>
      </x:c>
      <x:c r="F6" s="12" t="n">
        <x:v>188000</x:v>
      </x:c>
      <x:c r="G6" s="12" t="n">
        <x:v>170000</x:v>
      </x:c>
      <x:c r="H6" s="8" t="str">
        <x:v>Approved</x:v>
      </x:c>
    </x:row>
    <x:row r="7" ht="15" hidden="0" customHeight="1">
      <x:c r="A7" s="11" t="str">
        <x:v>2026-02-26</x:v>
      </x:c>
      <x:c r="B7" s="8" t="str">
        <x:v>ENG-310</x:v>
      </x:c>
      <x:c r="C7" s="8" t="str">
        <x:v>ENG-2602-006</x:v>
      </x:c>
      <x:c r="D7" s="8" t="str">
        <x:v>Cedar Cloud Lab</x:v>
      </x:c>
      <x:c r="E7" s="8" t="str">
        <x:v>Cloud compute</x:v>
      </x:c>
      <x:c r="F7" s="12" t="n">
        <x:v>465000</x:v>
      </x:c>
      <x:c r="G7" s="12" t="n">
        <x:v>430000</x:v>
      </x:c>
      <x:c r="H7" s="8" t="str">
        <x:v>Approved</x:v>
      </x:c>
    </x:row>
    <x:row r="8" ht="15" hidden="0" customHeight="1">
      <x:c r="A8" s="11" t="str">
        <x:v>2026-03-04</x:v>
      </x:c>
      <x:c r="B8" s="8" t="str">
        <x:v>ENG-310</x:v>
      </x:c>
      <x:c r="C8" s="8" t="str">
        <x:v>ENG-2603-007</x:v>
      </x:c>
      <x:c r="D8" s="8" t="str">
        <x:v>Prototype Parts Co.</x:v>
      </x:c>
      <x:c r="E8" s="8" t="str">
        <x:v>Lab supplies</x:v>
      </x:c>
      <x:c r="F8" s="12" t="n">
        <x:v>125000</x:v>
      </x:c>
      <x:c r="G8" s="12" t="n">
        <x:v>120000</x:v>
      </x:c>
      <x:c r="H8" s="8" t="str">
        <x:v>Approved</x:v>
      </x:c>
    </x:row>
    <x:row r="9" ht="15" hidden="0" customHeight="1">
      <x:c r="A9" s="11" t="str">
        <x:v>2026-03-10</x:v>
      </x:c>
      <x:c r="B9" s="8" t="str">
        <x:v>ENG-310</x:v>
      </x:c>
      <x:c r="C9" s="8" t="str">
        <x:v>ENG-2603-008</x:v>
      </x:c>
      <x:c r="D9" s="8" t="str">
        <x:v>Metro Rail</x:v>
      </x:c>
      <x:c r="E9" s="8" t="str">
        <x:v>Business travel</x:v>
      </x:c>
      <x:c r="F9" s="12" t="n">
        <x:v>74000</x:v>
      </x:c>
      <x:c r="G9" s="12" t="n">
        <x:v>60000</x:v>
      </x:c>
      <x:c r="H9" s="8" t="str">
        <x:v>Approved</x:v>
      </x:c>
    </x:row>
    <x:row r="10" ht="15" hidden="0" customHeight="1">
      <x:c r="A10" s="11" t="str">
        <x:v>2026-03-15</x:v>
      </x:c>
      <x:c r="B10" s="8" t="str">
        <x:v>ENG-310</x:v>
      </x:c>
      <x:c r="C10" s="8" t="str">
        <x:v>ENG-2603-009</x:v>
      </x:c>
      <x:c r="D10" s="8" t="str">
        <x:v>Harbor Hotel</x:v>
      </x:c>
      <x:c r="E10" s="8" t="str">
        <x:v>Business travel</x:v>
      </x:c>
      <x:c r="F10" s="12" t="n">
        <x:v>96000</x:v>
      </x:c>
      <x:c r="G10" s="12" t="n">
        <x:v>90000</x:v>
      </x:c>
      <x:c r="H10" s="8" t="str">
        <x:v>Approved</x:v>
      </x:c>
    </x:row>
    <x:row r="11" ht="15" hidden="0" customHeight="1">
      <x:c r="A11" s="11" t="str">
        <x:v>2026-03-20</x:v>
      </x:c>
      <x:c r="B11" s="8" t="str">
        <x:v>ENG-310</x:v>
      </x:c>
      <x:c r="C11" s="8" t="str">
        <x:v>ENG-2603-010</x:v>
      </x:c>
      <x:c r="D11" s="8" t="str">
        <x:v>Atlas Training</x:v>
      </x:c>
      <x:c r="E11" s="8" t="str">
        <x:v>Technical training</x:v>
      </x:c>
      <x:c r="F11" s="12" t="n">
        <x:v>210000</x:v>
      </x:c>
      <x:c r="G11" s="12" t="n">
        <x:v>180000</x:v>
      </x:c>
      <x:c r="H11" s="8" t="str">
        <x:v>Approved</x:v>
      </x:c>
    </x:row>
    <x:row r="12" ht="15" hidden="0" customHeight="1">
      <x:c r="A12" s="11" t="str">
        <x:v>2026-03-24</x:v>
      </x:c>
      <x:c r="B12" s="8" t="str">
        <x:v>ENG-310</x:v>
      </x:c>
      <x:c r="C12" s="8" t="str">
        <x:v>ENG-2603-011</x:v>
      </x:c>
      <x:c r="D12" s="8" t="str">
        <x:v>Nimbus Dev Tools</x:v>
      </x:c>
      <x:c r="E12" s="8" t="str">
        <x:v>Software subscriptions</x:v>
      </x:c>
      <x:c r="F12" s="12" t="n">
        <x:v>190000</x:v>
      </x:c>
      <x:c r="G12" s="12" t="n">
        <x:v>170000</x:v>
      </x:c>
      <x:c r="H12" s="8" t="str">
        <x:v>Approved</x:v>
      </x:c>
    </x:row>
    <x:row r="13" ht="15" hidden="0" customHeight="1">
      <x:c r="A13" s="11" t="str">
        <x:v>2026-03-28</x:v>
      </x:c>
      <x:c r="B13" s="8" t="str">
        <x:v>ENG-310</x:v>
      </x:c>
      <x:c r="C13" s="8" t="str">
        <x:v>ENG-2603-012</x:v>
      </x:c>
      <x:c r="D13" s="8" t="str">
        <x:v>Cedar Cloud Lab</x:v>
      </x:c>
      <x:c r="E13" s="8" t="str">
        <x:v>Cloud compute</x:v>
      </x:c>
      <x:c r="F13" s="12" t="n">
        <x:v>510000</x:v>
      </x:c>
      <x:c r="G13" s="12" t="n">
        <x:v>460000</x:v>
      </x:c>
      <x:c r="H13" s="8" t="str">
        <x:v>Pending</x:v>
      </x:c>
    </x:row>
    <x:row r="14" ht="15" hidden="0" customHeight="1">
      <x:c r="A14" s="11" t="str">
        <x:v>2026-01-06</x:v>
      </x:c>
      <x:c r="B14" s="8" t="str">
        <x:v>FAC-510</x:v>
      </x:c>
      <x:c r="C14" s="8" t="str">
        <x:v>FAC-2601-001</x:v>
      </x:c>
      <x:c r="D14" s="8" t="str">
        <x:v>Northlight Utilities</x:v>
      </x:c>
      <x:c r="E14" s="8" t="str">
        <x:v>Utilities</x:v>
      </x:c>
      <x:c r="F14" s="12" t="n">
        <x:v>315000</x:v>
      </x:c>
      <x:c r="G14" s="12" t="n">
        <x:v>300000</x:v>
      </x:c>
      <x:c r="H14" s="8" t="str">
        <x:v>Approved</x:v>
      </x:c>
    </x:row>
    <x:row r="15" ht="15" hidden="0" customHeight="1">
      <x:c r="A15" s="11" t="str">
        <x:v>2026-01-13</x:v>
      </x:c>
      <x:c r="B15" s="8" t="str">
        <x:v>FAC-510</x:v>
      </x:c>
      <x:c r="C15" s="8" t="str">
        <x:v>FAC-2601-002</x:v>
      </x:c>
      <x:c r="D15" s="8" t="str">
        <x:v>Cedar Maintenance</x:v>
      </x:c>
      <x:c r="E15" s="8" t="str">
        <x:v>Repairs</x:v>
      </x:c>
      <x:c r="F15" s="12" t="n">
        <x:v>142000</x:v>
      </x:c>
      <x:c r="G15" s="12" t="n">
        <x:v>150000</x:v>
      </x:c>
      <x:c r="H15" s="8" t="str">
        <x:v>Approved</x:v>
      </x:c>
    </x:row>
    <x:row r="16" ht="15" hidden="0" customHeight="1">
      <x:c r="A16" s="11" t="str">
        <x:v>2026-01-21</x:v>
      </x:c>
      <x:c r="B16" s="8" t="str">
        <x:v>FAC-510</x:v>
      </x:c>
      <x:c r="C16" s="8" t="str">
        <x:v>FAC-2601-003</x:v>
      </x:c>
      <x:c r="D16" s="8" t="str">
        <x:v>Cleanline Services</x:v>
      </x:c>
      <x:c r="E16" s="8" t="str">
        <x:v>Cleaning</x:v>
      </x:c>
      <x:c r="F16" s="12" t="n">
        <x:v>88000</x:v>
      </x:c>
      <x:c r="G16" s="12" t="n">
        <x:v>90000</x:v>
      </x:c>
      <x:c r="H16" s="8" t="str">
        <x:v>Approved</x:v>
      </x:c>
    </x:row>
    <x:row r="17" ht="15" hidden="0" customHeight="1">
      <x:c r="A17" s="11" t="str">
        <x:v>2026-02-05</x:v>
      </x:c>
      <x:c r="B17" s="8" t="str">
        <x:v>FAC-510</x:v>
      </x:c>
      <x:c r="C17" s="8" t="str">
        <x:v>FAC-2602-004</x:v>
      </x:c>
      <x:c r="D17" s="8" t="str">
        <x:v>Northlight Utilities</x:v>
      </x:c>
      <x:c r="E17" s="8" t="str">
        <x:v>Utilities</x:v>
      </x:c>
      <x:c r="F17" s="12" t="n">
        <x:v>325000</x:v>
      </x:c>
      <x:c r="G17" s="12" t="n">
        <x:v>300000</x:v>
      </x:c>
      <x:c r="H17" s="8" t="str">
        <x:v>Approved</x:v>
      </x:c>
    </x:row>
    <x:row r="18" ht="15" hidden="0" customHeight="1">
      <x:c r="A18" s="11" t="str">
        <x:v>2026-02-12</x:v>
      </x:c>
      <x:c r="B18" s="8" t="str">
        <x:v>FAC-510</x:v>
      </x:c>
      <x:c r="C18" s="8" t="str">
        <x:v>FAC-2602-005</x:v>
      </x:c>
      <x:c r="D18" s="8" t="str">
        <x:v>Cedar Maintenance</x:v>
      </x:c>
      <x:c r="E18" s="8" t="str">
        <x:v>Repairs</x:v>
      </x:c>
      <x:c r="F18" s="12" t="n">
        <x:v>175000</x:v>
      </x:c>
      <x:c r="G18" s="12" t="n">
        <x:v>150000</x:v>
      </x:c>
      <x:c r="H18" s="8" t="str">
        <x:v>Approved</x:v>
      </x:c>
    </x:row>
    <x:row r="19" ht="15" hidden="0" customHeight="1">
      <x:c r="A19" s="11" t="str">
        <x:v>2026-02-19</x:v>
      </x:c>
      <x:c r="B19" s="8" t="str">
        <x:v>FAC-510</x:v>
      </x:c>
      <x:c r="C19" s="8" t="str">
        <x:v>FAC-2602-006</x:v>
      </x:c>
      <x:c r="D19" s="8" t="str">
        <x:v>SafeStep Systems</x:v>
      </x:c>
      <x:c r="E19" s="8" t="str">
        <x:v>Safety supplies</x:v>
      </x:c>
      <x:c r="F19" s="12" t="n">
        <x:v>76000</x:v>
      </x:c>
      <x:c r="G19" s="12" t="n">
        <x:v>80000</x:v>
      </x:c>
      <x:c r="H19" s="8" t="str">
        <x:v>Approved</x:v>
      </x:c>
    </x:row>
    <x:row r="20" ht="15" hidden="0" customHeight="1">
      <x:c r="A20" s="11" t="str">
        <x:v>2026-03-03</x:v>
      </x:c>
      <x:c r="B20" s="8" t="str">
        <x:v>FAC-510</x:v>
      </x:c>
      <x:c r="C20" s="8" t="str">
        <x:v>FAC-2603-007</x:v>
      </x:c>
      <x:c r="D20" s="8" t="str">
        <x:v>Northlight Utilities</x:v>
      </x:c>
      <x:c r="E20" s="8" t="str">
        <x:v>Utilities</x:v>
      </x:c>
      <x:c r="F20" s="12" t="n">
        <x:v>342000</x:v>
      </x:c>
      <x:c r="G20" s="12" t="n">
        <x:v>300000</x:v>
      </x:c>
      <x:c r="H20" s="8" t="str">
        <x:v>Approved</x:v>
      </x:c>
    </x:row>
    <x:row r="21" ht="15" hidden="0" customHeight="1">
      <x:c r="A21" s="11" t="str">
        <x:v>2026-03-09</x:v>
      </x:c>
      <x:c r="B21" s="8" t="str">
        <x:v>FAC-510</x:v>
      </x:c>
      <x:c r="C21" s="8" t="str">
        <x:v>FAC-2603-008</x:v>
      </x:c>
      <x:c r="D21" s="8" t="str">
        <x:v>Cleanline Services</x:v>
      </x:c>
      <x:c r="E21" s="8" t="str">
        <x:v>Cleaning</x:v>
      </x:c>
      <x:c r="F21" s="12" t="n">
        <x:v>94000</x:v>
      </x:c>
      <x:c r="G21" s="12" t="n">
        <x:v>90000</x:v>
      </x:c>
      <x:c r="H21" s="8" t="str">
        <x:v>Approved</x:v>
      </x:c>
    </x:row>
    <x:row r="22" ht="15" hidden="0" customHeight="1">
      <x:c r="A22" s="11" t="str">
        <x:v>2026-03-14</x:v>
      </x:c>
      <x:c r="B22" s="8" t="str">
        <x:v>FAC-510</x:v>
      </x:c>
      <x:c r="C22" s="8" t="str">
        <x:v>FAC-2603-009</x:v>
      </x:c>
      <x:c r="D22" s="8" t="str">
        <x:v>Cedar Maintenance</x:v>
      </x:c>
      <x:c r="E22" s="8" t="str">
        <x:v>Repairs</x:v>
      </x:c>
      <x:c r="F22" s="12" t="n">
        <x:v>220000</x:v>
      </x:c>
      <x:c r="G22" s="12" t="n">
        <x:v>180000</x:v>
      </x:c>
      <x:c r="H22" s="8" t="str">
        <x:v>Approved</x:v>
      </x:c>
    </x:row>
    <x:row r="23" ht="15" hidden="0" customHeight="1">
      <x:c r="A23" s="11" t="str">
        <x:v>2026-03-18</x:v>
      </x:c>
      <x:c r="B23" s="8" t="str">
        <x:v>FAC-510</x:v>
      </x:c>
      <x:c r="C23" s="8" t="str">
        <x:v>FAC-2603-010</x:v>
      </x:c>
      <x:c r="D23" s="8" t="str">
        <x:v>SafeStep Systems</x:v>
      </x:c>
      <x:c r="E23" s="8" t="str">
        <x:v>Safety supplies</x:v>
      </x:c>
      <x:c r="F23" s="12" t="n">
        <x:v>81000</x:v>
      </x:c>
      <x:c r="G23" s="12" t="n">
        <x:v>80000</x:v>
      </x:c>
      <x:c r="H23" s="8" t="str">
        <x:v>Approved</x:v>
      </x:c>
    </x:row>
    <x:row r="24" ht="15" hidden="0" customHeight="1">
      <x:c r="A24" s="11" t="str">
        <x:v>2026-03-23</x:v>
      </x:c>
      <x:c r="B24" s="8" t="str">
        <x:v>FAC-510</x:v>
      </x:c>
      <x:c r="C24" s="8" t="str">
        <x:v>FAC-2603-011</x:v>
      </x:c>
      <x:c r="D24" s="8" t="str">
        <x:v>Metro Lift Service</x:v>
      </x:c>
      <x:c r="E24" s="8" t="str">
        <x:v>Equipment service</x:v>
      </x:c>
      <x:c r="F24" s="12" t="n">
        <x:v>130000</x:v>
      </x:c>
      <x:c r="G24" s="12" t="n">
        <x:v>120000</x:v>
      </x:c>
      <x:c r="H24" s="8" t="str">
        <x:v>Approved</x:v>
      </x:c>
    </x:row>
    <x:row r="25" ht="15" hidden="0" customHeight="1">
      <x:c r="A25" s="11" t="str">
        <x:v>2026-03-29</x:v>
      </x:c>
      <x:c r="B25" s="8" t="str">
        <x:v>FAC-510</x:v>
      </x:c>
      <x:c r="C25" s="8" t="str">
        <x:v>FAC-2603-012</x:v>
      </x:c>
      <x:c r="D25" s="8" t="str">
        <x:v>Northlight Utilities</x:v>
      </x:c>
      <x:c r="E25" s="8" t="str">
        <x:v>Utilities</x:v>
      </x:c>
      <x:c r="F25" s="12" t="n">
        <x:v>350000</x:v>
      </x:c>
      <x:c r="G25" s="12" t="n">
        <x:v>300000</x:v>
      </x:c>
      <x:c r="H25" s="8" t="str">
        <x:v>Pending</x:v>
      </x:c>
    </x:row>
    <x:row r="26" ht="15" hidden="0" customHeight="1">
      <x:c r="A26" s="11" t="str">
        <x:v>2026-01-07</x:v>
      </x:c>
      <x:c r="B26" s="8" t="str">
        <x:v>OPS-210</x:v>
      </x:c>
      <x:c r="C26" s="8" t="str">
        <x:v>OPS-2601-001</x:v>
      </x:c>
      <x:c r="D26" s="8" t="str">
        <x:v>RouteWorks Logistics</x:v>
      </x:c>
      <x:c r="E26" s="8" t="str">
        <x:v>Freight</x:v>
      </x:c>
      <x:c r="F26" s="12" t="n">
        <x:v>260000</x:v>
      </x:c>
      <x:c r="G26" s="12" t="n">
        <x:v>250000</x:v>
      </x:c>
      <x:c r="H26" s="8" t="str">
        <x:v>Approved</x:v>
      </x:c>
    </x:row>
    <x:row r="27" ht="15" hidden="0" customHeight="1">
      <x:c r="A27" s="11" t="str">
        <x:v>2026-01-15</x:v>
      </x:c>
      <x:c r="B27" s="8" t="str">
        <x:v>OPS-210</x:v>
      </x:c>
      <x:c r="C27" s="8" t="str">
        <x:v>OPS-2601-002</x:v>
      </x:c>
      <x:c r="D27" s="8" t="str">
        <x:v>Cedar Packaging</x:v>
      </x:c>
      <x:c r="E27" s="8" t="str">
        <x:v>Packaging</x:v>
      </x:c>
      <x:c r="F27" s="12" t="n">
        <x:v>175000</x:v>
      </x:c>
      <x:c r="G27" s="12" t="n">
        <x:v>170000</x:v>
      </x:c>
      <x:c r="H27" s="8" t="str">
        <x:v>Approved</x:v>
      </x:c>
    </x:row>
    <x:row r="28" ht="15" hidden="0" customHeight="1">
      <x:c r="A28" s="11" t="str">
        <x:v>2026-01-25</x:v>
      </x:c>
      <x:c r="B28" s="8" t="str">
        <x:v>OPS-210</x:v>
      </x:c>
      <x:c r="C28" s="8" t="str">
        <x:v>OPS-2601-003</x:v>
      </x:c>
      <x:c r="D28" s="8" t="str">
        <x:v>ShiftSafe Apparel</x:v>
      </x:c>
      <x:c r="E28" s="8" t="str">
        <x:v>Safety supplies</x:v>
      </x:c>
      <x:c r="F28" s="12" t="n">
        <x:v>82000</x:v>
      </x:c>
      <x:c r="G28" s="12" t="n">
        <x:v>90000</x:v>
      </x:c>
      <x:c r="H28" s="8" t="str">
        <x:v>Approved</x:v>
      </x:c>
    </x:row>
    <x:row r="29" ht="15" hidden="0" customHeight="1">
      <x:c r="A29" s="11" t="str">
        <x:v>2026-02-04</x:v>
      </x:c>
      <x:c r="B29" s="8" t="str">
        <x:v>OPS-210</x:v>
      </x:c>
      <x:c r="C29" s="8" t="str">
        <x:v>OPS-2602-004</x:v>
      </x:c>
      <x:c r="D29" s="8" t="str">
        <x:v>RouteWorks Logistics</x:v>
      </x:c>
      <x:c r="E29" s="8" t="str">
        <x:v>Freight</x:v>
      </x:c>
      <x:c r="F29" s="12" t="n">
        <x:v>285000</x:v>
      </x:c>
      <x:c r="G29" s="12" t="n">
        <x:v>260000</x:v>
      </x:c>
      <x:c r="H29" s="8" t="str">
        <x:v>Approved</x:v>
      </x:c>
    </x:row>
    <x:row r="30" ht="15" hidden="0" customHeight="1">
      <x:c r="A30" s="11" t="str">
        <x:v>2026-02-10</x:v>
      </x:c>
      <x:c r="B30" s="8" t="str">
        <x:v>OPS-210</x:v>
      </x:c>
      <x:c r="C30" s="8" t="str">
        <x:v>OPS-2602-005</x:v>
      </x:c>
      <x:c r="D30" s="8" t="str">
        <x:v>Cedar Packaging</x:v>
      </x:c>
      <x:c r="E30" s="8" t="str">
        <x:v>Packaging</x:v>
      </x:c>
      <x:c r="F30" s="12" t="n">
        <x:v>190000</x:v>
      </x:c>
      <x:c r="G30" s="12" t="n">
        <x:v>180000</x:v>
      </x:c>
      <x:c r="H30" s="8" t="str">
        <x:v>Approved</x:v>
      </x:c>
    </x:row>
    <x:row r="31" ht="15" hidden="0" customHeight="1">
      <x:c r="A31" s="11" t="str">
        <x:v>2026-02-22</x:v>
      </x:c>
      <x:c r="B31" s="8" t="str">
        <x:v>OPS-210</x:v>
      </x:c>
      <x:c r="C31" s="8" t="str">
        <x:v>OPS-2602-006</x:v>
      </x:c>
      <x:c r="D31" s="8" t="str">
        <x:v>FleetCare</x:v>
      </x:c>
      <x:c r="E31" s="8" t="str">
        <x:v>Vehicle service</x:v>
      </x:c>
      <x:c r="F31" s="12" t="n">
        <x:v>112000</x:v>
      </x:c>
      <x:c r="G31" s="12" t="n">
        <x:v>100000</x:v>
      </x:c>
      <x:c r="H31" s="8" t="str">
        <x:v>Approved</x:v>
      </x:c>
    </x:row>
    <x:row r="32" ht="15" hidden="0" customHeight="1">
      <x:c r="A32" s="11" t="str">
        <x:v>2026-03-02</x:v>
      </x:c>
      <x:c r="B32" s="8" t="str">
        <x:v>OPS-210</x:v>
      </x:c>
      <x:c r="C32" s="8" t="str">
        <x:v>OPS-2603-007</x:v>
      </x:c>
      <x:c r="D32" s="8" t="str">
        <x:v>RouteWorks Logistics</x:v>
      </x:c>
      <x:c r="E32" s="8" t="str">
        <x:v>Freight</x:v>
      </x:c>
      <x:c r="F32" s="12" t="n">
        <x:v>310000</x:v>
      </x:c>
      <x:c r="G32" s="12" t="n">
        <x:v>280000</x:v>
      </x:c>
      <x:c r="H32" s="8" t="str">
        <x:v>Approved</x:v>
      </x:c>
    </x:row>
    <x:row r="33" ht="15" hidden="0" customHeight="1">
      <x:c r="A33" s="11" t="str">
        <x:v>2026-03-08</x:v>
      </x:c>
      <x:c r="B33" s="8" t="str">
        <x:v>OPS-210</x:v>
      </x:c>
      <x:c r="C33" s="8" t="str">
        <x:v>OPS-2603-008</x:v>
      </x:c>
      <x:c r="D33" s="8" t="str">
        <x:v>Cedar Packaging</x:v>
      </x:c>
      <x:c r="E33" s="8" t="str">
        <x:v>Packaging</x:v>
      </x:c>
      <x:c r="F33" s="12" t="n">
        <x:v>205000</x:v>
      </x:c>
      <x:c r="G33" s="12" t="n">
        <x:v>190000</x:v>
      </x:c>
      <x:c r="H33" s="8" t="str">
        <x:v>Approved</x:v>
      </x:c>
    </x:row>
    <x:row r="34" ht="15" hidden="0" customHeight="1">
      <x:c r="A34" s="11" t="str">
        <x:v>2026-03-13</x:v>
      </x:c>
      <x:c r="B34" s="8" t="str">
        <x:v>OPS-210</x:v>
      </x:c>
      <x:c r="C34" s="8" t="str">
        <x:v>OPS-2603-009</x:v>
      </x:c>
      <x:c r="D34" s="8" t="str">
        <x:v>FleetCare</x:v>
      </x:c>
      <x:c r="E34" s="8" t="str">
        <x:v>Vehicle service</x:v>
      </x:c>
      <x:c r="F34" s="12" t="n">
        <x:v>140000</x:v>
      </x:c>
      <x:c r="G34" s="12" t="n">
        <x:v>120000</x:v>
      </x:c>
      <x:c r="H34" s="8" t="str">
        <x:v>Approved</x:v>
      </x:c>
    </x:row>
    <x:row r="35" ht="15" hidden="0" customHeight="1">
      <x:c r="A35" s="11" t="str">
        <x:v>2026-03-19</x:v>
      </x:c>
      <x:c r="B35" s="8" t="str">
        <x:v>OPS-210</x:v>
      </x:c>
      <x:c r="C35" s="8" t="str">
        <x:v>OPS-2603-010</x:v>
      </x:c>
      <x:c r="D35" s="8" t="str">
        <x:v>ShiftSafe Apparel</x:v>
      </x:c>
      <x:c r="E35" s="8" t="str">
        <x:v>Safety supplies</x:v>
      </x:c>
      <x:c r="F35" s="12" t="n">
        <x:v>90000</x:v>
      </x:c>
      <x:c r="G35" s="12" t="n">
        <x:v>90000</x:v>
      </x:c>
      <x:c r="H35" s="8" t="str">
        <x:v>Approved</x:v>
      </x:c>
    </x:row>
    <x:row r="36" ht="15" hidden="0" customHeight="1">
      <x:c r="A36" s="11" t="str">
        <x:v>2026-03-25</x:v>
      </x:c>
      <x:c r="B36" s="8" t="str">
        <x:v>OPS-210</x:v>
      </x:c>
      <x:c r="C36" s="8" t="str">
        <x:v>OPS-2603-011</x:v>
      </x:c>
      <x:c r="D36" s="8" t="str">
        <x:v>RouteWorks Logistics</x:v>
      </x:c>
      <x:c r="E36" s="8" t="str">
        <x:v>Freight</x:v>
      </x:c>
      <x:c r="F36" s="12" t="n">
        <x:v>330000</x:v>
      </x:c>
      <x:c r="G36" s="12" t="n">
        <x:v>300000</x:v>
      </x:c>
      <x:c r="H36" s="8" t="str">
        <x:v>Approved</x:v>
      </x:c>
    </x:row>
    <x:row r="37" ht="15" hidden="0" customHeight="1">
      <x:c r="A37" s="11" t="str">
        <x:v>2026-03-30</x:v>
      </x:c>
      <x:c r="B37" s="8" t="str">
        <x:v>OPS-210</x:v>
      </x:c>
      <x:c r="C37" s="8" t="str">
        <x:v>OPS-2603-012</x:v>
      </x:c>
      <x:c r="D37" s="8" t="str">
        <x:v>Cedar Packaging</x:v>
      </x:c>
      <x:c r="E37" s="8" t="str">
        <x:v>Packaging</x:v>
      </x:c>
      <x:c r="F37" s="12" t="n">
        <x:v>215000</x:v>
      </x:c>
      <x:c r="G37" s="12" t="n">
        <x:v>190000</x:v>
      </x:c>
      <x:c r="H37" s="8" t="str">
        <x:v>Pending</x:v>
      </x:c>
    </x:row>
    <x:row r="38" ht="15" hidden="0" customHeight="1">
      <x:c r="A38" s="11" t="str">
        <x:v>2026-01-09</x:v>
      </x:c>
      <x:c r="B38" s="8" t="str">
        <x:v>SALES-410</x:v>
      </x:c>
      <x:c r="C38" s="8" t="str">
        <x:v>SAL-2601-001</x:v>
      </x:c>
      <x:c r="D38" s="8" t="str">
        <x:v>Summit Events</x:v>
      </x:c>
      <x:c r="E38" s="8" t="str">
        <x:v>Customer event</x:v>
      </x:c>
      <x:c r="F38" s="12" t="n">
        <x:v>220000</x:v>
      </x:c>
      <x:c r="G38" s="12" t="n">
        <x:v>200000</x:v>
      </x:c>
      <x:c r="H38" s="8" t="str">
        <x:v>Approved</x:v>
      </x:c>
    </x:row>
    <x:row r="39" ht="15" hidden="0" customHeight="1">
      <x:c r="A39" s="11" t="str">
        <x:v>2026-01-16</x:v>
      </x:c>
      <x:c r="B39" s="8" t="str">
        <x:v>SALES-410</x:v>
      </x:c>
      <x:c r="C39" s="8" t="str">
        <x:v>SAL-2601-002</x:v>
      </x:c>
      <x:c r="D39" s="8" t="str">
        <x:v>Brightline Media</x:v>
      </x:c>
      <x:c r="E39" s="8" t="str">
        <x:v>Demand generation</x:v>
      </x:c>
      <x:c r="F39" s="12" t="n">
        <x:v>185000</x:v>
      </x:c>
      <x:c r="G39" s="12" t="n">
        <x:v>180000</x:v>
      </x:c>
      <x:c r="H39" s="8" t="str">
        <x:v>Approved</x:v>
      </x:c>
    </x:row>
    <x:row r="40" ht="15" hidden="0" customHeight="1">
      <x:c r="A40" s="11" t="str">
        <x:v>2026-01-27</x:v>
      </x:c>
      <x:c r="B40" s="8" t="str">
        <x:v>SALES-410</x:v>
      </x:c>
      <x:c r="C40" s="8" t="str">
        <x:v>SAL-2601-003</x:v>
      </x:c>
      <x:c r="D40" s="8" t="str">
        <x:v>Metro Rail</x:v>
      </x:c>
      <x:c r="E40" s="8" t="str">
        <x:v>Business travel</x:v>
      </x:c>
      <x:c r="F40" s="12" t="n">
        <x:v>68000</x:v>
      </x:c>
      <x:c r="G40" s="12" t="n">
        <x:v>60000</x:v>
      </x:c>
      <x:c r="H40" s="8" t="str">
        <x:v>Approved</x:v>
      </x:c>
    </x:row>
    <x:row r="41" ht="15" hidden="0" customHeight="1">
      <x:c r="A41" s="11" t="str">
        <x:v>2026-02-02</x:v>
      </x:c>
      <x:c r="B41" s="8" t="str">
        <x:v>SALES-410</x:v>
      </x:c>
      <x:c r="C41" s="8" t="str">
        <x:v>SAL-2602-004</x:v>
      </x:c>
      <x:c r="D41" s="8" t="str">
        <x:v>Harbor Hotel</x:v>
      </x:c>
      <x:c r="E41" s="8" t="str">
        <x:v>Business travel</x:v>
      </x:c>
      <x:c r="F41" s="12" t="n">
        <x:v>92000</x:v>
      </x:c>
      <x:c r="G41" s="12" t="n">
        <x:v>85000</x:v>
      </x:c>
      <x:c r="H41" s="8" t="str">
        <x:v>Approved</x:v>
      </x:c>
    </x:row>
    <x:row r="42" ht="15" hidden="0" customHeight="1">
      <x:c r="A42" s="11" t="str">
        <x:v>2026-02-09</x:v>
      </x:c>
      <x:c r="B42" s="8" t="str">
        <x:v>SALES-410</x:v>
      </x:c>
      <x:c r="C42" s="8" t="str">
        <x:v>SAL-2602-005</x:v>
      </x:c>
      <x:c r="D42" s="8" t="str">
        <x:v>Brightline Media</x:v>
      </x:c>
      <x:c r="E42" s="8" t="str">
        <x:v>Demand generation</x:v>
      </x:c>
      <x:c r="F42" s="12" t="n">
        <x:v>230000</x:v>
      </x:c>
      <x:c r="G42" s="12" t="n">
        <x:v>210000</x:v>
      </x:c>
      <x:c r="H42" s="8" t="str">
        <x:v>Approved</x:v>
      </x:c>
    </x:row>
    <x:row r="43" ht="15" hidden="0" customHeight="1">
      <x:c r="A43" s="11" t="str">
        <x:v>2026-02-20</x:v>
      </x:c>
      <x:c r="B43" s="8" t="str">
        <x:v>SALES-410</x:v>
      </x:c>
      <x:c r="C43" s="8" t="str">
        <x:v>SAL-2602-006</x:v>
      </x:c>
      <x:c r="D43" s="8" t="str">
        <x:v>Client Table</x:v>
      </x:c>
      <x:c r="E43" s="8" t="str">
        <x:v>Meals and entertainment</x:v>
      </x:c>
      <x:c r="F43" s="12" t="n">
        <x:v>58000</x:v>
      </x:c>
      <x:c r="G43" s="12" t="n">
        <x:v>50000</x:v>
      </x:c>
      <x:c r="H43" s="8" t="str">
        <x:v>Approved</x:v>
      </x:c>
    </x:row>
    <x:row r="44" ht="15" hidden="0" customHeight="1">
      <x:c r="A44" s="11" t="str">
        <x:v>2026-03-05</x:v>
      </x:c>
      <x:c r="B44" s="8" t="str">
        <x:v>SALES-410</x:v>
      </x:c>
      <x:c r="C44" s="8" t="str">
        <x:v>SAL-2603-007</x:v>
      </x:c>
      <x:c r="D44" s="8" t="str">
        <x:v>Summit Events</x:v>
      </x:c>
      <x:c r="E44" s="8" t="str">
        <x:v>Customer event</x:v>
      </x:c>
      <x:c r="F44" s="12" t="n">
        <x:v>260000</x:v>
      </x:c>
      <x:c r="G44" s="12" t="n">
        <x:v>220000</x:v>
      </x:c>
      <x:c r="H44" s="8" t="str">
        <x:v>Approved</x:v>
      </x:c>
    </x:row>
    <x:row r="45" ht="15" hidden="0" customHeight="1">
      <x:c r="A45" s="11" t="str">
        <x:v>2026-03-11</x:v>
      </x:c>
      <x:c r="B45" s="8" t="str">
        <x:v>SALES-410</x:v>
      </x:c>
      <x:c r="C45" s="8" t="str">
        <x:v>SAL-2603-008</x:v>
      </x:c>
      <x:c r="D45" s="8" t="str">
        <x:v>Metro Rail</x:v>
      </x:c>
      <x:c r="E45" s="8" t="str">
        <x:v>Business travel</x:v>
      </x:c>
      <x:c r="F45" s="12" t="n">
        <x:v>76000</x:v>
      </x:c>
      <x:c r="G45" s="12" t="n">
        <x:v>65000</x:v>
      </x:c>
      <x:c r="H45" s="8" t="str">
        <x:v>Approved</x:v>
      </x:c>
    </x:row>
    <x:row r="46" ht="15" hidden="0" customHeight="1">
      <x:c r="A46" s="11" t="str">
        <x:v>2026-03-16</x:v>
      </x:c>
      <x:c r="B46" s="8" t="str">
        <x:v>SALES-410</x:v>
      </x:c>
      <x:c r="C46" s="8" t="str">
        <x:v>SAL-2603-009</x:v>
      </x:c>
      <x:c r="D46" s="8" t="str">
        <x:v>Harbor Hotel</x:v>
      </x:c>
      <x:c r="E46" s="8" t="str">
        <x:v>Business travel</x:v>
      </x:c>
      <x:c r="F46" s="12" t="n">
        <x:v>105000</x:v>
      </x:c>
      <x:c r="G46" s="12" t="n">
        <x:v>90000</x:v>
      </x:c>
      <x:c r="H46" s="8" t="str">
        <x:v>Approved</x:v>
      </x:c>
    </x:row>
    <x:row r="47" ht="15" hidden="0" customHeight="1">
      <x:c r="A47" s="11" t="str">
        <x:v>2026-03-21</x:v>
      </x:c>
      <x:c r="B47" s="8" t="str">
        <x:v>SALES-410</x:v>
      </x:c>
      <x:c r="C47" s="8" t="str">
        <x:v>SAL-2603-010</x:v>
      </x:c>
      <x:c r="D47" s="8" t="str">
        <x:v>Client Table</x:v>
      </x:c>
      <x:c r="E47" s="8" t="str">
        <x:v>Meals and entertainment</x:v>
      </x:c>
      <x:c r="F47" s="12" t="n">
        <x:v>72000</x:v>
      </x:c>
      <x:c r="G47" s="12" t="n">
        <x:v>60000</x:v>
      </x:c>
      <x:c r="H47" s="8" t="str">
        <x:v>Approved</x:v>
      </x:c>
    </x:row>
    <x:row r="48" ht="15" hidden="0" customHeight="1">
      <x:c r="A48" s="11" t="str">
        <x:v>2026-03-26</x:v>
      </x:c>
      <x:c r="B48" s="8" t="str">
        <x:v>SALES-410</x:v>
      </x:c>
      <x:c r="C48" s="8" t="str">
        <x:v>SAL-2603-011</x:v>
      </x:c>
      <x:c r="D48" s="8" t="str">
        <x:v>Brightline Media</x:v>
      </x:c>
      <x:c r="E48" s="8" t="str">
        <x:v>Demand generation</x:v>
      </x:c>
      <x:c r="F48" s="12" t="n">
        <x:v>245000</x:v>
      </x:c>
      <x:c r="G48" s="12" t="n">
        <x:v>220000</x:v>
      </x:c>
      <x:c r="H48" s="8" t="str">
        <x:v>Approved</x:v>
      </x:c>
    </x:row>
    <x:row r="49" ht="15" hidden="0" customHeight="1">
      <x:c r="A49" s="11" t="str">
        <x:v>2026-03-31</x:v>
      </x:c>
      <x:c r="B49" s="8" t="str">
        <x:v>SALES-410</x:v>
      </x:c>
      <x:c r="C49" s="8" t="str">
        <x:v>SAL-2603-012</x:v>
      </x:c>
      <x:c r="D49" s="8" t="str">
        <x:v>Summit Events</x:v>
      </x:c>
      <x:c r="E49" s="8" t="str">
        <x:v>Customer event</x:v>
      </x:c>
      <x:c r="F49" s="12" t="n">
        <x:v>280000</x:v>
      </x:c>
      <x:c r="G49" s="12" t="n">
        <x:v>240000</x:v>
      </x:c>
      <x:c r="H49" s="8" t="str">
        <x:v>Pending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7.780000686645508" hidden="0" customWidth="1"/>
    <x:col min="3" max="3" width="6.559999942779541" hidden="0" customWidth="1"/>
    <x:col min="4" max="4" width="16.889999389648438" hidden="0" customWidth="1"/>
  </x:cols>
  <x:sheetData>
    <x:row r="1" ht="15" hidden="0" customHeight="1">
      <x:c r="A1" s="7" t="str">
        <x:v>Control</x:v>
      </x:c>
      <x:c r="B1" s="7" t="str">
        <x:v>Result</x:v>
      </x:c>
      <x:c r="C1" s="7" t="str">
        <x:v>Status</x:v>
      </x:c>
      <x:c r="D1" s="7" t="str">
        <x:v>Owner</x:v>
      </x:c>
    </x:row>
    <x:row r="2" ht="15" hidden="0" customHeight="1">
      <x:c r="A2" s="8" t="str">
        <x:v>Imported record count</x:v>
      </x:c>
      <x:c r="B2" s="8" t="n">
        <x:f>COUNTA('Import Detail'!$C$2:$C$49)</x:f>
        <x:v>48</x:v>
      </x:c>
      <x:c r="C2" s="8" t="str">
        <x:f>IF(B2=48,"PASS","CHECK")</x:f>
        <x:v>PASS</x:v>
      </x:c>
      <x:c r="D2" s="8" t="str">
        <x:v>Finance Controller</x:v>
      </x:c>
    </x:row>
    <x:row r="3" ht="15" hidden="0" customHeight="1">
      <x:c r="A3" s="8" t="str">
        <x:v>CSV actual total vs summary</x:v>
      </x:c>
      <x:c r="B3" s="8" t="n">
        <x:f>SUM('Import Detail'!$F$2:$F$49)-SUM('Summary'!$C$4:$C$7)</x:f>
        <x:v>0</x:v>
      </x:c>
      <x:c r="C3" s="8" t="str">
        <x:f>IF(B3=0,"PASS","CHECK")</x:f>
        <x:v>PASS</x:v>
      </x:c>
      <x:c r="D3" s="8" t="str">
        <x:v>Finance Controller</x:v>
      </x:c>
    </x:row>
    <x:row r="4" ht="15" hidden="0" customHeight="1">
      <x:c r="A4" s="8" t="str">
        <x:v>All mapped cost centers</x:v>
      </x:c>
      <x:c r="B4" s="8" t="n">
        <x:f>COUNTIF('Import Detail'!$B$2:$B$49,"ENG-310")+COUNTIF('Import Detail'!$B$2:$B$49,"FAC-510")+COUNTIF('Import Detail'!$B$2:$B$49,"OPS-210")+COUNTIF('Import Detail'!$B$2:$B$49,"SALES-410")</x:f>
        <x:v>48</x:v>
      </x:c>
      <x:c r="C4" s="8" t="str">
        <x:f>IF(B4=48,"PASS","CHECK")</x:f>
        <x:v>PASS</x:v>
      </x:c>
      <x:c r="D4" s="8" t="str">
        <x:v>Finance Controller</x:v>
      </x:c>
    </x:row>
    <x:row r="5" ht="15" hidden="0" customHeight="1">
      <x:c r="A5" s="8" t="str">
        <x:v>Pending approvals</x:v>
      </x:c>
      <x:c r="B5" s="8" t="n">
        <x:f>COUNTIF('Import Detail'!$H$2:$H$49,"Pending")</x:f>
        <x:v>4</x:v>
      </x:c>
      <x:c r="C5" s="8" t="str">
        <x:f>IF(B5&gt;0,"REVIEW","PASS")</x:f>
        <x:v>REVIEW</x:v>
      </x:c>
      <x:c r="D5" s="8" t="str">
        <x:v>Department approvers</x:v>
      </x:c>
    </x:row>
    <x:row r="6" ht="15" hidden="0" customHeight="1">
      <x:c r="A6" s="8" t="str">
        <x:v>March cash variance treatment</x:v>
      </x:c>
      <x:c r="B6" s="8" t="str">
        <x:v>Excluded from expense reconciliation</x:v>
      </x:c>
      <x:c r="C6" s="8" t="str">
        <x:f>IF(B6="Excluded from expense reconciliation","PASS","CHECK")</x:f>
        <x:v>PASS</x:v>
      </x:c>
      <x:c r="D6" s="8" t="str">
        <x:v>Treasury Lead</x:v>
      </x:c>
    </x:row>
  </x:sheetData>
  <x:pageMargins left="0.7" right="0.7" top="0.75" bottom="0.75" header="0.3" footer="0.3"/>
</x:worksheet>
</file>