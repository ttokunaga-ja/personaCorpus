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2669ee73b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865f9570564c7d"/>
    <x:sheet xmlns:r="http://schemas.openxmlformats.org/officeDocument/2006/relationships" name="Checks" sheetId="2" r:id="R54d63cfd846d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72bf4c17e49e4" /><Relationship Type="http://schemas.openxmlformats.org/officeDocument/2006/relationships/theme" Target="/xl/theme/theme1.xml" Id="Rb40a32393e2143d6" /><Relationship Type="http://schemas.openxmlformats.org/officeDocument/2006/relationships/sharedStrings" Target="/xl/sharedStrings.xml" Id="Rc81ef5474a7743bf" /><Relationship Type="http://schemas.openxmlformats.org/officeDocument/2006/relationships/worksheet" Target="/xl/worksheets/sheet1.xml" Id="R59865f9570564c7d" /><Relationship Type="http://schemas.openxmlformats.org/officeDocument/2006/relationships/worksheet" Target="/xl/worksheets/sheet2.xml" Id="R54d63cfd846d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Cash Reconciliation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Reconciling item</x:v>
      </x:c>
      <x:c r="B4" s="3" t="str">
        <x:v>Ledger</x:v>
      </x:c>
      <x:c r="C4" s="3" t="str">
        <x:v>Bank</x:v>
      </x:c>
      <x:c r="D4" s="3" t="str">
        <x:v>Variance</x:v>
      </x:c>
      <x:c r="E4" s="3" t="str">
        <x:v>Status</x:v>
      </x:c>
    </x:row>
    <x:row r="5">
      <x:c r="A5" t="str">
        <x:v>Ledger cash</x:v>
      </x:c>
      <x:c r="B5" s="5" t="n">
        <x:v>498600000</x:v>
      </x:c>
      <x:c r="C5" s="5" t="n">
        <x:v>486200000</x:v>
      </x:c>
      <x:c r="D5" s="5" t="n">
        <x:f>B5-C5</x:f>
        <x:v>12400000</x:v>
      </x:c>
      <x:c r="E5" s="5" t="str">
        <x:f>IF(ABS(D5)&lt;1,"OK","REVIEW")</x:f>
        <x:v>REVIEW</x:v>
      </x:c>
      <x:c r="F5" s="5"/>
    </x:row>
    <x:row r="6">
      <x:c r="A6" t="str">
        <x:v>Receipt timing</x:v>
      </x:c>
      <x:c r="B6" s="5" t="n">
        <x:v>7200000</x:v>
      </x:c>
      <x:c r="C6" s="5" t="n">
        <x:v>0</x:v>
      </x:c>
      <x:c r="D6" s="5" t="n">
        <x:f>B6-C6</x:f>
        <x:v>7200000</x:v>
      </x:c>
      <x:c r="E6" s="5" t="str">
        <x:f>IF(ABS(D6)&lt;1,"OK","REVIEW")</x:f>
        <x:v>REVIEW</x:v>
      </x:c>
      <x:c r="F6" s="5"/>
    </x:row>
    <x:row r="7">
      <x:c r="A7" t="str">
        <x:v>Vendor timing</x:v>
      </x:c>
      <x:c r="B7" s="5" t="n">
        <x:v>3100000</x:v>
      </x:c>
      <x:c r="C7" s="5" t="n">
        <x:v>0</x:v>
      </x:c>
      <x:c r="D7" s="5" t="n">
        <x:f>B7-C7</x:f>
        <x:v>3100000</x:v>
      </x:c>
      <x:c r="E7" s="5" t="str">
        <x:f>IF(ABS(D7)&lt;1,"OK","REVIEW")</x:f>
        <x:v>REVIEW</x:v>
      </x:c>
      <x:c r="F7" s="5"/>
    </x:row>
    <x:row r="8">
      <x:c r="A8" t="str">
        <x:v>Bank fees</x:v>
      </x:c>
      <x:c r="B8" s="5" t="n">
        <x:v>1300000</x:v>
      </x:c>
      <x:c r="C8" s="5" t="n">
        <x:v>0</x:v>
      </x:c>
      <x:c r="D8" s="5" t="n">
        <x:f>B8-C8</x:f>
        <x:v>1300000</x:v>
      </x:c>
      <x:c r="E8" s="5" t="str">
        <x:f>IF(ABS(D8)&lt;1,"OK","REVIEW")</x:f>
        <x:v>REVIEW</x:v>
      </x:c>
      <x:c r="F8" s="5"/>
    </x:row>
    <x:row r="9">
      <x:c r="A9" t="str">
        <x:v>FX remeasurement</x:v>
      </x:c>
      <x:c r="B9" s="5" t="n">
        <x:v>800000</x:v>
      </x:c>
      <x:c r="C9" s="5" t="n">
        <x:v>0</x:v>
      </x:c>
      <x:c r="D9" s="5" t="n">
        <x:f>B9-C9</x:f>
        <x:v>800000</x:v>
      </x:c>
      <x:c r="E9" s="5" t="str">
        <x:f>IF(ABS(D9)&lt;1,"OK","REVIEW")</x:f>
        <x:v>REVIEW</x:v>
      </x:c>
      <x:c r="F9" s="5"/>
    </x:row>
    <x:row r="11">
      <x:c r="A11" s="4" t="str">
        <x:v>Control note: role-based review completed; all source data is synthetic.</x:v>
      </x:c>
      <x:c r="B11" s="4"/>
      <x:c r="C11" s="4"/>
      <x:c r="D11" s="4"/>
      <x:c r="E11" s="4"/>
      <x:c r="F11" s="4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