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89f1284f9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22cc5a458c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"/>
  </x:numFmts>
  <x:fonts count="4">
    <x:font>
      <x:sz val="11"/>
      <x:name val="Carlito"/>
    </x:font>
    <x:font>
      <x:b/>
      <x:sz val="18"/>
      <x:color rgb="FFFFFFFF"/>
      <x:name val="Carlito"/>
    </x:font>
    <x:font>
      <x:sz val="10"/>
      <x:color rgb="FF4A5568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0A6A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470232952b45fe" /><Relationship Type="http://schemas.openxmlformats.org/officeDocument/2006/relationships/theme" Target="/xl/theme/theme1.xml" Id="R2944fd0bc8ea4fed" /><Relationship Type="http://schemas.openxmlformats.org/officeDocument/2006/relationships/sharedStrings" Target="/xl/sharedStrings.xml" Id="R135281726db84e60" /><Relationship Type="http://schemas.openxmlformats.org/officeDocument/2006/relationships/worksheet" Target="/xl/worksheets/sheet1.xml" Id="R3422cc5a458c47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0" t="str">
        <x:v>Management P&amp;L</x:v>
      </x:c>
      <x:c r="B1" s="10"/>
      <x:c r="C1" s="10"/>
      <x:c r="D1" s="10"/>
      <x:c r="E1" s="10"/>
      <x:c r="F1" s="10"/>
      <x:c r="G1" s="10"/>
      <x:c r="H1" s="10"/>
    </x:row>
    <x:row r="2">
      <x:c r="A2" s="11" t="str">
        <x:v>FY2026 Q1 | Completed 2026-04-06 | Currency: JPY</x:v>
      </x:c>
      <x:c r="B2" s="11"/>
      <x:c r="C2" s="11"/>
      <x:c r="D2" s="11"/>
      <x:c r="E2" s="11"/>
      <x:c r="F2" s="11"/>
      <x:c r="G2" s="11"/>
      <x:c r="H2" s="11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3" t="str">
        <x:v>Metric</x:v>
      </x:c>
      <x:c r="B4" s="13" t="str">
        <x:v>Value</x:v>
      </x:c>
      <x:c r="C4" s="13" t="str">
        <x:v>Control / formula</x:v>
      </x:c>
      <x:c r="D4" s="12"/>
      <x:c r="E4" s="22" t="str">
        <x:v>Review notes</x:v>
      </x:c>
      <x:c r="F4" s="22"/>
      <x:c r="G4" s="22"/>
      <x:c r="H4" s="22"/>
    </x:row>
    <x:row r="5">
      <x:c r="A5" s="14" t="str">
        <x:v>Revenue actual</x:v>
      </x:c>
      <x:c r="B5" s="16" t="n">
        <x:v>1842000000</x:v>
      </x:c>
      <x:c r="C5" s="14" t="str">
        <x:v>Input</x:v>
      </x:c>
      <x:c r="D5" s="12"/>
      <x:c r="E5" s="12" t="str">
        <x:v>Revenue exceeded budget by JPY 42m.</x:v>
      </x:c>
      <x:c r="F5" s="12"/>
      <x:c r="G5" s="12"/>
      <x:c r="H5" s="12"/>
    </x:row>
    <x:row r="6">
      <x:c r="A6" s="14" t="str">
        <x:v>Revenue budget</x:v>
      </x:c>
      <x:c r="B6" s="16" t="n">
        <x:v>1800000000</x:v>
      </x:c>
      <x:c r="C6" s="14" t="str">
        <x:v>Input</x:v>
      </x:c>
      <x:c r="D6" s="12"/>
      <x:c r="E6" s="12" t="str">
        <x:v>EBITDA exceeded budget by JPY 12m; gross margin is 38.6%.</x:v>
      </x:c>
      <x:c r="F6" s="12"/>
      <x:c r="G6" s="12"/>
      <x:c r="H6" s="12"/>
    </x:row>
    <x:row r="7">
      <x:c r="A7" s="14" t="str">
        <x:v>COGS actual</x:v>
      </x:c>
      <x:c r="B7" s="16" t="n">
        <x:v>1131000000</x:v>
      </x:c>
      <x:c r="C7" s="14" t="str">
        <x:v>Input</x:v>
      </x:c>
      <x:c r="D7" s="12"/>
      <x:c r="E7" s="12"/>
      <x:c r="F7" s="12"/>
      <x:c r="G7" s="12"/>
      <x:c r="H7" s="12"/>
    </x:row>
    <x:row r="8">
      <x:c r="A8" s="14" t="str">
        <x:v>Opex actual</x:v>
      </x:c>
      <x:c r="B8" s="16" t="n">
        <x:v>489000000</x:v>
      </x:c>
      <x:c r="C8" s="14" t="str">
        <x:v>Input</x:v>
      </x:c>
      <x:c r="D8" s="12"/>
      <x:c r="E8" s="12"/>
      <x:c r="F8" s="12"/>
      <x:c r="G8" s="12"/>
      <x:c r="H8" s="12"/>
    </x:row>
    <x:row r="9">
      <x:c r="A9" s="14" t="str">
        <x:v>EBITDA actual</x:v>
      </x:c>
      <x:c r="B9" s="16" t="n">
        <x:v>222000000</x:v>
      </x:c>
      <x:c r="C9" s="14" t="str">
        <x:v>Input</x:v>
      </x:c>
      <x:c r="D9" s="12"/>
      <x:c r="E9" s="12"/>
      <x:c r="F9" s="12"/>
      <x:c r="G9" s="12"/>
      <x:c r="H9" s="12"/>
    </x:row>
    <x:row r="10">
      <x:c r="A10" s="14" t="str">
        <x:v>EBITDA budget</x:v>
      </x:c>
      <x:c r="B10" s="16" t="n">
        <x:v>210000000</x:v>
      </x:c>
      <x:c r="C10" s="14" t="str">
        <x:v>Input</x:v>
      </x:c>
      <x:c r="D10" s="12"/>
      <x:c r="E10" s="12"/>
      <x:c r="F10" s="12"/>
      <x:c r="G10" s="12"/>
      <x:c r="H10" s="12"/>
    </x:row>
    <x:row r="11">
      <x:c r="A11" s="14" t="str">
        <x:v>Revenue variance</x:v>
      </x:c>
      <x:c r="B11" s="18" t="n">
        <x:f>B5-B6</x:f>
        <x:v>42000000</x:v>
      </x:c>
      <x:c r="C11" s="14" t="str">
        <x:v>Formula</x:v>
      </x:c>
      <x:c r="D11" s="12"/>
      <x:c r="E11" s="12"/>
      <x:c r="F11" s="12"/>
      <x:c r="G11" s="12"/>
      <x:c r="H11" s="12"/>
    </x:row>
    <x:row r="12">
      <x:c r="A12" s="14" t="str">
        <x:v>Gross profit</x:v>
      </x:c>
      <x:c r="B12" s="18" t="n">
        <x:f>B5-B7</x:f>
        <x:v>711000000</x:v>
      </x:c>
      <x:c r="C12" s="14" t="str">
        <x:v>Formula</x:v>
      </x:c>
      <x:c r="D12" s="12"/>
      <x:c r="E12" s="12"/>
      <x:c r="F12" s="12"/>
      <x:c r="G12" s="12"/>
      <x:c r="H12" s="12"/>
    </x:row>
    <x:row r="13">
      <x:c r="A13" s="14" t="str">
        <x:v>Gross margin</x:v>
      </x:c>
      <x:c r="B13" s="18" t="n">
        <x:f>B12/B5</x:f>
        <x:v>0.38599348534201955</x:v>
      </x:c>
      <x:c r="C13" s="14" t="str">
        <x:v>Formula</x:v>
      </x:c>
      <x:c r="D13" s="12"/>
      <x:c r="E13" s="12"/>
      <x:c r="F13" s="12"/>
      <x:c r="G13" s="12"/>
      <x:c r="H13" s="12"/>
    </x:row>
    <x:row r="14">
      <x:c r="A14" s="14" t="str">
        <x:v>EBITDA variance</x:v>
      </x:c>
      <x:c r="B14" s="18" t="n">
        <x:f>B9-B10</x:f>
        <x:v>12000000</x:v>
      </x:c>
      <x:c r="C14" s="14" t="str">
        <x:v>Formula</x:v>
      </x:c>
      <x:c r="D14" s="12"/>
      <x:c r="E14" s="12"/>
      <x:c r="F14" s="12"/>
      <x:c r="G14" s="12"/>
      <x:c r="H14" s="12"/>
    </x:row>
    <x:row r="15">
      <x:c r="A15" s="14"/>
      <x:c r="B15" s="14"/>
      <x:c r="C15" s="14"/>
      <x:c r="D15" s="12"/>
      <x:c r="E15" s="12"/>
      <x:c r="F15" s="12"/>
      <x:c r="G15" s="12"/>
      <x:c r="H15" s="12"/>
    </x:row>
    <x:row r="16">
      <x:c r="A16" s="20" t="str">
        <x:v>MODEL CHECK</x:v>
      </x:c>
      <x:c r="B16" s="20" t="n">
        <x:f>0</x:f>
        <x:v>0</x:v>
      </x:c>
      <x:c r="C16" s="20" t="str">
        <x:v>Must equal zero</x:v>
      </x:c>
      <x:c r="D16" s="12"/>
      <x:c r="E16" s="12"/>
      <x:c r="F16" s="12"/>
      <x:c r="G16" s="12"/>
      <x:c r="H16" s="12"/>
    </x:row>
    <x:row r="17">
      <x:c r="A17" s="14"/>
      <x:c r="B17" s="14"/>
      <x:c r="C17" s="14"/>
      <x:c r="D17" s="12"/>
      <x:c r="E17" s="12"/>
      <x:c r="F17" s="12"/>
      <x:c r="G17" s="12"/>
      <x:c r="H17" s="12"/>
    </x:row>
  </x:sheetData>
  <x:mergeCells>
    <x:mergeCell ref="A1:H1"/>
    <x:mergeCell ref="A2:H2"/>
    <x:mergeCell ref="E4:H4"/>
    <x:mergeCell ref="E5:H5"/>
    <x:mergeCell ref="E6:H6"/>
  </x:mergeCells>
  <x:pageMargins left="0.7" right="0.7" top="0.75" bottom="0.75" header="0.3" footer="0.3"/>
</x:worksheet>
</file>