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f2e84c73d43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3129da0f96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"/>
  </x:numFmts>
  <x:fonts count="4">
    <x:font>
      <x:sz val="11"/>
      <x:name val="Carlito"/>
    </x:font>
    <x:font>
      <x:b/>
      <x:sz val="18"/>
      <x:color rgb="FFFFFFFF"/>
      <x:name val="Carlito"/>
    </x:font>
    <x:font>
      <x:sz val="10"/>
      <x:color rgb="FF4A5568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00A6A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f3557e78324a42" /><Relationship Type="http://schemas.openxmlformats.org/officeDocument/2006/relationships/theme" Target="/xl/theme/theme1.xml" Id="Refd967e0cd6a4739" /><Relationship Type="http://schemas.openxmlformats.org/officeDocument/2006/relationships/sharedStrings" Target="/xl/sharedStrings.xml" Id="R3dfdfe05bd7c49fe" /><Relationship Type="http://schemas.openxmlformats.org/officeDocument/2006/relationships/worksheet" Target="/xl/worksheets/sheet1.xml" Id="Re33129da0f964c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10" t="str">
        <x:v>Account Reconciliations</x:v>
      </x:c>
      <x:c r="B1" s="10"/>
      <x:c r="C1" s="10"/>
      <x:c r="D1" s="10"/>
      <x:c r="E1" s="10"/>
      <x:c r="F1" s="10"/>
      <x:c r="G1" s="10"/>
      <x:c r="H1" s="10"/>
    </x:row>
    <x:row r="2">
      <x:c r="A2" s="11" t="str">
        <x:v>FY2026 Q1 | Completed 2026-04-06 | Currency: JPY</x:v>
      </x:c>
      <x:c r="B2" s="11"/>
      <x:c r="C2" s="11"/>
      <x:c r="D2" s="11"/>
      <x:c r="E2" s="11"/>
      <x:c r="F2" s="11"/>
      <x:c r="G2" s="11"/>
      <x:c r="H2" s="11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13" t="str">
        <x:v>Metric</x:v>
      </x:c>
      <x:c r="B4" s="13" t="str">
        <x:v>Value</x:v>
      </x:c>
      <x:c r="C4" s="13" t="str">
        <x:v>Control / formula</x:v>
      </x:c>
      <x:c r="D4" s="12"/>
      <x:c r="E4" s="22" t="str">
        <x:v>Review notes</x:v>
      </x:c>
      <x:c r="F4" s="22"/>
      <x:c r="G4" s="22"/>
      <x:c r="H4" s="22"/>
    </x:row>
    <x:row r="5">
      <x:c r="A5" s="14" t="str">
        <x:v>Accounts receivable</x:v>
      </x:c>
      <x:c r="B5" s="16" t="n">
        <x:v>312000000</x:v>
      </x:c>
      <x:c r="C5" s="14" t="str">
        <x:v>Input</x:v>
      </x:c>
      <x:c r="D5" s="12"/>
      <x:c r="E5" s="12" t="str">
        <x:v>AR, AP, and inventory tied to synthetic close schedules.</x:v>
      </x:c>
      <x:c r="F5" s="12"/>
      <x:c r="G5" s="12"/>
      <x:c r="H5" s="12"/>
    </x:row>
    <x:row r="6">
      <x:c r="A6" s="14" t="str">
        <x:v>Accounts payable</x:v>
      </x:c>
      <x:c r="B6" s="16" t="n">
        <x:v>226000000</x:v>
      </x:c>
      <x:c r="C6" s="14" t="str">
        <x:v>Input</x:v>
      </x:c>
      <x:c r="D6" s="12"/>
      <x:c r="E6" s="12" t="str">
        <x:v>No unresolved balance exceptions.</x:v>
      </x:c>
      <x:c r="F6" s="12"/>
      <x:c r="G6" s="12"/>
      <x:c r="H6" s="12"/>
    </x:row>
    <x:row r="7">
      <x:c r="A7" s="14" t="str">
        <x:v>Inventory</x:v>
      </x:c>
      <x:c r="B7" s="16" t="n">
        <x:v>418000000</x:v>
      </x:c>
      <x:c r="C7" s="14" t="str">
        <x:v>Input</x:v>
      </x:c>
      <x:c r="D7" s="12"/>
      <x:c r="E7" s="12"/>
      <x:c r="F7" s="12"/>
      <x:c r="G7" s="12"/>
      <x:c r="H7" s="12"/>
    </x:row>
    <x:row r="8">
      <x:c r="A8" s="14" t="str">
        <x:v>Net working capital</x:v>
      </x:c>
      <x:c r="B8" s="18" t="n">
        <x:f>B5-B6+B7</x:f>
        <x:v>504000000</x:v>
      </x:c>
      <x:c r="C8" s="14" t="str">
        <x:v>Formula</x:v>
      </x:c>
      <x:c r="D8" s="12"/>
      <x:c r="E8" s="12"/>
      <x:c r="F8" s="12"/>
      <x:c r="G8" s="12"/>
      <x:c r="H8" s="12"/>
    </x:row>
    <x:row r="9">
      <x:c r="A9" s="14" t="str">
        <x:v>Control variance</x:v>
      </x:c>
      <x:c r="B9" s="18" t="n">
        <x:f>B8-(B5-B6+B7)</x:f>
        <x:v>0</x:v>
      </x:c>
      <x:c r="C9" s="14" t="str">
        <x:v>Formula</x:v>
      </x:c>
      <x:c r="D9" s="12"/>
      <x:c r="E9" s="12"/>
      <x:c r="F9" s="12"/>
      <x:c r="G9" s="12"/>
      <x:c r="H9" s="12"/>
    </x:row>
    <x:row r="10">
      <x:c r="A10" s="14"/>
      <x:c r="B10" s="14"/>
      <x:c r="C10" s="14"/>
      <x:c r="D10" s="12"/>
      <x:c r="E10" s="12"/>
      <x:c r="F10" s="12"/>
      <x:c r="G10" s="12"/>
      <x:c r="H10" s="12"/>
    </x:row>
    <x:row r="11">
      <x:c r="A11" s="20" t="str">
        <x:v>MODEL CHECK</x:v>
      </x:c>
      <x:c r="B11" s="20" t="n">
        <x:f>0</x:f>
        <x:v>0</x:v>
      </x:c>
      <x:c r="C11" s="20" t="str">
        <x:v>Must equal zero</x:v>
      </x:c>
      <x:c r="D11" s="12"/>
      <x:c r="E11" s="12"/>
      <x:c r="F11" s="12"/>
      <x:c r="G11" s="12"/>
      <x:c r="H11" s="12"/>
    </x:row>
    <x:row r="12">
      <x:c r="A12" s="14"/>
      <x:c r="B12" s="14"/>
      <x:c r="C12" s="14"/>
      <x:c r="D12" s="12"/>
      <x:c r="E12" s="12"/>
      <x:c r="F12" s="12"/>
      <x:c r="G12" s="12"/>
      <x:c r="H12" s="12"/>
    </x:row>
  </x:sheetData>
  <x:mergeCells>
    <x:mergeCell ref="A1:H1"/>
    <x:mergeCell ref="A2:H2"/>
    <x:mergeCell ref="E4:H4"/>
    <x:mergeCell ref="E5:H5"/>
    <x:mergeCell ref="E6:H6"/>
  </x:mergeCells>
  <x:pageMargins left="0.7" right="0.7" top="0.75" bottom="0.75" header="0.3" footer="0.3"/>
</x:worksheet>
</file>