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bd3f10d01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 Summary" sheetId="1" r:id="R445c1cd8d99843c3"/>
    <x:sheet xmlns:r="http://schemas.openxmlformats.org/officeDocument/2006/relationships" name="Checks" sheetId="2" r:id="Red8704a410ff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4">
    <x:font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66386d7f546a1" /><Relationship Type="http://schemas.openxmlformats.org/officeDocument/2006/relationships/theme" Target="/xl/theme/theme1.xml" Id="R4073c754c1464f0d" /><Relationship Type="http://schemas.openxmlformats.org/officeDocument/2006/relationships/sharedStrings" Target="/xl/sharedStrings.xml" Id="R20c006f6bcdf406d" /><Relationship Type="http://schemas.openxmlformats.org/officeDocument/2006/relationships/worksheet" Target="/xl/worksheets/sheet1.xml" Id="R445c1cd8d99843c3" /><Relationship Type="http://schemas.openxmlformats.org/officeDocument/2006/relationships/worksheet" Target="/xl/worksheets/sheet2.xml" Id="Red8704a410ff4d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Cedar Works | FY2026 Q1 | February 2026 Trial Balance</x:v>
      </x:c>
      <x:c r="B1" s="8"/>
      <x:c r="C1" s="8"/>
      <x:c r="D1" s="8"/>
      <x:c r="E1" s="8"/>
      <x:c r="F1" s="8"/>
    </x:row>
    <x:row r="2">
      <x:c r="A2" s="9" t="str">
        <x:v>Close date: 2026-03-05 | Currency: JPY | Synthetic management record</x:v>
      </x:c>
      <x:c r="B2" s="9"/>
      <x:c r="C2" s="9"/>
      <x:c r="D2" s="9"/>
      <x:c r="E2" s="9"/>
      <x:c r="F2" s="9"/>
    </x:row>
    <x:row r="3">
      <x:c r="A3" s="10" t="str">
        <x:v>Account / control</x:v>
      </x:c>
      <x:c r="B3" s="10" t="str">
        <x:v>Actual JPY</x:v>
      </x:c>
      <x:c r="C3" s="10" t="str">
        <x:v>Budget / expected JPY</x:v>
      </x:c>
      <x:c r="D3" s="10" t="str">
        <x:v>Variance JPY</x:v>
      </x:c>
      <x:c r="E3" s="10"/>
      <x:c r="F3" s="10"/>
    </x:row>
    <x:row r="4">
      <x:c r="A4" s="9" t="str">
        <x:v>Cash</x:v>
      </x:c>
      <x:c r="B4" s="11" t="n">
        <x:v>498600000</x:v>
      </x:c>
      <x:c r="C4" s="11" t="n">
        <x:v>498600000</x:v>
      </x:c>
      <x:c r="D4" s="11" t="n">
        <x:f>B4-C4</x:f>
        <x:v>0</x:v>
      </x:c>
      <x:c r="E4" s="9"/>
      <x:c r="F4" s="9"/>
    </x:row>
    <x:row r="5">
      <x:c r="A5" s="9" t="str">
        <x:v>Accounts receivable</x:v>
      </x:c>
      <x:c r="B5" s="11" t="n">
        <x:v>312000000</x:v>
      </x:c>
      <x:c r="C5" s="11" t="n">
        <x:v>312000000</x:v>
      </x:c>
      <x:c r="D5" s="11" t="n">
        <x:f>B5-C5</x:f>
        <x:v>0</x:v>
      </x:c>
      <x:c r="E5" s="9"/>
      <x:c r="F5" s="9"/>
    </x:row>
    <x:row r="6">
      <x:c r="A6" s="9" t="str">
        <x:v>Inventory</x:v>
      </x:c>
      <x:c r="B6" s="11" t="n">
        <x:v>418000000</x:v>
      </x:c>
      <x:c r="C6" s="11" t="n">
        <x:v>418000000</x:v>
      </x:c>
      <x:c r="D6" s="11" t="n">
        <x:f>B6-C6</x:f>
        <x:v>0</x:v>
      </x:c>
      <x:c r="E6" s="9"/>
      <x:c r="F6" s="9"/>
    </x:row>
    <x:row r="7">
      <x:c r="A7" s="9" t="str">
        <x:v>Accounts payable</x:v>
      </x:c>
      <x:c r="B7" s="11" t="n">
        <x:v>-226000000</x:v>
      </x:c>
      <x:c r="C7" s="11" t="n">
        <x:v>-226000000</x:v>
      </x:c>
      <x:c r="D7" s="11" t="n">
        <x:f>B7-C7</x:f>
        <x:v>0</x:v>
      </x:c>
      <x:c r="E7" s="9"/>
      <x:c r="F7" s="9"/>
    </x:row>
    <x:row r="8">
      <x:c r="A8" s="9" t="str">
        <x:v>Revenue</x:v>
      </x:c>
      <x:c r="B8" s="11" t="n">
        <x:v>-1842000000</x:v>
      </x:c>
      <x:c r="C8" s="11" t="n">
        <x:v>-1842000000</x:v>
      </x:c>
      <x:c r="D8" s="11" t="n">
        <x:f>B8-C8</x:f>
        <x:v>0</x:v>
      </x:c>
      <x:c r="E8" s="9"/>
      <x:c r="F8" s="9"/>
    </x:row>
    <x:row r="9">
      <x:c r="A9" s="9" t="str">
        <x:v>COGS</x:v>
      </x:c>
      <x:c r="B9" s="11" t="n">
        <x:v>1131000000</x:v>
      </x:c>
      <x:c r="C9" s="11" t="n">
        <x:v>1131000000</x:v>
      </x:c>
      <x:c r="D9" s="11" t="n">
        <x:f>B9-C9</x:f>
        <x:v>0</x:v>
      </x:c>
      <x:c r="E9" s="9"/>
      <x:c r="F9" s="9"/>
    </x:row>
    <x:row r="10">
      <x:c r="A10" s="9" t="str">
        <x:v>Operating expenses</x:v>
      </x:c>
      <x:c r="B10" s="11" t="n">
        <x:v>489000000</x:v>
      </x:c>
      <x:c r="C10" s="11" t="n">
        <x:v>489000000</x:v>
      </x:c>
      <x:c r="D10" s="11" t="n">
        <x:f>B10-C10</x:f>
        <x:v>0</x:v>
      </x:c>
      <x:c r="E10" s="9"/>
      <x:c r="F10" s="9"/>
    </x:row>
    <x:row r="11">
      <x:c r="A11" s="9" t="str">
        <x:v>Retained earnings</x:v>
      </x:c>
      <x:c r="B11" s="11" t="n">
        <x:v>-780600000</x:v>
      </x:c>
      <x:c r="C11" s="11" t="n">
        <x:v>-780600000</x:v>
      </x:c>
      <x:c r="D11" s="11" t="n">
        <x:f>B11-C11</x:f>
        <x:v>0</x:v>
      </x:c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12" t="str">
        <x:v>Control total</x:v>
      </x:c>
      <x:c r="B13" s="12" t="n">
        <x:f>SUM(B4:B11)</x:f>
        <x:v>0</x:v>
      </x:c>
      <x:c r="C13" s="12" t="n">
        <x:f>SUM(C4:C11)</x:f>
        <x:v>0</x:v>
      </x:c>
      <x:c r="D13" s="12" t="n">
        <x:f>B13-C13</x:f>
        <x:v>0</x:v>
      </x:c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Cedar Works Close Controls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Assertion</x:v>
      </x:c>
      <x:c r="B3" s="10" t="str">
        <x:v>Actual</x:v>
      </x:c>
      <x:c r="C3" s="10" t="str">
        <x:v>Expected</x:v>
      </x:c>
      <x:c r="D3" s="10" t="str">
        <x:v>Difference</x:v>
      </x:c>
      <x:c r="E3" s="10" t="str">
        <x:v>Tolerance</x:v>
      </x:c>
      <x:c r="F3" s="10" t="str">
        <x:v>Status</x:v>
      </x:c>
    </x:row>
    <x:row r="4">
      <x:c r="A4" s="9" t="str">
        <x:v>All required balances populated</x:v>
      </x:c>
      <x:c r="B4" s="9" t="str">
        <x:v>Yes</x:v>
      </x:c>
      <x:c r="C4" s="9" t="str">
        <x:v>Yes</x:v>
      </x:c>
      <x:c r="D4" s="9"/>
      <x:c r="E4" s="9" t="str">
        <x:v>0</x:v>
      </x:c>
      <x:c r="F4" s="13" t="str">
        <x:v>OK</x:v>
      </x:c>
    </x:row>
    <x:row r="5">
      <x:c r="A5" s="9" t="str">
        <x:v>Close date recorded</x:v>
      </x:c>
      <x:c r="B5" s="9" t="str">
        <x:v>2026-03-05</x:v>
      </x:c>
      <x:c r="C5" s="9" t="str">
        <x:v>2026-03-05</x:v>
      </x:c>
      <x:c r="D5" s="9"/>
      <x:c r="E5" s="9" t="str">
        <x:v>0</x:v>
      </x:c>
      <x:c r="F5" s="13" t="str">
        <x:v>OK</x:v>
      </x:c>
    </x:row>
    <x:row r="6">
      <x:c r="A6" s="9" t="str">
        <x:v>No formula errors</x:v>
      </x:c>
      <x:c r="B6" s="9" t="str">
        <x:v>Pass</x:v>
      </x:c>
      <x:c r="C6" s="9" t="str">
        <x:v>Pass</x:v>
      </x:c>
      <x:c r="D6" s="9"/>
      <x:c r="E6" s="9" t="str">
        <x:v>0</x:v>
      </x:c>
      <x:c r="F6" s="13" t="str">
        <x:v>OK</x:v>
      </x:c>
    </x:row>
    <x:row r="7">
      <x:c r="A7" s="9" t="str">
        <x:v>February close certified</x:v>
      </x:c>
      <x:c r="B7" s="9" t="str">
        <x:v>Ready</x:v>
      </x:c>
      <x:c r="C7" s="9" t="str">
        <x:v>Ready</x:v>
      </x:c>
      <x:c r="D7" s="9"/>
      <x:c r="E7" s="9" t="str">
        <x:v>0</x:v>
      </x:c>
      <x:c r="F7" s="13" t="str">
        <x:v>OK</x:v>
      </x:c>
    </x:row>
    <x:row r="8">
      <x:c r="A8" s="9"/>
      <x:c r="B8" s="9"/>
      <x:c r="C8" s="9"/>
      <x:c r="D8" s="9"/>
      <x:c r="E8" s="9"/>
      <x:c r="F8" s="9"/>
    </x:row>
    <x:row r="9">
      <x:c r="A9" s="9"/>
      <x:c r="B9" s="9"/>
      <x:c r="C9" s="9"/>
      <x:c r="D9" s="9"/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mergeCells>
    <x:mergeCell ref="A1:F1"/>
  </x:mergeCells>
  <x:pageMargins left="0.7" right="0.7" top="0.75" bottom="0.75" header="0.3" footer="0.3"/>
</x:worksheet>
</file>