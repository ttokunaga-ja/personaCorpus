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6685ea787d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e Summary" sheetId="1" r:id="R28ff190fa4a3462e"/>
    <x:sheet xmlns:r="http://schemas.openxmlformats.org/officeDocument/2006/relationships" name="Checks" sheetId="2" r:id="Rdae71df8fc6f49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;-"/>
  </x:numFmts>
  <x:fonts count="4">
    <x:font>
      <x:sz val="11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68930ceec84505" /><Relationship Type="http://schemas.openxmlformats.org/officeDocument/2006/relationships/theme" Target="/xl/theme/theme1.xml" Id="R770a1e4b9fe443b7" /><Relationship Type="http://schemas.openxmlformats.org/officeDocument/2006/relationships/sharedStrings" Target="/xl/sharedStrings.xml" Id="R3a2a3144a1cf4b62" /><Relationship Type="http://schemas.openxmlformats.org/officeDocument/2006/relationships/worksheet" Target="/xl/worksheets/sheet1.xml" Id="R28ff190fa4a3462e" /><Relationship Type="http://schemas.openxmlformats.org/officeDocument/2006/relationships/worksheet" Target="/xl/worksheets/sheet2.xml" Id="Rdae71df8fc6f49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Cedar Works | FY2026 Q1 | February 2026 Cash Reconciliation</x:v>
      </x:c>
      <x:c r="B1" s="8"/>
      <x:c r="C1" s="8"/>
      <x:c r="D1" s="8"/>
      <x:c r="E1" s="8"/>
      <x:c r="F1" s="8"/>
    </x:row>
    <x:row r="2">
      <x:c r="A2" s="9" t="str">
        <x:v>Close date: 2026-03-05 | Currency: JPY | Synthetic management record</x:v>
      </x:c>
      <x:c r="B2" s="9"/>
      <x:c r="C2" s="9"/>
      <x:c r="D2" s="9"/>
      <x:c r="E2" s="9"/>
      <x:c r="F2" s="9"/>
    </x:row>
    <x:row r="3">
      <x:c r="A3" s="10" t="str">
        <x:v>Account / control</x:v>
      </x:c>
      <x:c r="B3" s="10" t="str">
        <x:v>Actual JPY</x:v>
      </x:c>
      <x:c r="C3" s="10" t="str">
        <x:v>Budget / expected JPY</x:v>
      </x:c>
      <x:c r="D3" s="10" t="str">
        <x:v>Variance JPY</x:v>
      </x:c>
      <x:c r="E3" s="10"/>
      <x:c r="F3" s="10"/>
    </x:row>
    <x:row r="4">
      <x:c r="A4" s="9" t="str">
        <x:v>Ledger cash</x:v>
      </x:c>
      <x:c r="B4" s="11" t="n">
        <x:v>498600000</x:v>
      </x:c>
      <x:c r="C4" s="11" t="n">
        <x:v>498600000</x:v>
      </x:c>
      <x:c r="D4" s="11" t="n">
        <x:f>B4-C4</x:f>
        <x:v>0</x:v>
      </x:c>
      <x:c r="E4" s="9"/>
      <x:c r="F4" s="9"/>
    </x:row>
    <x:row r="5">
      <x:c r="A5" s="9" t="str">
        <x:v>Receipt timing</x:v>
      </x:c>
      <x:c r="B5" s="11" t="n">
        <x:v>-7200000</x:v>
      </x:c>
      <x:c r="C5" s="11" t="n">
        <x:v>-7200000</x:v>
      </x:c>
      <x:c r="D5" s="11" t="n">
        <x:f>B5-C5</x:f>
        <x:v>0</x:v>
      </x:c>
      <x:c r="E5" s="9"/>
      <x:c r="F5" s="9"/>
    </x:row>
    <x:row r="6">
      <x:c r="A6" s="9" t="str">
        <x:v>Vendor timing</x:v>
      </x:c>
      <x:c r="B6" s="11" t="n">
        <x:v>-3100000</x:v>
      </x:c>
      <x:c r="C6" s="11" t="n">
        <x:v>-3100000</x:v>
      </x:c>
      <x:c r="D6" s="11" t="n">
        <x:f>B6-C6</x:f>
        <x:v>0</x:v>
      </x:c>
      <x:c r="E6" s="9"/>
      <x:c r="F6" s="9"/>
    </x:row>
    <x:row r="7">
      <x:c r="A7" s="9" t="str">
        <x:v>Bank fees</x:v>
      </x:c>
      <x:c r="B7" s="11" t="n">
        <x:v>-1300000</x:v>
      </x:c>
      <x:c r="C7" s="11" t="n">
        <x:v>-1300000</x:v>
      </x:c>
      <x:c r="D7" s="11" t="n">
        <x:f>B7-C7</x:f>
        <x:v>0</x:v>
      </x:c>
      <x:c r="E7" s="9"/>
      <x:c r="F7" s="9"/>
    </x:row>
    <x:row r="8">
      <x:c r="A8" s="9" t="str">
        <x:v>FX revaluation</x:v>
      </x:c>
      <x:c r="B8" s="11" t="n">
        <x:v>-800000</x:v>
      </x:c>
      <x:c r="C8" s="11" t="n">
        <x:v>-800000</x:v>
      </x:c>
      <x:c r="D8" s="11" t="n">
        <x:f>B8-C8</x:f>
        <x:v>0</x:v>
      </x:c>
      <x:c r="E8" s="9"/>
      <x:c r="F8" s="9"/>
    </x:row>
    <x:row r="9">
      <x:c r="A9" s="9" t="str">
        <x:v>Bank cash</x:v>
      </x:c>
      <x:c r="B9" s="11" t="n">
        <x:v>486200000</x:v>
      </x:c>
      <x:c r="C9" s="11" t="n">
        <x:v>486200000</x:v>
      </x:c>
      <x:c r="D9" s="11" t="n">
        <x:f>B9-C9</x:f>
        <x:v>0</x:v>
      </x:c>
      <x:c r="E9" s="9"/>
      <x:c r="F9" s="9"/>
    </x:row>
    <x:row r="10">
      <x:c r="A10" s="9"/>
      <x:c r="B10" s="9"/>
      <x:c r="C10" s="9"/>
      <x:c r="D10" s="9"/>
      <x:c r="E10" s="9"/>
      <x:c r="F10" s="9"/>
    </x:row>
    <x:row r="11">
      <x:c r="A11" s="12" t="str">
        <x:v>Control total</x:v>
      </x:c>
      <x:c r="B11" s="12" t="n">
        <x:f>SUM(B4:B9)</x:f>
        <x:v>972400000</x:v>
      </x:c>
      <x:c r="C11" s="12" t="n">
        <x:f>SUM(C4:C9)</x:f>
        <x:v>972400000</x:v>
      </x:c>
      <x:c r="D11" s="12" t="n">
        <x:f>B11-C11</x:f>
        <x:v>0</x:v>
      </x:c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9"/>
      <x:c r="B13" s="9"/>
      <x:c r="C13" s="9"/>
      <x:c r="D13" s="9"/>
      <x:c r="E13" s="9"/>
      <x:c r="F13" s="9"/>
    </x:row>
    <x:row r="14">
      <x:c r="A14" s="9"/>
      <x:c r="B14" s="9"/>
      <x:c r="C14" s="9"/>
      <x:c r="D14" s="9"/>
      <x:c r="E14" s="9"/>
      <x:c r="F14" s="9"/>
    </x:row>
    <x:row r="15">
      <x:c r="A15" s="9"/>
      <x:c r="B15" s="9"/>
      <x:c r="C15" s="9"/>
      <x:c r="D15" s="9"/>
      <x:c r="E15" s="9"/>
      <x:c r="F15" s="9"/>
    </x:row>
    <x:row r="16">
      <x:c r="A16" s="9"/>
      <x:c r="B16" s="9"/>
      <x:c r="C16" s="9"/>
      <x:c r="D16" s="9"/>
      <x:c r="E16" s="9"/>
      <x:c r="F16" s="9"/>
    </x:row>
    <x:row r="17">
      <x:c r="A17" s="9"/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Cedar Works Close Controls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Assertion</x:v>
      </x:c>
      <x:c r="B3" s="10" t="str">
        <x:v>Actual</x:v>
      </x:c>
      <x:c r="C3" s="10" t="str">
        <x:v>Expected</x:v>
      </x:c>
      <x:c r="D3" s="10" t="str">
        <x:v>Difference</x:v>
      </x:c>
      <x:c r="E3" s="10" t="str">
        <x:v>Tolerance</x:v>
      </x:c>
      <x:c r="F3" s="10" t="str">
        <x:v>Status</x:v>
      </x:c>
    </x:row>
    <x:row r="4">
      <x:c r="A4" s="9" t="str">
        <x:v>All required balances populated</x:v>
      </x:c>
      <x:c r="B4" s="9" t="str">
        <x:v>Yes</x:v>
      </x:c>
      <x:c r="C4" s="9" t="str">
        <x:v>Yes</x:v>
      </x:c>
      <x:c r="D4" s="9"/>
      <x:c r="E4" s="9" t="str">
        <x:v>0</x:v>
      </x:c>
      <x:c r="F4" s="13" t="str">
        <x:v>OK</x:v>
      </x:c>
    </x:row>
    <x:row r="5">
      <x:c r="A5" s="9" t="str">
        <x:v>Close date recorded</x:v>
      </x:c>
      <x:c r="B5" s="9" t="str">
        <x:v>2026-03-05</x:v>
      </x:c>
      <x:c r="C5" s="9" t="str">
        <x:v>2026-03-05</x:v>
      </x:c>
      <x:c r="D5" s="9"/>
      <x:c r="E5" s="9" t="str">
        <x:v>0</x:v>
      </x:c>
      <x:c r="F5" s="13" t="str">
        <x:v>OK</x:v>
      </x:c>
    </x:row>
    <x:row r="6">
      <x:c r="A6" s="9" t="str">
        <x:v>No formula errors</x:v>
      </x:c>
      <x:c r="B6" s="9" t="str">
        <x:v>Pass</x:v>
      </x:c>
      <x:c r="C6" s="9" t="str">
        <x:v>Pass</x:v>
      </x:c>
      <x:c r="D6" s="9"/>
      <x:c r="E6" s="9" t="str">
        <x:v>0</x:v>
      </x:c>
      <x:c r="F6" s="13" t="str">
        <x:v>OK</x:v>
      </x:c>
    </x:row>
    <x:row r="7">
      <x:c r="A7" s="9" t="str">
        <x:v>February close certified</x:v>
      </x:c>
      <x:c r="B7" s="9" t="str">
        <x:v>Ready</x:v>
      </x:c>
      <x:c r="C7" s="9" t="str">
        <x:v>Ready</x:v>
      </x:c>
      <x:c r="D7" s="9"/>
      <x:c r="E7" s="9" t="str">
        <x:v>0</x:v>
      </x:c>
      <x:c r="F7" s="13" t="str">
        <x:v>OK</x:v>
      </x:c>
    </x:row>
    <x:row r="8">
      <x:c r="A8" s="9"/>
      <x:c r="B8" s="9"/>
      <x:c r="C8" s="9"/>
      <x:c r="D8" s="9"/>
      <x:c r="E8" s="9"/>
      <x:c r="F8" s="9"/>
    </x:row>
    <x:row r="9">
      <x:c r="A9" s="9"/>
      <x:c r="B9" s="9"/>
      <x:c r="C9" s="9"/>
      <x:c r="D9" s="9"/>
      <x:c r="E9" s="9"/>
      <x:c r="F9" s="9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9"/>
      <x:c r="B13" s="9"/>
      <x:c r="C13" s="9"/>
      <x:c r="D13" s="9"/>
      <x:c r="E13" s="9"/>
      <x:c r="F13" s="9"/>
    </x:row>
    <x:row r="14">
      <x:c r="A14" s="9"/>
      <x:c r="B14" s="9"/>
      <x:c r="C14" s="9"/>
      <x:c r="D14" s="9"/>
      <x:c r="E14" s="9"/>
      <x:c r="F14" s="9"/>
    </x:row>
    <x:row r="15">
      <x:c r="A15" s="9"/>
      <x:c r="B15" s="9"/>
      <x:c r="C15" s="9"/>
      <x:c r="D15" s="9"/>
      <x:c r="E15" s="9"/>
      <x:c r="F15" s="9"/>
    </x:row>
    <x:row r="16">
      <x:c r="A16" s="9"/>
      <x:c r="B16" s="9"/>
      <x:c r="C16" s="9"/>
      <x:c r="D16" s="9"/>
      <x:c r="E16" s="9"/>
      <x:c r="F16" s="9"/>
    </x:row>
    <x:row r="17">
      <x:c r="A17" s="9"/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</x:sheetData>
  <x:mergeCells>
    <x:mergeCell ref="A1:F1"/>
  </x:mergeCells>
  <x:pageMargins left="0.7" right="0.7" top="0.75" bottom="0.75" header="0.3" footer="0.3"/>
</x:worksheet>
</file>