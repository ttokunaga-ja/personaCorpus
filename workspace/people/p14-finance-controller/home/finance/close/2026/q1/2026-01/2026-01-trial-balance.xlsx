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966ef9443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6e450b34fe4203"/>
    <x:sheet xmlns:r="http://schemas.openxmlformats.org/officeDocument/2006/relationships" name="Checks" sheetId="2" r:id="Ra0fccc70dee5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c1bad94024e36" /><Relationship Type="http://schemas.openxmlformats.org/officeDocument/2006/relationships/theme" Target="/xl/theme/theme1.xml" Id="Ra28ca6712b044d24" /><Relationship Type="http://schemas.openxmlformats.org/officeDocument/2006/relationships/sharedStrings" Target="/xl/sharedStrings.xml" Id="Rdd67a76559484ae2" /><Relationship Type="http://schemas.openxmlformats.org/officeDocument/2006/relationships/worksheet" Target="/xl/worksheets/sheet1.xml" Id="R066e450b34fe4203" /><Relationship Type="http://schemas.openxmlformats.org/officeDocument/2006/relationships/worksheet" Target="/xl/worksheets/sheet2.xml" Id="Ra0fccc70dee5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Trial Balance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Account</x:v>
      </x:c>
      <x:c r="B4" s="3" t="str">
        <x:v>Debit</x:v>
      </x:c>
      <x:c r="C4" s="3" t="str">
        <x:v>Credit</x:v>
      </x:c>
      <x:c r="D4" s="3" t="str">
        <x:v>Balance</x:v>
      </x:c>
      <x:c r="E4" s="3" t="str">
        <x:v>Status</x:v>
      </x:c>
    </x:row>
    <x:row r="5">
      <x:c r="A5" t="str">
        <x:v>Cash</x:v>
      </x:c>
      <x:c r="B5" s="5" t="n">
        <x:v>498600000</x:v>
      </x:c>
      <x:c r="C5" s="5" t="n">
        <x:v>0</x:v>
      </x:c>
      <x:c r="D5" s="5" t="n">
        <x:f>B5-C5</x:f>
        <x:v>498600000</x:v>
      </x:c>
      <x:c r="E5" s="5" t="str">
        <x:f>IF(ABS(D5)&gt;=0,"OK","REVIEW")</x:f>
        <x:v>OK</x:v>
      </x:c>
      <x:c r="F5" s="5"/>
    </x:row>
    <x:row r="6">
      <x:c r="A6" t="str">
        <x:v>Trade receivables</x:v>
      </x:c>
      <x:c r="B6" s="5" t="n">
        <x:v>312000000</x:v>
      </x:c>
      <x:c r="C6" s="5" t="n">
        <x:v>0</x:v>
      </x:c>
      <x:c r="D6" s="5" t="n">
        <x:f>B6-C6</x:f>
        <x:v>312000000</x:v>
      </x:c>
      <x:c r="E6" s="5" t="str">
        <x:f>IF(ABS(D6)&gt;=0,"OK","REVIEW")</x:f>
        <x:v>OK</x:v>
      </x:c>
      <x:c r="F6" s="5"/>
    </x:row>
    <x:row r="7">
      <x:c r="A7" t="str">
        <x:v>Inventory</x:v>
      </x:c>
      <x:c r="B7" s="5" t="n">
        <x:v>418000000</x:v>
      </x:c>
      <x:c r="C7" s="5" t="n">
        <x:v>0</x:v>
      </x:c>
      <x:c r="D7" s="5" t="n">
        <x:f>B7-C7</x:f>
        <x:v>418000000</x:v>
      </x:c>
      <x:c r="E7" s="5" t="str">
        <x:f>IF(ABS(D7)&gt;=0,"OK","REVIEW")</x:f>
        <x:v>OK</x:v>
      </x:c>
      <x:c r="F7" s="5"/>
    </x:row>
    <x:row r="8">
      <x:c r="A8" t="str">
        <x:v>Fixed assets</x:v>
      </x:c>
      <x:c r="B8" s="5" t="n">
        <x:v>164800000</x:v>
      </x:c>
      <x:c r="C8" s="5" t="n">
        <x:v>0</x:v>
      </x:c>
      <x:c r="D8" s="5" t="n">
        <x:f>B8-C8</x:f>
        <x:v>164800000</x:v>
      </x:c>
      <x:c r="E8" s="5" t="str">
        <x:f>IF(ABS(D8)&gt;=0,"OK","REVIEW")</x:f>
        <x:v>OK</x:v>
      </x:c>
      <x:c r="F8" s="5"/>
    </x:row>
    <x:row r="9">
      <x:c r="A9" t="str">
        <x:v>Trade payables</x:v>
      </x:c>
      <x:c r="B9" s="5" t="n">
        <x:v>0</x:v>
      </x:c>
      <x:c r="C9" s="5" t="n">
        <x:v>226000000</x:v>
      </x:c>
      <x:c r="D9" s="5" t="n">
        <x:f>B9-C9</x:f>
        <x:v>-226000000</x:v>
      </x:c>
      <x:c r="E9" s="5" t="str">
        <x:f>IF(ABS(D9)&gt;=0,"OK","REVIEW")</x:f>
        <x:v>OK</x:v>
      </x:c>
      <x:c r="F9" s="5"/>
    </x:row>
    <x:row r="10">
      <x:c r="A10" t="str">
        <x:v>Revenue</x:v>
      </x:c>
      <x:c r="B10" s="5" t="n">
        <x:v>0</x:v>
      </x:c>
      <x:c r="C10" s="5" t="n">
        <x:v>1842000000</x:v>
      </x:c>
      <x:c r="D10" s="5" t="n">
        <x:f>B10-C10</x:f>
        <x:v>-1842000000</x:v>
      </x:c>
      <x:c r="E10" s="5" t="str">
        <x:f>IF(ABS(D10)&gt;=0,"OK","REVIEW")</x:f>
        <x:v>OK</x:v>
      </x:c>
      <x:c r="F10" s="5"/>
    </x:row>
    <x:row r="11">
      <x:c r="A11" t="str">
        <x:v>COGS</x:v>
      </x:c>
      <x:c r="B11" s="5" t="n">
        <x:v>1131000000</x:v>
      </x:c>
      <x:c r="C11" s="5" t="n">
        <x:v>0</x:v>
      </x:c>
      <x:c r="D11" s="5" t="n">
        <x:f>B11-C11</x:f>
        <x:v>1131000000</x:v>
      </x:c>
      <x:c r="E11" s="5" t="str">
        <x:f>IF(ABS(D11)&gt;=0,"OK","REVIEW")</x:f>
        <x:v>OK</x:v>
      </x:c>
      <x:c r="F11" s="5"/>
    </x:row>
    <x:row r="12">
      <x:c r="A12" t="str">
        <x:v>Operating expenses</x:v>
      </x:c>
      <x:c r="B12" s="5" t="n">
        <x:v>489000000</x:v>
      </x:c>
      <x:c r="C12" s="5" t="n">
        <x:v>0</x:v>
      </x:c>
      <x:c r="D12" s="5" t="n">
        <x:f>B12-C12</x:f>
        <x:v>489000000</x:v>
      </x:c>
      <x:c r="E12" s="5" t="str">
        <x:f>IF(ABS(D12)&gt;=0,"OK","REVIEW")</x:f>
        <x:v>OK</x:v>
      </x:c>
      <x:c r="F12" s="5"/>
    </x:row>
    <x:row r="14">
      <x:c r="A14" s="4" t="str">
        <x:v>Control note: role-based review completed; all source data is synthetic.</x:v>
      </x:c>
      <x:c r="B14" s="4"/>
      <x:c r="C14" s="4"/>
      <x:c r="D14" s="4"/>
      <x:c r="E14" s="4"/>
      <x:c r="F14" s="4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