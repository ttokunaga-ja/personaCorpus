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ed31b110f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" sheetId="1" r:id="R728c359163c7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4A556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4855987a440e7" /><Relationship Type="http://schemas.openxmlformats.org/officeDocument/2006/relationships/theme" Target="/xl/theme/theme1.xml" Id="R66a8207dc5b247b3" /><Relationship Type="http://schemas.openxmlformats.org/officeDocument/2006/relationships/sharedStrings" Target="/xl/sharedStrings.xml" Id="R1757179e9f0646a4" /><Relationship Type="http://schemas.openxmlformats.org/officeDocument/2006/relationships/worksheet" Target="/xl/worksheets/sheet1.xml" Id="R728c359163c74d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" t="str">
        <x:v>Cash Reconciliation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FY2026 Q1 | Completed 2026-04-06 | Currency: JPY</x:v>
      </x:c>
      <x:c r="B2" s="11"/>
      <x:c r="C2" s="11"/>
      <x:c r="D2" s="11"/>
      <x:c r="E2" s="11"/>
      <x:c r="F2" s="11"/>
      <x:c r="G2" s="11"/>
      <x:c r="H2" s="11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Step</x:v>
      </x:c>
      <x:c r="B4" s="13" t="str">
        <x:v>Amount</x:v>
      </x:c>
      <x:c r="C4" s="13" t="str">
        <x:v>Sign</x:v>
      </x:c>
      <x:c r="D4" s="16" t="str">
        <x:v>Running variance</x:v>
      </x:c>
      <x:c r="E4" s="16" t="str">
        <x:v>Control</x:v>
      </x:c>
      <x:c r="F4" s="12"/>
      <x:c r="G4" s="12"/>
      <x:c r="H4" s="12"/>
    </x:row>
    <x:row r="5">
      <x:c r="A5" s="14" t="str">
        <x:v>Ledger cash</x:v>
      </x:c>
      <x:c r="B5" s="18" t="n">
        <x:v>498600000</x:v>
      </x:c>
      <x:c r="C5" s="14" t="n">
        <x:v>1</x:v>
      </x:c>
      <x:c r="D5" s="20" t="n">
        <x:f>B5</x:f>
        <x:v>498600000</x:v>
      </x:c>
      <x:c r="E5" s="12" t="str">
        <x:v>Ledger input</x:v>
      </x:c>
      <x:c r="F5" s="12"/>
      <x:c r="G5" s="12"/>
      <x:c r="H5" s="12"/>
    </x:row>
    <x:row r="6">
      <x:c r="A6" s="14" t="str">
        <x:v>Receipt timing</x:v>
      </x:c>
      <x:c r="B6" s="18" t="n">
        <x:v>7200000</x:v>
      </x:c>
      <x:c r="C6" s="14" t="n">
        <x:v>-1</x:v>
      </x:c>
      <x:c r="D6" s="20" t="n">
        <x:f>D5+B6*C6</x:f>
        <x:v>491400000</x:v>
      </x:c>
      <x:c r="E6" s="12" t="str">
        <x:v>Receipt timing</x:v>
      </x:c>
      <x:c r="F6" s="12"/>
      <x:c r="G6" s="12"/>
      <x:c r="H6" s="12"/>
    </x:row>
    <x:row r="7">
      <x:c r="A7" s="14" t="str">
        <x:v>Vendor timing</x:v>
      </x:c>
      <x:c r="B7" s="18" t="n">
        <x:v>3100000</x:v>
      </x:c>
      <x:c r="C7" s="14" t="n">
        <x:v>-1</x:v>
      </x:c>
      <x:c r="D7" s="20" t="n">
        <x:f>D6+B7*C7</x:f>
        <x:v>488300000</x:v>
      </x:c>
      <x:c r="E7" s="12" t="str">
        <x:v>Vendor timing</x:v>
      </x:c>
      <x:c r="F7" s="12"/>
      <x:c r="G7" s="12"/>
      <x:c r="H7" s="12"/>
    </x:row>
    <x:row r="8">
      <x:c r="A8" s="14" t="str">
        <x:v>Bank fees</x:v>
      </x:c>
      <x:c r="B8" s="18" t="n">
        <x:v>1300000</x:v>
      </x:c>
      <x:c r="C8" s="14" t="n">
        <x:v>-1</x:v>
      </x:c>
      <x:c r="D8" s="20" t="n">
        <x:f>D7+B8*C8</x:f>
        <x:v>487000000</x:v>
      </x:c>
      <x:c r="E8" s="12" t="str">
        <x:v>Bank fee</x:v>
      </x:c>
      <x:c r="F8" s="12"/>
      <x:c r="G8" s="12"/>
      <x:c r="H8" s="12"/>
    </x:row>
    <x:row r="9">
      <x:c r="A9" s="14" t="str">
        <x:v>FX</x:v>
      </x:c>
      <x:c r="B9" s="18" t="n">
        <x:v>800000</x:v>
      </x:c>
      <x:c r="C9" s="14" t="n">
        <x:v>-1</x:v>
      </x:c>
      <x:c r="D9" s="20" t="n">
        <x:f>D8+B9*C9</x:f>
        <x:v>486200000</x:v>
      </x:c>
      <x:c r="E9" s="12" t="str">
        <x:v>FX</x:v>
      </x:c>
      <x:c r="F9" s="12"/>
      <x:c r="G9" s="12"/>
      <x:c r="H9" s="12"/>
    </x:row>
    <x:row r="10">
      <x:c r="A10" s="14" t="str">
        <x:v>Bank cash</x:v>
      </x:c>
      <x:c r="B10" s="18" t="n">
        <x:v>486200000</x:v>
      </x:c>
      <x:c r="C10" s="14" t="n">
        <x:v>1</x:v>
      </x:c>
      <x:c r="D10" s="20" t="n">
        <x:f>D9</x:f>
        <x:v>486200000</x:v>
      </x:c>
      <x:c r="E10" s="12" t="str">
        <x:v>Validated bank cash</x:v>
      </x:c>
      <x:c r="F10" s="12"/>
      <x:c r="G10" s="12"/>
      <x:c r="H10" s="12"/>
    </x:row>
    <x:row r="11">
      <x:c r="A11" s="14"/>
      <x:c r="B11" s="14"/>
      <x:c r="C11" s="14"/>
      <x:c r="D11" s="12"/>
      <x:c r="E11" s="12"/>
      <x:c r="F11" s="12"/>
      <x:c r="G11" s="12"/>
      <x:c r="H11" s="12"/>
    </x:row>
    <x:row r="12">
      <x:c r="A12" s="24" t="str">
        <x:v>MODEL CHECK</x:v>
      </x:c>
      <x:c r="B12" s="25" t="n">
        <x:f>B5-B10-SUM(B6:B9)</x:f>
        <x:v>0</x:v>
      </x:c>
      <x:c r="C12" s="24" t="str"/>
      <x:c r="D12" s="26" t="str">
        <x:v>Must equal zero</x:v>
      </x:c>
      <x:c r="E12" s="26" t="str"/>
      <x:c r="F12" s="12"/>
      <x:c r="G12" s="12"/>
      <x:c r="H12" s="12"/>
    </x:row>
    <x:row r="13">
      <x:c r="A13" s="14"/>
      <x:c r="B13" s="14"/>
      <x:c r="C13" s="14"/>
      <x:c r="D13" s="12"/>
      <x:c r="E13" s="12"/>
      <x:c r="F13" s="12"/>
      <x:c r="G13" s="12"/>
      <x:c r="H13" s="12"/>
    </x:row>
    <x:row r="14">
      <x:c r="A14" s="14"/>
      <x:c r="B14" s="14"/>
      <x:c r="C14" s="14"/>
      <x:c r="D14" s="12"/>
      <x:c r="E14" s="12"/>
      <x:c r="F14" s="12"/>
      <x:c r="G14" s="12"/>
      <x:c r="H14" s="12"/>
    </x:row>
  </x:sheetData>
  <x:mergeCells>
    <x:mergeCell ref="A1:H1"/>
    <x:mergeCell ref="A2:H2"/>
  </x:mergeCells>
  <x:pageMargins left="0.7" right="0.7" top="0.75" bottom="0.75" header="0.3" footer="0.3"/>
</x:worksheet>
</file>