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2716e0b7f045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ose Summary" sheetId="1" r:id="R661b58b585fb47b8"/>
    <x:sheet xmlns:r="http://schemas.openxmlformats.org/officeDocument/2006/relationships" name="Checks" sheetId="2" r:id="Rff970190eccd46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;[Red](#,##0);-"/>
  </x:numFmts>
  <x:fonts count="4">
    <x:font>
      <x:sz val="11"/>
      <x:name val="Carlito"/>
    </x:font>
    <x:font>
      <x:b/>
      <x:sz val="11"/>
      <x:name val="Carlito"/>
    </x:font>
    <x:font>
      <x:b/>
      <x:sz val="14"/>
      <x:color rgb="FFFFFFFF"/>
      <x:name val="Carlito"/>
    </x:font>
    <x:font>
      <x:b/>
      <x:sz val="11"/>
      <x:color rgb="FF000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DCE6F1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023b39165e4f99" /><Relationship Type="http://schemas.openxmlformats.org/officeDocument/2006/relationships/theme" Target="/xl/theme/theme1.xml" Id="R5b21abf05e5c4a2b" /><Relationship Type="http://schemas.openxmlformats.org/officeDocument/2006/relationships/sharedStrings" Target="/xl/sharedStrings.xml" Id="R5da35b797af742f8" /><Relationship Type="http://schemas.openxmlformats.org/officeDocument/2006/relationships/worksheet" Target="/xl/worksheets/sheet1.xml" Id="R661b58b585fb47b8" /><Relationship Type="http://schemas.openxmlformats.org/officeDocument/2006/relationships/worksheet" Target="/xl/worksheets/sheet2.xml" Id="Rff970190eccd46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8" t="str">
        <x:v>Cedar Works | FY2026 Q1 | February 2026 AP Accruals</x:v>
      </x:c>
      <x:c r="B1" s="8"/>
      <x:c r="C1" s="8"/>
      <x:c r="D1" s="8"/>
      <x:c r="E1" s="8"/>
      <x:c r="F1" s="8"/>
    </x:row>
    <x:row r="2">
      <x:c r="A2" s="9" t="str">
        <x:v>Close date: 2026-03-05 | Currency: JPY | Synthetic management record</x:v>
      </x:c>
      <x:c r="B2" s="9"/>
      <x:c r="C2" s="9"/>
      <x:c r="D2" s="9"/>
      <x:c r="E2" s="9"/>
      <x:c r="F2" s="9"/>
    </x:row>
    <x:row r="3">
      <x:c r="A3" s="10" t="str">
        <x:v>Account / control</x:v>
      </x:c>
      <x:c r="B3" s="10" t="str">
        <x:v>Actual JPY</x:v>
      </x:c>
      <x:c r="C3" s="10" t="str">
        <x:v>Budget / expected JPY</x:v>
      </x:c>
      <x:c r="D3" s="10" t="str">
        <x:v>Variance JPY</x:v>
      </x:c>
      <x:c r="E3" s="10"/>
      <x:c r="F3" s="10"/>
    </x:row>
    <x:row r="4">
      <x:c r="A4" s="9" t="str">
        <x:v>Freight accrual</x:v>
      </x:c>
      <x:c r="B4" s="11" t="n">
        <x:v>18400000</x:v>
      </x:c>
      <x:c r="C4" s="11" t="n">
        <x:v>18400000</x:v>
      </x:c>
      <x:c r="D4" s="11" t="n">
        <x:f>B4-C4</x:f>
        <x:v>0</x:v>
      </x:c>
      <x:c r="E4" s="9"/>
      <x:c r="F4" s="9"/>
    </x:row>
    <x:row r="5">
      <x:c r="A5" s="9" t="str">
        <x:v>Utilities accrual</x:v>
      </x:c>
      <x:c r="B5" s="11" t="n">
        <x:v>9200000</x:v>
      </x:c>
      <x:c r="C5" s="11" t="n">
        <x:v>9200000</x:v>
      </x:c>
      <x:c r="D5" s="11" t="n">
        <x:f>B5-C5</x:f>
        <x:v>0</x:v>
      </x:c>
      <x:c r="E5" s="9"/>
      <x:c r="F5" s="9"/>
    </x:row>
    <x:row r="6">
      <x:c r="A6" s="9" t="str">
        <x:v>Professional services</x:v>
      </x:c>
      <x:c r="B6" s="11" t="n">
        <x:v>7600000</x:v>
      </x:c>
      <x:c r="C6" s="11" t="n">
        <x:v>7600000</x:v>
      </x:c>
      <x:c r="D6" s="11" t="n">
        <x:f>B6-C6</x:f>
        <x:v>0</x:v>
      </x:c>
      <x:c r="E6" s="9"/>
      <x:c r="F6" s="9"/>
    </x:row>
    <x:row r="7">
      <x:c r="A7" s="9" t="str">
        <x:v>IT hosting</x:v>
      </x:c>
      <x:c r="B7" s="11" t="n">
        <x:v>5300000</x:v>
      </x:c>
      <x:c r="C7" s="11" t="n">
        <x:v>5300000</x:v>
      </x:c>
      <x:c r="D7" s="11" t="n">
        <x:f>B7-C7</x:f>
        <x:v>0</x:v>
      </x:c>
      <x:c r="E7" s="9"/>
      <x:c r="F7" s="9"/>
    </x:row>
    <x:row r="8">
      <x:c r="A8" s="9"/>
      <x:c r="B8" s="9"/>
      <x:c r="C8" s="9"/>
      <x:c r="D8" s="9"/>
      <x:c r="E8" s="9"/>
      <x:c r="F8" s="9"/>
    </x:row>
    <x:row r="9">
      <x:c r="A9" s="12" t="str">
        <x:v>Control total</x:v>
      </x:c>
      <x:c r="B9" s="12" t="n">
        <x:f>SUM(B4:B7)</x:f>
        <x:v>40500000</x:v>
      </x:c>
      <x:c r="C9" s="12" t="n">
        <x:f>SUM(C4:C7)</x:f>
        <x:v>40500000</x:v>
      </x:c>
      <x:c r="D9" s="12" t="n">
        <x:f>B9-C9</x:f>
        <x:v>0</x:v>
      </x:c>
      <x:c r="E9" s="9"/>
      <x:c r="F9" s="9"/>
    </x:row>
    <x:row r="10">
      <x:c r="A10" s="9"/>
      <x:c r="B10" s="9"/>
      <x:c r="C10" s="9"/>
      <x:c r="D10" s="9"/>
      <x:c r="E10" s="9"/>
      <x:c r="F10" s="9"/>
    </x:row>
    <x:row r="11">
      <x:c r="A11" s="9"/>
      <x:c r="B11" s="9"/>
      <x:c r="C11" s="9"/>
      <x:c r="D11" s="9"/>
      <x:c r="E11" s="9"/>
      <x:c r="F11" s="9"/>
    </x:row>
    <x:row r="12">
      <x:c r="A12" s="9"/>
      <x:c r="B12" s="9"/>
      <x:c r="C12" s="9"/>
      <x:c r="D12" s="9"/>
      <x:c r="E12" s="9"/>
      <x:c r="F12" s="9"/>
    </x:row>
    <x:row r="13">
      <x:c r="A13" s="9"/>
      <x:c r="B13" s="9"/>
      <x:c r="C13" s="9"/>
      <x:c r="D13" s="9"/>
      <x:c r="E13" s="9"/>
      <x:c r="F13" s="9"/>
    </x:row>
    <x:row r="14">
      <x:c r="A14" s="9"/>
      <x:c r="B14" s="9"/>
      <x:c r="C14" s="9"/>
      <x:c r="D14" s="9"/>
      <x:c r="E14" s="9"/>
      <x:c r="F14" s="9"/>
    </x:row>
    <x:row r="15">
      <x:c r="A15" s="9"/>
      <x:c r="B15" s="9"/>
      <x:c r="C15" s="9"/>
      <x:c r="D15" s="9"/>
      <x:c r="E15" s="9"/>
      <x:c r="F15" s="9"/>
    </x:row>
    <x:row r="16">
      <x:c r="A16" s="9"/>
      <x:c r="B16" s="9"/>
      <x:c r="C16" s="9"/>
      <x:c r="D16" s="9"/>
      <x:c r="E16" s="9"/>
      <x:c r="F16" s="9"/>
    </x:row>
    <x:row r="17">
      <x:c r="A17" s="9"/>
      <x:c r="B17" s="9"/>
      <x:c r="C17" s="9"/>
      <x:c r="D17" s="9"/>
      <x:c r="E17" s="9"/>
      <x:c r="F17" s="9"/>
    </x:row>
    <x:row r="18">
      <x:c r="A18" s="9"/>
      <x:c r="B18" s="9"/>
      <x:c r="C18" s="9"/>
      <x:c r="D18" s="9"/>
      <x:c r="E18" s="9"/>
      <x:c r="F18" s="9"/>
    </x:row>
    <x:row r="19">
      <x:c r="A19" s="9"/>
      <x:c r="B19" s="9"/>
      <x:c r="C19" s="9"/>
      <x:c r="D19" s="9"/>
      <x:c r="E19" s="9"/>
      <x:c r="F19" s="9"/>
    </x:row>
    <x:row r="20">
      <x:c r="A20" s="9"/>
      <x:c r="B20" s="9"/>
      <x:c r="C20" s="9"/>
      <x:c r="D20" s="9"/>
      <x:c r="E20" s="9"/>
      <x:c r="F20" s="9"/>
    </x:row>
    <x:row r="21">
      <x:c r="A21" s="9"/>
      <x:c r="B21" s="9"/>
      <x:c r="C21" s="9"/>
      <x:c r="D21" s="9"/>
      <x:c r="E21" s="9"/>
      <x:c r="F21" s="9"/>
    </x:row>
    <x:row r="22">
      <x:c r="A22" s="9"/>
      <x:c r="B22" s="9"/>
      <x:c r="C22" s="9"/>
      <x:c r="D22" s="9"/>
      <x:c r="E22" s="9"/>
      <x:c r="F22" s="9"/>
    </x:row>
    <x:row r="23">
      <x:c r="A23" s="9"/>
      <x:c r="B23" s="9"/>
      <x:c r="C23" s="9"/>
      <x:c r="D23" s="9"/>
      <x:c r="E23" s="9"/>
      <x:c r="F23" s="9"/>
    </x:row>
    <x:row r="24">
      <x:c r="A24" s="9"/>
      <x:c r="B24" s="9"/>
      <x:c r="C24" s="9"/>
      <x:c r="D24" s="9"/>
      <x:c r="E24" s="9"/>
      <x:c r="F24" s="9"/>
    </x:row>
    <x:row r="25">
      <x:c r="A25" s="9"/>
      <x:c r="B25" s="9"/>
      <x:c r="C25" s="9"/>
      <x:c r="D25" s="9"/>
      <x:c r="E25" s="9"/>
      <x:c r="F25" s="9"/>
    </x:row>
    <x:row r="26">
      <x:c r="A26" s="9"/>
      <x:c r="B26" s="9"/>
      <x:c r="C26" s="9"/>
      <x:c r="D26" s="9"/>
      <x:c r="E26" s="9"/>
      <x:c r="F26" s="9"/>
    </x:row>
    <x:row r="27">
      <x:c r="A27" s="9"/>
      <x:c r="B27" s="9"/>
      <x:c r="C27" s="9"/>
      <x:c r="D27" s="9"/>
      <x:c r="E27" s="9"/>
      <x:c r="F27" s="9"/>
    </x:row>
    <x:row r="28">
      <x:c r="A28" s="9"/>
      <x:c r="B28" s="9"/>
      <x:c r="C28" s="9"/>
      <x:c r="D28" s="9"/>
      <x:c r="E28" s="9"/>
      <x:c r="F28" s="9"/>
    </x:row>
    <x:row r="29">
      <x:c r="A29" s="9"/>
      <x:c r="B29" s="9"/>
      <x:c r="C29" s="9"/>
      <x:c r="D29" s="9"/>
      <x:c r="E29" s="9"/>
      <x:c r="F29" s="9"/>
    </x:row>
    <x:row r="30">
      <x:c r="A30" s="9"/>
      <x:c r="B30" s="9"/>
      <x:c r="C30" s="9"/>
      <x:c r="D30" s="9"/>
      <x:c r="E30" s="9"/>
      <x:c r="F30" s="9"/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8" t="str">
        <x:v>Cedar Works Close Controls</x:v>
      </x:c>
      <x:c r="B1" s="8"/>
      <x:c r="C1" s="8"/>
      <x:c r="D1" s="8"/>
      <x:c r="E1" s="8"/>
      <x:c r="F1" s="8"/>
    </x:row>
    <x:row r="2">
      <x:c r="A2" s="9"/>
      <x:c r="B2" s="9"/>
      <x:c r="C2" s="9"/>
      <x:c r="D2" s="9"/>
      <x:c r="E2" s="9"/>
      <x:c r="F2" s="9"/>
    </x:row>
    <x:row r="3">
      <x:c r="A3" s="10" t="str">
        <x:v>Assertion</x:v>
      </x:c>
      <x:c r="B3" s="10" t="str">
        <x:v>Actual</x:v>
      </x:c>
      <x:c r="C3" s="10" t="str">
        <x:v>Expected</x:v>
      </x:c>
      <x:c r="D3" s="10" t="str">
        <x:v>Difference</x:v>
      </x:c>
      <x:c r="E3" s="10" t="str">
        <x:v>Tolerance</x:v>
      </x:c>
      <x:c r="F3" s="10" t="str">
        <x:v>Status</x:v>
      </x:c>
    </x:row>
    <x:row r="4">
      <x:c r="A4" s="9" t="str">
        <x:v>All required balances populated</x:v>
      </x:c>
      <x:c r="B4" s="9" t="str">
        <x:v>Yes</x:v>
      </x:c>
      <x:c r="C4" s="9" t="str">
        <x:v>Yes</x:v>
      </x:c>
      <x:c r="D4" s="9"/>
      <x:c r="E4" s="9" t="str">
        <x:v>0</x:v>
      </x:c>
      <x:c r="F4" s="13" t="str">
        <x:v>OK</x:v>
      </x:c>
    </x:row>
    <x:row r="5">
      <x:c r="A5" s="9" t="str">
        <x:v>Close date recorded</x:v>
      </x:c>
      <x:c r="B5" s="9" t="str">
        <x:v>2026-03-05</x:v>
      </x:c>
      <x:c r="C5" s="9" t="str">
        <x:v>2026-03-05</x:v>
      </x:c>
      <x:c r="D5" s="9"/>
      <x:c r="E5" s="9" t="str">
        <x:v>0</x:v>
      </x:c>
      <x:c r="F5" s="13" t="str">
        <x:v>OK</x:v>
      </x:c>
    </x:row>
    <x:row r="6">
      <x:c r="A6" s="9" t="str">
        <x:v>No formula errors</x:v>
      </x:c>
      <x:c r="B6" s="9" t="str">
        <x:v>Pass</x:v>
      </x:c>
      <x:c r="C6" s="9" t="str">
        <x:v>Pass</x:v>
      </x:c>
      <x:c r="D6" s="9"/>
      <x:c r="E6" s="9" t="str">
        <x:v>0</x:v>
      </x:c>
      <x:c r="F6" s="13" t="str">
        <x:v>OK</x:v>
      </x:c>
    </x:row>
    <x:row r="7">
      <x:c r="A7" s="9" t="str">
        <x:v>February close certified</x:v>
      </x:c>
      <x:c r="B7" s="9" t="str">
        <x:v>Ready</x:v>
      </x:c>
      <x:c r="C7" s="9" t="str">
        <x:v>Ready</x:v>
      </x:c>
      <x:c r="D7" s="9"/>
      <x:c r="E7" s="9" t="str">
        <x:v>0</x:v>
      </x:c>
      <x:c r="F7" s="13" t="str">
        <x:v>OK</x:v>
      </x:c>
    </x:row>
    <x:row r="8">
      <x:c r="A8" s="9"/>
      <x:c r="B8" s="9"/>
      <x:c r="C8" s="9"/>
      <x:c r="D8" s="9"/>
      <x:c r="E8" s="9"/>
      <x:c r="F8" s="9"/>
    </x:row>
    <x:row r="9">
      <x:c r="A9" s="9"/>
      <x:c r="B9" s="9"/>
      <x:c r="C9" s="9"/>
      <x:c r="D9" s="9"/>
      <x:c r="E9" s="9"/>
      <x:c r="F9" s="9"/>
    </x:row>
    <x:row r="10">
      <x:c r="A10" s="9"/>
      <x:c r="B10" s="9"/>
      <x:c r="C10" s="9"/>
      <x:c r="D10" s="9"/>
      <x:c r="E10" s="9"/>
      <x:c r="F10" s="9"/>
    </x:row>
    <x:row r="11">
      <x:c r="A11" s="9"/>
      <x:c r="B11" s="9"/>
      <x:c r="C11" s="9"/>
      <x:c r="D11" s="9"/>
      <x:c r="E11" s="9"/>
      <x:c r="F11" s="9"/>
    </x:row>
    <x:row r="12">
      <x:c r="A12" s="9"/>
      <x:c r="B12" s="9"/>
      <x:c r="C12" s="9"/>
      <x:c r="D12" s="9"/>
      <x:c r="E12" s="9"/>
      <x:c r="F12" s="9"/>
    </x:row>
    <x:row r="13">
      <x:c r="A13" s="9"/>
      <x:c r="B13" s="9"/>
      <x:c r="C13" s="9"/>
      <x:c r="D13" s="9"/>
      <x:c r="E13" s="9"/>
      <x:c r="F13" s="9"/>
    </x:row>
    <x:row r="14">
      <x:c r="A14" s="9"/>
      <x:c r="B14" s="9"/>
      <x:c r="C14" s="9"/>
      <x:c r="D14" s="9"/>
      <x:c r="E14" s="9"/>
      <x:c r="F14" s="9"/>
    </x:row>
    <x:row r="15">
      <x:c r="A15" s="9"/>
      <x:c r="B15" s="9"/>
      <x:c r="C15" s="9"/>
      <x:c r="D15" s="9"/>
      <x:c r="E15" s="9"/>
      <x:c r="F15" s="9"/>
    </x:row>
    <x:row r="16">
      <x:c r="A16" s="9"/>
      <x:c r="B16" s="9"/>
      <x:c r="C16" s="9"/>
      <x:c r="D16" s="9"/>
      <x:c r="E16" s="9"/>
      <x:c r="F16" s="9"/>
    </x:row>
    <x:row r="17">
      <x:c r="A17" s="9"/>
      <x:c r="B17" s="9"/>
      <x:c r="C17" s="9"/>
      <x:c r="D17" s="9"/>
      <x:c r="E17" s="9"/>
      <x:c r="F17" s="9"/>
    </x:row>
    <x:row r="18">
      <x:c r="A18" s="9"/>
      <x:c r="B18" s="9"/>
      <x:c r="C18" s="9"/>
      <x:c r="D18" s="9"/>
      <x:c r="E18" s="9"/>
      <x:c r="F18" s="9"/>
    </x:row>
    <x:row r="19">
      <x:c r="A19" s="9"/>
      <x:c r="B19" s="9"/>
      <x:c r="C19" s="9"/>
      <x:c r="D19" s="9"/>
      <x:c r="E19" s="9"/>
      <x:c r="F19" s="9"/>
    </x:row>
    <x:row r="20">
      <x:c r="A20" s="9"/>
      <x:c r="B20" s="9"/>
      <x:c r="C20" s="9"/>
      <x:c r="D20" s="9"/>
      <x:c r="E20" s="9"/>
      <x:c r="F20" s="9"/>
    </x:row>
    <x:row r="21">
      <x:c r="A21" s="9"/>
      <x:c r="B21" s="9"/>
      <x:c r="C21" s="9"/>
      <x:c r="D21" s="9"/>
      <x:c r="E21" s="9"/>
      <x:c r="F21" s="9"/>
    </x:row>
    <x:row r="22">
      <x:c r="A22" s="9"/>
      <x:c r="B22" s="9"/>
      <x:c r="C22" s="9"/>
      <x:c r="D22" s="9"/>
      <x:c r="E22" s="9"/>
      <x:c r="F22" s="9"/>
    </x:row>
    <x:row r="23">
      <x:c r="A23" s="9"/>
      <x:c r="B23" s="9"/>
      <x:c r="C23" s="9"/>
      <x:c r="D23" s="9"/>
      <x:c r="E23" s="9"/>
      <x:c r="F23" s="9"/>
    </x:row>
    <x:row r="24">
      <x:c r="A24" s="9"/>
      <x:c r="B24" s="9"/>
      <x:c r="C24" s="9"/>
      <x:c r="D24" s="9"/>
      <x:c r="E24" s="9"/>
      <x:c r="F24" s="9"/>
    </x:row>
    <x:row r="25">
      <x:c r="A25" s="9"/>
      <x:c r="B25" s="9"/>
      <x:c r="C25" s="9"/>
      <x:c r="D25" s="9"/>
      <x:c r="E25" s="9"/>
      <x:c r="F25" s="9"/>
    </x:row>
    <x:row r="26">
      <x:c r="A26" s="9"/>
      <x:c r="B26" s="9"/>
      <x:c r="C26" s="9"/>
      <x:c r="D26" s="9"/>
      <x:c r="E26" s="9"/>
      <x:c r="F26" s="9"/>
    </x:row>
    <x:row r="27">
      <x:c r="A27" s="9"/>
      <x:c r="B27" s="9"/>
      <x:c r="C27" s="9"/>
      <x:c r="D27" s="9"/>
      <x:c r="E27" s="9"/>
      <x:c r="F27" s="9"/>
    </x:row>
    <x:row r="28">
      <x:c r="A28" s="9"/>
      <x:c r="B28" s="9"/>
      <x:c r="C28" s="9"/>
      <x:c r="D28" s="9"/>
      <x:c r="E28" s="9"/>
      <x:c r="F28" s="9"/>
    </x:row>
    <x:row r="29">
      <x:c r="A29" s="9"/>
      <x:c r="B29" s="9"/>
      <x:c r="C29" s="9"/>
      <x:c r="D29" s="9"/>
      <x:c r="E29" s="9"/>
      <x:c r="F29" s="9"/>
    </x:row>
    <x:row r="30">
      <x:c r="A30" s="9"/>
      <x:c r="B30" s="9"/>
      <x:c r="C30" s="9"/>
      <x:c r="D30" s="9"/>
      <x:c r="E30" s="9"/>
      <x:c r="F30" s="9"/>
    </x:row>
  </x:sheetData>
  <x:mergeCells>
    <x:mergeCell ref="A1:F1"/>
  </x:mergeCells>
  <x:pageMargins left="0.7" right="0.7" top="0.75" bottom="0.75" header="0.3" footer="0.3"/>
</x:worksheet>
</file>