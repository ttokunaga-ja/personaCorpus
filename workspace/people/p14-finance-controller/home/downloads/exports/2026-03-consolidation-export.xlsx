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76edc1bcd41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8407be525bb453c"/>
    <x:sheet xmlns:r="http://schemas.openxmlformats.org/officeDocument/2006/relationships" name="GL Detail" sheetId="2" r:id="R6fb232c8ffc64f66"/>
    <x:sheet xmlns:r="http://schemas.openxmlformats.org/officeDocument/2006/relationships" name="Budget vs Actual" sheetId="3" r:id="R84f025f675c941ec"/>
    <x:sheet xmlns:r="http://schemas.openxmlformats.org/officeDocument/2006/relationships" name="Checks" sheetId="4" r:id="Rd62ea855a5e34665"/>
    <x:sheet xmlns:r="http://schemas.openxmlformats.org/officeDocument/2006/relationships" name="Sources" sheetId="5" r:id="Rec216fa57d344b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B8C6D9"/>
      </x:left>
      <x:top style="thin">
        <x:color rgb="FFB8C6D9"/>
      </x:top>
    </x:border>
    <x:border>
      <x:right style="thin">
        <x:color rgb="FFB8C6D9"/>
      </x:right>
      <x:top style="thin">
        <x:color rgb="FFB8C6D9"/>
      </x:top>
    </x:border>
    <x:border>
      <x:left style="thin">
        <x:color rgb="FFB8C6D9"/>
      </x:left>
    </x:border>
    <x:border>
      <x:right style="thin">
        <x:color rgb="FFB8C6D9"/>
      </x:right>
    </x:border>
    <x:border>
      <x:left style="thin">
        <x:color rgb="FFB8C6D9"/>
      </x:left>
      <x:bottom style="thin">
        <x:color rgb="FFB8C6D9"/>
      </x:bottom>
    </x:border>
    <x:border>
      <x:right style="thin">
        <x:color rgb="FFB8C6D9"/>
      </x:right>
      <x:bottom style="thin">
        <x:color rgb="FFB8C6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0d2caacfb044bc" /><Relationship Type="http://schemas.openxmlformats.org/officeDocument/2006/relationships/theme" Target="/xl/theme/theme1.xml" Id="Rab9769b306bf4e01" /><Relationship Type="http://schemas.openxmlformats.org/officeDocument/2006/relationships/sharedStrings" Target="/xl/sharedStrings.xml" Id="R7171a1c183bf4ed1" /><Relationship Type="http://schemas.openxmlformats.org/officeDocument/2006/relationships/worksheet" Target="/xl/worksheets/sheet1.xml" Id="Rd8407be525bb453c" /><Relationship Type="http://schemas.openxmlformats.org/officeDocument/2006/relationships/worksheet" Target="/xl/worksheets/sheet2.xml" Id="R6fb232c8ffc64f66" /><Relationship Type="http://schemas.openxmlformats.org/officeDocument/2006/relationships/worksheet" Target="/xl/worksheets/sheet3.xml" Id="R84f025f675c941ec" /><Relationship Type="http://schemas.openxmlformats.org/officeDocument/2006/relationships/worksheet" Target="/xl/worksheets/sheet4.xml" Id="Rd62ea855a5e34665" /><Relationship Type="http://schemas.openxmlformats.org/officeDocument/2006/relationships/worksheet" Target="/xl/worksheets/sheet5.xml" Id="Rec216fa57d344b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6.22000122070312" hidden="0" customWidth="1"/>
    <x:col min="2" max="2" width="10.890000343322754" hidden="0" customWidth="1"/>
    <x:col min="3" max="3" width="18" hidden="0" customWidth="1"/>
    <x:col min="4" max="4" width="16.780000686645508" hidden="0" customWidth="1"/>
    <x:col min="5" max="5" width="5.440000057220459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9.200000762939453" hidden="0" customHeight="1">
      <x:c r="A1" s="3" t="str">
        <x:v>Cedar Works | FY2026 Q1 Consolidation Export</x:v>
      </x:c>
    </x:row>
    <x:row r="2"/>
    <x:row r="3" ht="15" hidden="0" customHeight="1">
      <x:c r="A3" t="str">
        <x:v>As of</x:v>
      </x:c>
      <x:c r="B3" t="str">
        <x:v>2026-03-31</x:v>
      </x:c>
    </x:row>
    <x:row r="4"/>
    <x:row r="5" ht="15" hidden="0" customHeight="1">
      <x:c r="A5" s="13" t="str">
        <x:v>Metric</x:v>
      </x:c>
      <x:c r="B5" s="14" t="str">
        <x:v>JPY</x:v>
      </x:c>
      <x:c r="D5" s="13" t="str">
        <x:v>Control</x:v>
      </x:c>
      <x:c r="E5" s="14" t="str">
        <x:v>Status</x:v>
      </x:c>
    </x:row>
    <x:row r="6" ht="15" hidden="0" customHeight="1">
      <x:c r="A6" s="7" t="str">
        <x:v>Revenue</x:v>
      </x:c>
      <x:c r="B6" s="15" t="n">
        <x:f>'GL Detail'!$O$4</x:f>
        <x:v>1842000000</x:v>
      </x:c>
      <x:c r="D6" s="7" t="str">
        <x:v>Revenue / GL</x:v>
      </x:c>
      <x:c r="E6" s="8" t="str">
        <x:f>'Checks'!$F$5</x:f>
        <x:v>PASS</x:v>
      </x:c>
    </x:row>
    <x:row r="7" ht="15" hidden="0" customHeight="1">
      <x:c r="A7" s="7" t="str">
        <x:v>COGS</x:v>
      </x:c>
      <x:c r="B7" s="15" t="n">
        <x:f>'GL Detail'!$O$5</x:f>
        <x:v>1131000000</x:v>
      </x:c>
      <x:c r="D7" s="7" t="str">
        <x:v>COGS / GL</x:v>
      </x:c>
      <x:c r="E7" s="8" t="str">
        <x:f>'Checks'!$F$6</x:f>
        <x:v>PASS</x:v>
      </x:c>
    </x:row>
    <x:row r="8" ht="15" hidden="0" customHeight="1">
      <x:c r="A8" s="7" t="str">
        <x:v>EBITDA</x:v>
      </x:c>
      <x:c r="B8" s="15" t="n">
        <x:f>'Budget vs Actual'!$C$8</x:f>
        <x:v>222000000</x:v>
      </x:c>
      <x:c r="D8" s="7" t="str">
        <x:v>EBITDA / budget</x:v>
      </x:c>
      <x:c r="E8" s="8" t="str">
        <x:f>'Checks'!$F$7</x:f>
        <x:v>PASS</x:v>
      </x:c>
    </x:row>
    <x:row r="9" ht="15" hidden="0" customHeight="1">
      <x:c r="A9" s="7" t="str">
        <x:v>Cash ledger</x:v>
      </x:c>
      <x:c r="B9" s="15" t="n">
        <x:f>'GL Detail'!$O$6</x:f>
        <x:v>498600000</x:v>
      </x:c>
      <x:c r="D9" s="9" t="str">
        <x:v>Cash variance context</x:v>
      </x:c>
      <x:c r="E9" s="10" t="str">
        <x:f>'Checks'!$F$8</x:f>
        <x:v>PASS</x:v>
      </x:c>
    </x:row>
    <x:row r="10" ht="15" hidden="0" customHeight="1">
      <x:c r="A10" s="9" t="str">
        <x:v>Cash variance context</x:v>
      </x:c>
      <x:c r="B10" s="16" t="n">
        <x:f>'Budget vs Actual'!$C$9</x:f>
        <x:v>12400000</x:v>
      </x:c>
    </x:row>
    <x:row r="11"/>
    <x:row r="12" ht="34" customHeight="1">
      <x:c r="A12" s="4" t="str">
        <x:v>Synthetic Cedar Works close export. JPY 12,400,000 cash variance reflects a posting-timing review, not a bank or customer record.</x:v>
      </x:c>
    </x:row>
  </x:sheetData>
  <x:mergeCells>
    <x:mergeCell ref="A1:H1"/>
    <x:mergeCell ref="A12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.220001220703125" hidden="0" customWidth="1"/>
    <x:col min="2" max="2" width="11.779999732971191" hidden="0" customWidth="1"/>
    <x:col min="3" max="3" width="11.4399995803833" hidden="0" customWidth="1"/>
    <x:col min="4" max="4" width="21.110000610351562" hidden="0" customWidth="1"/>
    <x:col min="5" max="5" width="9.5600004196167" hidden="0" customWidth="1"/>
    <x:col min="6" max="6" width="7.329999923706055" hidden="0" customWidth="1"/>
    <x:col min="7" max="7" width="10.890000343322754" hidden="0" customWidth="1"/>
    <x:col min="8" max="8" width="10.890000343322754" hidden="0" customWidth="1"/>
    <x:col min="9" max="9" width="11.779999732971191" hidden="0" customWidth="1"/>
    <x:col min="10" max="10" width="24.329999923706055" hidden="0" customWidth="1"/>
    <x:col min="11" max="11" width="12.220000267028809" hidden="0" customWidth="1"/>
    <x:col min="12" max="12" width="10.4399995803833" hidden="0" customWidth="1"/>
    <x:col min="14" max="14" width="16.889999389648438" hidden="0" customWidth="1"/>
    <x:col min="15" max="15" width="10.890000343322754" hidden="0" customWidth="1"/>
  </x:cols>
  <x:sheetData>
    <x:row r="1" ht="19.200000762939453" hidden="0" customHeight="1">
      <x:c r="A1" s="3" t="str">
        <x:v>Cedar Works | March 2026 GL Detail Export</x:v>
      </x:c>
    </x:row>
    <x:row r="2"/>
    <x:row r="3" ht="15" hidden="0" customHeight="1">
      <x:c r="A3" s="19" t="str">
        <x:v>posting_date</x:v>
      </x:c>
      <x:c r="B3" s="19" t="str">
        <x:v>journal_id</x:v>
      </x:c>
      <x:c r="C3" s="19" t="str">
        <x:v>account_code</x:v>
      </x:c>
      <x:c r="D3" s="19" t="str">
        <x:v>account_name</x:v>
      </x:c>
      <x:c r="E3" s="19" t="str">
        <x:v>department</x:v>
      </x:c>
      <x:c r="F3" s="19" t="str">
        <x:v>currency</x:v>
      </x:c>
      <x:c r="G3" s="19" t="str">
        <x:v>debit_jpy</x:v>
      </x:c>
      <x:c r="H3" s="19" t="str">
        <x:v>credit_jpy</x:v>
      </x:c>
      <x:c r="I3" s="19" t="str">
        <x:v>net_jpy</x:v>
      </x:c>
      <x:c r="J3" s="19" t="str">
        <x:v>memo</x:v>
      </x:c>
      <x:c r="K3" s="19" t="str">
        <x:v>source_system</x:v>
      </x:c>
      <x:c r="L3" s="19" t="str">
        <x:v>export_as_of</x:v>
      </x:c>
      <x:c r="N3" s="13" t="str">
        <x:v>Close metric</x:v>
      </x:c>
      <x:c r="O3" s="14" t="str">
        <x:v>JPY</x:v>
      </x:c>
    </x:row>
    <x:row r="4" ht="15" hidden="0" customHeight="1">
      <x:c r="A4" s="21" t="str">
        <x:v>2026-03-31</x:v>
      </x:c>
      <x:c r="B4" s="21" t="str">
        <x:v>JE-260331-001</x:v>
      </x:c>
      <x:c r="C4" s="21" t="str">
        <x:v>1200</x:v>
      </x:c>
      <x:c r="D4" s="21" t="str">
        <x:v>Trade receivables</x:v>
      </x:c>
      <x:c r="E4" s="21" t="str">
        <x:v>Commercial</x:v>
      </x:c>
      <x:c r="F4" s="21" t="str">
        <x:v>JPY</x:v>
      </x:c>
      <x:c r="G4" s="20" t="n">
        <x:v>1842000000</x:v>
      </x:c>
      <x:c r="H4" s="20" t="n">
        <x:v>0</x:v>
      </x:c>
      <x:c r="I4" s="20" t="n">
        <x:v>1842000000</x:v>
      </x:c>
      <x:c r="J4" s="21" t="str">
        <x:v>March invoicing close</x:v>
      </x:c>
      <x:c r="K4" s="21" t="str">
        <x:v>Cedar ERP</x:v>
      </x:c>
      <x:c r="L4" s="21" t="str">
        <x:v>2026-03-31</x:v>
      </x:c>
      <x:c r="N4" s="7" t="str">
        <x:v>Revenue</x:v>
      </x:c>
      <x:c r="O4" s="15" t="n">
        <x:f>SUMIF($C$4:$C$9,"4000",$H$4:$H$9)</x:f>
        <x:v>1842000000</x:v>
      </x:c>
    </x:row>
    <x:row r="5" ht="15" hidden="0" customHeight="1">
      <x:c r="A5" s="21" t="str">
        <x:v>2026-03-31</x:v>
      </x:c>
      <x:c r="B5" s="21" t="str">
        <x:v>JE-260331-001</x:v>
      </x:c>
      <x:c r="C5" s="21" t="str">
        <x:v>4000</x:v>
      </x:c>
      <x:c r="D5" s="21" t="str">
        <x:v>Product revenue</x:v>
      </x:c>
      <x:c r="E5" s="21" t="str">
        <x:v>Commercial</x:v>
      </x:c>
      <x:c r="F5" s="21" t="str">
        <x:v>JPY</x:v>
      </x:c>
      <x:c r="G5" s="20" t="n">
        <x:v>0</x:v>
      </x:c>
      <x:c r="H5" s="20" t="n">
        <x:v>1842000000</x:v>
      </x:c>
      <x:c r="I5" s="20" t="n">
        <x:v>-1842000000</x:v>
      </x:c>
      <x:c r="J5" s="21" t="str">
        <x:v>March revenue recognition</x:v>
      </x:c>
      <x:c r="K5" s="21" t="str">
        <x:v>Cedar ERP</x:v>
      </x:c>
      <x:c r="L5" s="21" t="str">
        <x:v>2026-03-31</x:v>
      </x:c>
      <x:c r="N5" s="7" t="str">
        <x:v>COGS</x:v>
      </x:c>
      <x:c r="O5" s="15" t="n">
        <x:f>SUMIF($C$4:$C$9,"5000",$G$4:$G$9)</x:f>
        <x:v>1131000000</x:v>
      </x:c>
    </x:row>
    <x:row r="6" ht="15" hidden="0" customHeight="1">
      <x:c r="A6" s="21" t="str">
        <x:v>2026-03-31</x:v>
      </x:c>
      <x:c r="B6" s="21" t="str">
        <x:v>JE-260331-002</x:v>
      </x:c>
      <x:c r="C6" s="21" t="str">
        <x:v>5000</x:v>
      </x:c>
      <x:c r="D6" s="21" t="str">
        <x:v>Cost of goods sold</x:v>
      </x:c>
      <x:c r="E6" s="21" t="str">
        <x:v>Operations</x:v>
      </x:c>
      <x:c r="F6" s="21" t="str">
        <x:v>JPY</x:v>
      </x:c>
      <x:c r="G6" s="20" t="n">
        <x:v>1131000000</x:v>
      </x:c>
      <x:c r="H6" s="20" t="n">
        <x:v>0</x:v>
      </x:c>
      <x:c r="I6" s="20" t="n">
        <x:v>1131000000</x:v>
      </x:c>
      <x:c r="J6" s="21" t="str">
        <x:v>March production costs</x:v>
      </x:c>
      <x:c r="K6" s="21" t="str">
        <x:v>Cedar ERP</x:v>
      </x:c>
      <x:c r="L6" s="21" t="str">
        <x:v>2026-03-31</x:v>
      </x:c>
      <x:c r="N6" s="7" t="str">
        <x:v>Cash ledger</x:v>
      </x:c>
      <x:c r="O6" s="15" t="n">
        <x:f>SUMIF($C$4:$C$9,"1100",$G$4:$G$9)</x:f>
        <x:v>498600000</x:v>
      </x:c>
    </x:row>
    <x:row r="7" ht="15" hidden="0" customHeight="1">
      <x:c r="A7" s="21" t="str">
        <x:v>2026-03-31</x:v>
      </x:c>
      <x:c r="B7" s="21" t="str">
        <x:v>JE-260331-002</x:v>
      </x:c>
      <x:c r="C7" s="21" t="str">
        <x:v>1300</x:v>
      </x:c>
      <x:c r="D7" s="21" t="str">
        <x:v>Inventory</x:v>
      </x:c>
      <x:c r="E7" s="21" t="str">
        <x:v>Operations</x:v>
      </x:c>
      <x:c r="F7" s="21" t="str">
        <x:v>JPY</x:v>
      </x:c>
      <x:c r="G7" s="20" t="n">
        <x:v>0</x:v>
      </x:c>
      <x:c r="H7" s="20" t="n">
        <x:v>1131000000</x:v>
      </x:c>
      <x:c r="I7" s="20" t="n">
        <x:v>-1131000000</x:v>
      </x:c>
      <x:c r="J7" s="21" t="str">
        <x:v>March inventory relief</x:v>
      </x:c>
      <x:c r="K7" s="21" t="str">
        <x:v>Cedar ERP</x:v>
      </x:c>
      <x:c r="L7" s="21" t="str">
        <x:v>2026-03-31</x:v>
      </x:c>
      <x:c r="N7" s="9" t="str">
        <x:v>Journal balance check</x:v>
      </x:c>
      <x:c r="O7" s="16" t="n">
        <x:f>SUM($G$4:$G$9)-SUM($H$4:$H$9)</x:f>
        <x:v>0</x:v>
      </x:c>
    </x:row>
    <x:row r="8" ht="15" hidden="0" customHeight="1">
      <x:c r="A8" s="21" t="str">
        <x:v>2026-03-31</x:v>
      </x:c>
      <x:c r="B8" s="21" t="str">
        <x:v>JE-260331-003</x:v>
      </x:c>
      <x:c r="C8" s="21" t="str">
        <x:v>1100</x:v>
      </x:c>
      <x:c r="D8" s="21" t="str">
        <x:v>Cash ledger closing balance</x:v>
      </x:c>
      <x:c r="E8" s="21" t="str">
        <x:v>Treasury</x:v>
      </x:c>
      <x:c r="F8" s="21" t="str">
        <x:v>JPY</x:v>
      </x:c>
      <x:c r="G8" s="20" t="n">
        <x:v>498600000</x:v>
      </x:c>
      <x:c r="H8" s="20" t="n">
        <x:v>0</x:v>
      </x:c>
      <x:c r="I8" s="20" t="n">
        <x:v>498600000</x:v>
      </x:c>
      <x:c r="J8" s="21" t="str">
        <x:v>March cash ledger close</x:v>
      </x:c>
      <x:c r="K8" s="21" t="str">
        <x:v>Cedar ERP</x:v>
      </x:c>
      <x:c r="L8" s="21" t="str">
        <x:v>2026-03-31</x:v>
      </x:c>
    </x:row>
    <x:row r="9" ht="15" hidden="0" customHeight="1">
      <x:c r="A9" s="21" t="str">
        <x:v>2026-03-31</x:v>
      </x:c>
      <x:c r="B9" s="21" t="str">
        <x:v>JE-260331-003</x:v>
      </x:c>
      <x:c r="C9" s="21" t="str">
        <x:v>3000</x:v>
      </x:c>
      <x:c r="D9" s="21" t="str">
        <x:v>Equity clearing</x:v>
      </x:c>
      <x:c r="E9" s="21" t="str">
        <x:v>Treasury</x:v>
      </x:c>
      <x:c r="F9" s="21" t="str">
        <x:v>JPY</x:v>
      </x:c>
      <x:c r="G9" s="20" t="n">
        <x:v>0</x:v>
      </x:c>
      <x:c r="H9" s="20" t="n">
        <x:v>498600000</x:v>
      </x:c>
      <x:c r="I9" s="20" t="n">
        <x:v>-498600000</x:v>
      </x:c>
      <x:c r="J9" s="21" t="str">
        <x:v>Synthetic opening balance offset</x:v>
      </x:c>
      <x:c r="K9" s="21" t="str">
        <x:v>Cedar ERP</x:v>
      </x:c>
      <x:c r="L9" s="21" t="str">
        <x:v>2026-03-31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.88999938964844" hidden="0" customWidth="1"/>
    <x:col min="2" max="2" width="10.890000343322754" hidden="0" customWidth="1"/>
    <x:col min="3" max="3" width="10.890000343322754" hidden="0" customWidth="1"/>
    <x:col min="4" max="4" width="10.220000267028809" hidden="0" customWidth="1"/>
    <x:col min="5" max="5" width="10.4399995803833" hidden="0" customWidth="1"/>
    <x:col min="6" max="6" width="10.890000343322754" hidden="0" customWidth="1"/>
    <x:col min="7" max="7" width="7.329999923706055" hidden="0" customWidth="1"/>
    <x:col min="8" max="8" width="51.88999938964844" hidden="0" customWidth="1"/>
  </x:cols>
  <x:sheetData>
    <x:row r="1" ht="19.200000762939453" hidden="0" customHeight="1">
      <x:c r="A1" s="3" t="str">
        <x:v>Cedar Works | FY2026 Q1 Budget vs Actual</x:v>
      </x:c>
    </x:row>
    <x:row r="2"/>
    <x:row r="3" ht="15" hidden="0" customHeight="1">
      <x:c r="A3" s="19" t="str">
        <x:v>line_item</x:v>
      </x:c>
      <x:c r="B3" s="19" t="str">
        <x:v>budget_jpy</x:v>
      </x:c>
      <x:c r="C3" s="19" t="str">
        <x:v>actual_jpy</x:v>
      </x:c>
      <x:c r="D3" s="19" t="str">
        <x:v>variance_jpy</x:v>
      </x:c>
      <x:c r="E3" s="19" t="str">
        <x:v>variance_pct</x:v>
      </x:c>
      <x:c r="F3" s="19" t="str">
        <x:v>period</x:v>
      </x:c>
      <x:c r="G3" s="19" t="str">
        <x:v>currency</x:v>
      </x:c>
      <x:c r="H3" s="19" t="str">
        <x:v>close_note</x:v>
      </x:c>
    </x:row>
    <x:row r="4" ht="15" hidden="0" customHeight="1">
      <x:c r="A4" s="21" t="str">
        <x:v>Revenue</x:v>
      </x:c>
      <x:c r="B4" s="20" t="n">
        <x:v>1800000000</x:v>
      </x:c>
      <x:c r="C4" s="20" t="n">
        <x:f>'GL Detail'!$O$4</x:f>
        <x:v>1842000000</x:v>
      </x:c>
      <x:c r="D4" s="20" t="n">
        <x:f>C4-B4</x:f>
        <x:v>42000000</x:v>
      </x:c>
      <x:c r="E4" s="22" t="n">
        <x:f>D4/B4</x:f>
        <x:v>0.023333333333333334</x:v>
      </x:c>
      <x:c r="F4" s="21" t="str">
        <x:v>FY2026 Q1</x:v>
      </x:c>
      <x:c r="G4" s="21" t="str">
        <x:v>JPY</x:v>
      </x:c>
      <x:c r="H4" s="4" t="str">
        <x:v>Actual ties to March GL export.</x:v>
      </x:c>
    </x:row>
    <x:row r="5" ht="15" hidden="0" customHeight="1">
      <x:c r="A5" s="21" t="str">
        <x:v>COGS</x:v>
      </x:c>
      <x:c r="B5" s="20" t="n">
        <x:v>1110000000</x:v>
      </x:c>
      <x:c r="C5" s="20" t="n">
        <x:f>'GL Detail'!$O$5</x:f>
        <x:v>1131000000</x:v>
      </x:c>
      <x:c r="D5" s="20" t="n">
        <x:f>C5-B5</x:f>
        <x:v>21000000</x:v>
      </x:c>
      <x:c r="E5" s="22" t="n">
        <x:f>D5/B5</x:f>
        <x:v>0.01891891891891892</x:v>
      </x:c>
      <x:c r="F5" s="21" t="str">
        <x:v>FY2026 Q1</x:v>
      </x:c>
      <x:c r="G5" s="21" t="str">
        <x:v>JPY</x:v>
      </x:c>
      <x:c r="H5" s="4" t="str">
        <x:v>Actual ties to March GL export.</x:v>
      </x:c>
    </x:row>
    <x:row r="6" ht="15" hidden="0" customHeight="1">
      <x:c r="A6" s="21" t="str">
        <x:v>Gross profit</x:v>
      </x:c>
      <x:c r="B6" s="20" t="n">
        <x:v>690000000</x:v>
      </x:c>
      <x:c r="C6" s="20" t="n">
        <x:f>C4-C5</x:f>
        <x:v>711000000</x:v>
      </x:c>
      <x:c r="D6" s="20" t="n">
        <x:f>C6-B6</x:f>
        <x:v>21000000</x:v>
      </x:c>
      <x:c r="E6" s="22" t="n">
        <x:f>D6/B6</x:f>
        <x:v>0.030434782608695653</x:v>
      </x:c>
      <x:c r="F6" s="21" t="str">
        <x:v>FY2026 Q1</x:v>
      </x:c>
      <x:c r="G6" s="21" t="str">
        <x:v>JPY</x:v>
      </x:c>
      <x:c r="H6" s="4" t="str">
        <x:v>Derived from revenue less COGS.</x:v>
      </x:c>
    </x:row>
    <x:row r="7" ht="15" hidden="0" customHeight="1">
      <x:c r="A7" s="21" t="str">
        <x:v>Operating expenses</x:v>
      </x:c>
      <x:c r="B7" s="20" t="n">
        <x:v>480000000</x:v>
      </x:c>
      <x:c r="C7" s="20" t="n">
        <x:v>489000000</x:v>
      </x:c>
      <x:c r="D7" s="20" t="n">
        <x:f>C7-B7</x:f>
        <x:v>9000000</x:v>
      </x:c>
      <x:c r="E7" s="22" t="n">
        <x:f>D7/B7</x:f>
        <x:v>0.01875</x:v>
      </x:c>
      <x:c r="F7" s="21" t="str">
        <x:v>FY2026 Q1</x:v>
      </x:c>
      <x:c r="G7" s="21" t="str">
        <x:v>JPY</x:v>
      </x:c>
      <x:c r="H7" s="4" t="str">
        <x:v>Synthetic close allocation.</x:v>
      </x:c>
    </x:row>
    <x:row r="8" ht="15" hidden="0" customHeight="1">
      <x:c r="A8" s="21" t="str">
        <x:v>EBITDA</x:v>
      </x:c>
      <x:c r="B8" s="20" t="n">
        <x:v>210000000</x:v>
      </x:c>
      <x:c r="C8" s="20" t="n">
        <x:f>C6-C7</x:f>
        <x:v>222000000</x:v>
      </x:c>
      <x:c r="D8" s="20" t="n">
        <x:f>C8-B8</x:f>
        <x:v>12000000</x:v>
      </x:c>
      <x:c r="E8" s="22" t="n">
        <x:f>D8/B8</x:f>
        <x:v>0.05714285714285714</x:v>
      </x:c>
      <x:c r="F8" s="21" t="str">
        <x:v>FY2026 Q1</x:v>
      </x:c>
      <x:c r="G8" s="21" t="str">
        <x:v>JPY</x:v>
      </x:c>
      <x:c r="H8" s="4" t="str">
        <x:v>Gross profit less operating expenses.</x:v>
      </x:c>
    </x:row>
    <x:row r="9" ht="15" hidden="0" customHeight="1">
      <x:c r="A9" s="21" t="str">
        <x:v>Cash timing variance</x:v>
      </x:c>
      <x:c r="B9" s="20" t="n">
        <x:v>0</x:v>
      </x:c>
      <x:c r="C9" s="20" t="n">
        <x:v>12400000</x:v>
      </x:c>
      <x:c r="D9" s="20" t="n">
        <x:f>C9-B9</x:f>
        <x:v>12400000</x:v>
      </x:c>
      <x:c r="E9" s="22"/>
      <x:c r="F9" s="21" t="str">
        <x:v>2026-03 close</x:v>
      </x:c>
      <x:c r="G9" s="21" t="str">
        <x:v>JPY</x:v>
      </x:c>
      <x:c r="H9" s="4" t="str">
        <x:v>JPY 12,400,000 cash variance context: posting-timing review pending.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.779998779296875" hidden="0" customWidth="1"/>
    <x:col min="2" max="2" width="10.890000343322754" hidden="0" customWidth="1"/>
    <x:col min="3" max="3" width="10.890000343322754" hidden="0" customWidth="1"/>
    <x:col min="4" max="4" width="8.4399995803833" hidden="0" customWidth="1"/>
    <x:col min="5" max="5" width="8.109999656677246" hidden="0" customWidth="1"/>
    <x:col min="6" max="6" width="5.440000057220459" hidden="0" customWidth="1"/>
    <x:col min="7" max="7" width="20" hidden="0" customWidth="1"/>
    <x:col min="8" max="8" width="20" hidden="0" customWidth="1"/>
  </x:cols>
  <x:sheetData>
    <x:row r="1" ht="19.200000762939453" hidden="0" customHeight="1">
      <x:c r="A1" s="3" t="str">
        <x:v>Cedar Works | Consolidation Checks</x:v>
      </x:c>
    </x:row>
    <x:row r="2"/>
    <x:row r="3" ht="15" hidden="0" customHeight="1">
      <x:c r="A3" s="18" t="str">
        <x:v>Check</x:v>
      </x:c>
      <x:c r="B3" s="18" t="str">
        <x:v>Actual</x:v>
      </x:c>
      <x:c r="C3" s="18" t="str">
        <x:v>Expected</x:v>
      </x:c>
      <x:c r="D3" s="18" t="str">
        <x:v>Difference</x:v>
      </x:c>
      <x:c r="E3" s="18" t="str">
        <x:v>Tolerance</x:v>
      </x:c>
      <x:c r="F3" s="18" t="str">
        <x:v>Status</x:v>
      </x:c>
    </x:row>
    <x:row r="4" ht="15" hidden="0" customHeight="1">
      <x:c r="A4" s="21" t="str">
        <x:v>Revenue source tie</x:v>
      </x:c>
      <x:c r="B4" s="20" t="n">
        <x:f>'Budget vs Actual'!$C$4</x:f>
        <x:v>1842000000</x:v>
      </x:c>
      <x:c r="C4" s="20" t="n">
        <x:v>1842000000</x:v>
      </x:c>
      <x:c r="D4" s="20" t="n">
        <x:f>B4-C4</x:f>
        <x:v>0</x:v>
      </x:c>
      <x:c r="E4" s="20" t="n">
        <x:v>0</x:v>
      </x:c>
      <x:c r="F4" s="21" t="str">
        <x:f>IF(ABS(D4)&lt;=E4,"PASS","FAIL")</x:f>
        <x:v>PASS</x:v>
      </x:c>
    </x:row>
    <x:row r="5" ht="15" hidden="0" customHeight="1">
      <x:c r="A5" s="21" t="str">
        <x:v>COGS source tie</x:v>
      </x:c>
      <x:c r="B5" s="20" t="n">
        <x:f>'Budget vs Actual'!$C$5</x:f>
        <x:v>1131000000</x:v>
      </x:c>
      <x:c r="C5" s="20" t="n">
        <x:v>1131000000</x:v>
      </x:c>
      <x:c r="D5" s="20" t="n">
        <x:f>B5-C5</x:f>
        <x:v>0</x:v>
      </x:c>
      <x:c r="E5" s="20" t="n">
        <x:v>0</x:v>
      </x:c>
      <x:c r="F5" s="21" t="str">
        <x:f>IF(ABS(D5)&lt;=E5,"PASS","FAIL")</x:f>
        <x:v>PASS</x:v>
      </x:c>
    </x:row>
    <x:row r="6" ht="15" hidden="0" customHeight="1">
      <x:c r="A6" s="21" t="str">
        <x:v>EBITDA budget export tie</x:v>
      </x:c>
      <x:c r="B6" s="20" t="n">
        <x:f>'Budget vs Actual'!$C$8</x:f>
        <x:v>222000000</x:v>
      </x:c>
      <x:c r="C6" s="20" t="n">
        <x:v>222000000</x:v>
      </x:c>
      <x:c r="D6" s="20" t="n">
        <x:f>B6-C6</x:f>
        <x:v>0</x:v>
      </x:c>
      <x:c r="E6" s="20" t="n">
        <x:v>0</x:v>
      </x:c>
      <x:c r="F6" s="21" t="str">
        <x:f>IF(ABS(D6)&lt;=E6,"PASS","FAIL")</x:f>
        <x:v>PASS</x:v>
      </x:c>
    </x:row>
    <x:row r="7" ht="15" hidden="0" customHeight="1">
      <x:c r="A7" s="21" t="str">
        <x:v>Cash variance context</x:v>
      </x:c>
      <x:c r="B7" s="20" t="n">
        <x:f>'Budget vs Actual'!$C$9</x:f>
        <x:v>12400000</x:v>
      </x:c>
      <x:c r="C7" s="20" t="n">
        <x:v>12400000</x:v>
      </x:c>
      <x:c r="D7" s="20" t="n">
        <x:f>B7-C7</x:f>
        <x:v>0</x:v>
      </x:c>
      <x:c r="E7" s="20" t="n">
        <x:v>0</x:v>
      </x:c>
      <x:c r="F7" s="21" t="str">
        <x:f>IF(ABS(D7)&lt;=E7,"PASS","FAIL")</x:f>
        <x:v>PASS</x:v>
      </x:c>
    </x:row>
    <x:row r="8" ht="15" hidden="0" customHeight="1">
      <x:c r="A8" s="21" t="str">
        <x:v>GL journal balance</x:v>
      </x:c>
      <x:c r="B8" s="20" t="n">
        <x:f>'GL Detail'!$O$7</x:f>
        <x:v>0</x:v>
      </x:c>
      <x:c r="C8" s="20" t="n">
        <x:v>0</x:v>
      </x:c>
      <x:c r="D8" s="20" t="n">
        <x:f>B8-C8</x:f>
        <x:v>0</x:v>
      </x:c>
      <x:c r="E8" s="20" t="n">
        <x:v>0</x:v>
      </x:c>
      <x:c r="F8" s="21" t="str">
        <x:f>IF(ABS(D8)&lt;=E8,"PASS","FAIL")</x:f>
        <x:v>PASS</x:v>
      </x:c>
    </x:row>
    <x:row r="9"/>
    <x:row r="10" ht="15" hidden="0" customHeight="1">
      <x:c r="A10" s="23" t="str">
        <x:v>MODEL STATUS</x:v>
      </x:c>
      <x:c r="B10" s="23" t="str">
        <x:f>IF(COUNTIF(F4:F8,"FAIL")=0,"PASS","FAIL")</x:f>
        <x:v>PASS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560001373291016" hidden="0" customWidth="1"/>
    <x:col min="2" max="2" width="25.329999923706055" hidden="0" customWidth="1"/>
    <x:col min="3" max="3" width="8.670000076293945" hidden="0" customWidth="1"/>
    <x:col min="4" max="4" width="11.779999732971191" hidden="0" customWidth="1"/>
    <x:col min="5" max="5" width="12" hidden="0" customWidth="1"/>
    <x:col min="6" max="6" width="45.33000183105469" hidden="0" customWidth="1"/>
    <x:col min="7" max="7" width="22" hidden="0" customWidth="1"/>
    <x:col min="8" max="8" width="22" hidden="0" customWidth="1"/>
  </x:cols>
  <x:sheetData>
    <x:row r="1" ht="19.200000762939453" hidden="0" customHeight="1">
      <x:c r="A1" s="3" t="str">
        <x:v>Cedar Works | Source and Refresh Notes</x:v>
      </x:c>
    </x:row>
    <x:row r="2"/>
    <x:row r="3" ht="15" hidden="0" customHeight="1">
      <x:c r="A3" s="18" t="str">
        <x:v>Item</x:v>
      </x:c>
      <x:c r="B3" s="18" t="str">
        <x:v>Source file</x:v>
      </x:c>
      <x:c r="C3" s="18" t="str">
        <x:v>Period</x:v>
      </x:c>
      <x:c r="D3" s="18" t="str">
        <x:v>Refresh status</x:v>
      </x:c>
      <x:c r="E3" s="18" t="str">
        <x:v>Owner</x:v>
      </x:c>
      <x:c r="F3" s="18" t="str">
        <x:v>Notes</x:v>
      </x:c>
    </x:row>
    <x:row r="4" ht="15" hidden="0" customHeight="1">
      <x:c r="A4" s="21" t="str">
        <x:v>GL detail</x:v>
      </x:c>
      <x:c r="B4" s="21" t="str">
        <x:v>2026-03-gl-detail-export.csv</x:v>
      </x:c>
      <x:c r="C4" s="21" t="str">
        <x:v>2026-03</x:v>
      </x:c>
      <x:c r="D4" s="21" t="str">
        <x:v>Loaded</x:v>
      </x:c>
      <x:c r="E4" s="21" t="str">
        <x:v>Finance Control</x:v>
      </x:c>
      <x:c r="F4" s="4" t="str">
        <x:v>Synthetic Cedar ERP close export.</x:v>
      </x:c>
    </x:row>
    <x:row r="5" ht="26.399999618530273" hidden="0" customHeight="1">
      <x:c r="A5" s="21" t="str">
        <x:v>Budget vs actual</x:v>
      </x:c>
      <x:c r="B5" s="21" t="str">
        <x:v>2026-q1-budget-actual-export.tsv</x:v>
      </x:c>
      <x:c r="C5" s="21" t="str">
        <x:v>FY2026 Q1</x:v>
      </x:c>
      <x:c r="D5" s="21" t="str">
        <x:v>Loaded</x:v>
      </x:c>
      <x:c r="E5" s="21" t="str">
        <x:v>Finance Control</x:v>
      </x:c>
      <x:c r="F5" s="4" t="str">
        <x:v>Revenue and EBITDA are consolidated in workbook formulas.</x:v>
      </x:c>
    </x:row>
    <x:row r="6" ht="15" hidden="0" customHeight="1">
      <x:c r="A6" s="21" t="str">
        <x:v>Capture</x:v>
      </x:c>
      <x:c r="B6" s="21" t="str">
        <x:v>erp-export-session.pcap</x:v>
      </x:c>
      <x:c r="C6" s="21" t="str">
        <x:v>2026-03</x:v>
      </x:c>
      <x:c r="D6" s="21" t="str">
        <x:v>Validated</x:v>
      </x:c>
      <x:c r="E6" s="21" t="str">
        <x:v>Finance Control</x:v>
      </x:c>
      <x:c r="F6" s="4" t="str">
        <x:v>Documentation IPs and sanitized handshake only.</x:v>
      </x:c>
    </x:row>
  </x:sheetData>
  <x:mergeCells>
    <x:mergeCell ref="A1:H1"/>
  </x:mergeCells>
  <x:pageMargins left="0.7" right="0.7" top="0.75" bottom="0.75" header="0.3" footer="0.3"/>
</x:worksheet>
</file>