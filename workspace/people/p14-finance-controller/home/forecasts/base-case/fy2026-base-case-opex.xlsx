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89a7bcd19b46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cfd4f9197684b20"/>
    <x:sheet xmlns:r="http://schemas.openxmlformats.org/officeDocument/2006/relationships" name="Assumptions" sheetId="2" r:id="R35e614964d1542d9"/>
    <x:sheet xmlns:r="http://schemas.openxmlformats.org/officeDocument/2006/relationships" name="Monthly Model" sheetId="3" r:id="R160410a08c364122"/>
    <x:sheet xmlns:r="http://schemas.openxmlformats.org/officeDocument/2006/relationships" name="Checks" sheetId="4" r:id="R4d16c52e7fe144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d29d1de9354c03" /><Relationship Type="http://schemas.openxmlformats.org/officeDocument/2006/relationships/theme" Target="/xl/theme/theme1.xml" Id="Ra008aec9af9747f3" /><Relationship Type="http://schemas.openxmlformats.org/officeDocument/2006/relationships/sharedStrings" Target="/xl/sharedStrings.xml" Id="Rd0abc730084a497f" /><Relationship Type="http://schemas.openxmlformats.org/officeDocument/2006/relationships/worksheet" Target="/xl/worksheets/sheet1.xml" Id="R7cfd4f9197684b20" /><Relationship Type="http://schemas.openxmlformats.org/officeDocument/2006/relationships/worksheet" Target="/xl/worksheets/sheet2.xml" Id="R35e614964d1542d9" /><Relationship Type="http://schemas.openxmlformats.org/officeDocument/2006/relationships/worksheet" Target="/xl/worksheets/sheet3.xml" Id="R160410a08c364122" /><Relationship Type="http://schemas.openxmlformats.org/officeDocument/2006/relationships/worksheet" Target="/xl/worksheets/sheet4.xml" Id="R4d16c52e7fe144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5.779998779296875" hidden="0" customWidth="1"/>
    <x:col min="2" max="2" width="5.329999923706055" hidden="0" customWidth="1"/>
    <x:col min="4" max="4" width="144.44000244140625" hidden="0" customWidth="1"/>
  </x:cols>
  <x:sheetData>
    <x:row r="1">
      <x:c r="A1" s="1" t="str">
        <x:v>Cedar Works | FY2026 Base Case | Opex drivers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 t="str">
        <x:v>KPI</x:v>
      </x:c>
      <x:c r="B3" s="1" t="str">
        <x:v>JPY m</x:v>
      </x:c>
      <x:c r="C3" s="1"/>
      <x:c r="D3" s="1" t="str">
        <x:v>Executive takeaway: FY2026 base case delivers JPY 7,560m revenue and JPY 900m EBITDA. Q1 actual EBITDA is JPY 222m. March bank cash is JPY 12.4m unfavorable to ledger and fully bridged.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 t="str">
        <x:v>Forecast Revenue</x:v>
      </x:c>
      <x:c r="B4" s="1" t="n">
        <x:f>'Monthly Model'!N5</x:f>
        <x:v>7560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" t="str">
        <x:v>Forecast EBITDA</x:v>
      </x:c>
      <x:c r="B5" s="1" t="n">
        <x:f>'Monthly Model'!N10</x:f>
        <x:v>900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>
      <x:c r="A6" s="1" t="str">
        <x:v>Budget Revenue</x:v>
      </x:c>
      <x:c r="B6" s="1" t="n">
        <x:v>7400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>
      <x:c r="A7" s="1" t="str">
        <x:v>Budget EBITDA</x:v>
      </x:c>
      <x:c r="B7" s="1" t="n">
        <x:v>860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1" t="str">
        <x:v>Revenue vs Budget</x:v>
      </x:c>
      <x:c r="B8" s="1" t="n">
        <x:f>B4-B6</x:f>
        <x:v>160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</x:sheetData>
  <x:mergeCells>
    <x:mergeCell ref="A1:N1"/>
    <x:mergeCell ref="D3:N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8.329999923706055" hidden="0" customWidth="1"/>
    <x:col min="3" max="3" width="5.329999923706055" hidden="0" customWidth="1"/>
    <x:col min="4" max="4" width="16.440000534057617" hidden="0" customWidth="1"/>
  </x:cols>
  <x:sheetData>
    <x:row r="1">
      <x:c r="A1" s="1" t="str">
        <x:v>Assumptions &amp; Version Control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 t="str">
        <x:v>Assumption</x:v>
      </x:c>
      <x:c r="B3" s="1" t="str">
        <x:v>Value</x:v>
      </x:c>
      <x:c r="C3" s="1" t="str">
        <x:v>Unit</x:v>
      </x:c>
      <x:c r="D3" s="1" t="str">
        <x:v>Owner role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 t="str">
        <x:v>Scenario</x:v>
      </x:c>
      <x:c r="B4" s="1" t="str">
        <x:v>Base Case</x:v>
      </x:c>
      <x:c r="C4" s="1" t="str">
        <x:v>Case</x:v>
      </x:c>
      <x:c r="D4" s="1" t="str">
        <x:v>Finance Controller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" t="str">
        <x:v>Forecast Revenue</x:v>
      </x:c>
      <x:c r="B5" s="1" t="n">
        <x:v>7560</x:v>
      </x:c>
      <x:c r="C5" s="1" t="str">
        <x:v>JPY m</x:v>
      </x:c>
      <x:c r="D5" s="1" t="str">
        <x:v>Finance Controller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>
      <x:c r="A6" s="1" t="str">
        <x:v>Forecast EBITDA</x:v>
      </x:c>
      <x:c r="B6" s="1" t="n">
        <x:v>900</x:v>
      </x:c>
      <x:c r="C6" s="1" t="str">
        <x:v>JPY m</x:v>
      </x:c>
      <x:c r="D6" s="1" t="str">
        <x:v>Finance Controller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>
      <x:c r="A7" s="1" t="str">
        <x:v>Budget Revenue</x:v>
      </x:c>
      <x:c r="B7" s="1" t="n">
        <x:v>7400</x:v>
      </x:c>
      <x:c r="C7" s="1" t="str">
        <x:v>JPY m</x:v>
      </x:c>
      <x:c r="D7" s="1" t="str">
        <x:v>FP&amp;A Lead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1" t="str">
        <x:v>Budget EBITDA</x:v>
      </x:c>
      <x:c r="B8" s="1" t="n">
        <x:v>860</x:v>
      </x:c>
      <x:c r="C8" s="1" t="str">
        <x:v>JPY m</x:v>
      </x:c>
      <x:c r="D8" s="1" t="str">
        <x:v>FP&amp;A Lead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>
      <x:c r="A9" s="1" t="str">
        <x:v>Q1 Actual Revenue</x:v>
      </x:c>
      <x:c r="B9" s="1" t="n">
        <x:v>1842</x:v>
      </x:c>
      <x:c r="C9" s="1" t="str">
        <x:v>JPY m</x:v>
      </x:c>
      <x:c r="D9" s="1" t="str">
        <x:v>Accounting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>
      <x:c r="A10" s="1" t="str">
        <x:v>Q1 Actual EBITDA</x:v>
      </x:c>
      <x:c r="B10" s="1" t="n">
        <x:v>222</x:v>
      </x:c>
      <x:c r="C10" s="1" t="str">
        <x:v>JPY m</x:v>
      </x:c>
      <x:c r="D10" s="1" t="str">
        <x:v>Accounting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>
      <x:c r="A11" s="1" t="str">
        <x:v>March AR</x:v>
      </x:c>
      <x:c r="B11" s="1" t="n">
        <x:v>312</x:v>
      </x:c>
      <x:c r="C11" s="1" t="str">
        <x:v>JPY m</x:v>
      </x:c>
      <x:c r="D11" s="1" t="str">
        <x:v>Treasury Analyst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1" t="str">
        <x:v>March AP</x:v>
      </x:c>
      <x:c r="B12" s="1" t="n">
        <x:v>226</x:v>
      </x:c>
      <x:c r="C12" s="1" t="str">
        <x:v>JPY m</x:v>
      </x:c>
      <x:c r="D12" s="1" t="str">
        <x:v>Procurement Finance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 t="str">
        <x:v>March Inventory</x:v>
      </x:c>
      <x:c r="B13" s="1" t="n">
        <x:v>418</x:v>
      </x:c>
      <x:c r="C13" s="1" t="str">
        <x:v>JPY m</x:v>
      </x:c>
      <x:c r="D13" s="1" t="str">
        <x:v>Supply Chain Finance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8.220000267028809" hidden="0" customWidth="1"/>
    <x:col min="12" max="12" width="10" hidden="0" customWidth="1"/>
    <x:col min="13" max="13" width="10" hidden="0" customWidth="1"/>
    <x:col min="14" max="14" width="10" hidden="0" customWidth="1"/>
  </x:cols>
  <x:sheetData>
    <x:row r="1">
      <x:c r="A1" s="1" t="str">
        <x:v>Monthly Forecast Model | JPY millions except margins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 t="str">
        <x:v>Line item</x:v>
      </x:c>
      <x:c r="B4" s="1" t="str">
        <x:v>Jan</x:v>
      </x:c>
      <x:c r="C4" s="1" t="str">
        <x:v>Feb</x:v>
      </x:c>
      <x:c r="D4" s="1" t="str">
        <x:v>Mar</x:v>
      </x:c>
      <x:c r="E4" s="1" t="str">
        <x:v>Apr</x:v>
      </x:c>
      <x:c r="F4" s="1" t="str">
        <x:v>May</x:v>
      </x:c>
      <x:c r="G4" s="1" t="str">
        <x:v>Jun</x:v>
      </x:c>
      <x:c r="H4" s="1" t="str">
        <x:v>Jul</x:v>
      </x:c>
      <x:c r="I4" s="1" t="str">
        <x:v>Aug</x:v>
      </x:c>
      <x:c r="J4" s="1" t="str">
        <x:v>Sep</x:v>
      </x:c>
      <x:c r="K4" s="1" t="str">
        <x:v>Oct</x:v>
      </x:c>
      <x:c r="L4" s="1" t="str">
        <x:v>Nov</x:v>
      </x:c>
      <x:c r="M4" s="1" t="str">
        <x:v>Dec</x:v>
      </x:c>
      <x:c r="N4" s="1" t="str">
        <x:v>FY2026</x:v>
      </x:c>
    </x:row>
    <x:row r="5">
      <x:c r="A5" s="1" t="str">
        <x:v>Revenue</x:v>
      </x:c>
      <x:c r="B5" s="1" t="n">
        <x:v>600</x:v>
      </x:c>
      <x:c r="C5" s="1" t="n">
        <x:v>615</x:v>
      </x:c>
      <x:c r="D5" s="1" t="n">
        <x:v>627</x:v>
      </x:c>
      <x:c r="E5" s="1" t="n">
        <x:v>610</x:v>
      </x:c>
      <x:c r="F5" s="1" t="n">
        <x:v>620</x:v>
      </x:c>
      <x:c r="G5" s="1" t="n">
        <x:v>630</x:v>
      </x:c>
      <x:c r="H5" s="1" t="n">
        <x:v>630</x:v>
      </x:c>
      <x:c r="I5" s="1" t="n">
        <x:v>635</x:v>
      </x:c>
      <x:c r="J5" s="1" t="n">
        <x:v>645</x:v>
      </x:c>
      <x:c r="K5" s="1" t="n">
        <x:v>640</x:v>
      </x:c>
      <x:c r="L5" s="1" t="n">
        <x:v>650</x:v>
      </x:c>
      <x:c r="M5" s="1" t="n">
        <x:v>658</x:v>
      </x:c>
      <x:c r="N5" s="1" t="n">
        <x:f>SUM(B5:M5)</x:f>
        <x:v>7560</x:v>
      </x:c>
    </x:row>
    <x:row r="6">
      <x:c r="A6" s="1" t="str">
        <x:v>COGS</x:v>
      </x:c>
      <x:c r="B6" s="1" t="n">
        <x:v>369</x:v>
      </x:c>
      <x:c r="C6" s="1" t="n">
        <x:v>378</x:v>
      </x:c>
      <x:c r="D6" s="1" t="n">
        <x:v>384</x:v>
      </x:c>
      <x:c r="E6" s="1" t="n">
        <x:v>378</x:v>
      </x:c>
      <x:c r="F6" s="1" t="n">
        <x:v>385</x:v>
      </x:c>
      <x:c r="G6" s="1" t="n">
        <x:v>390</x:v>
      </x:c>
      <x:c r="H6" s="1" t="n">
        <x:v>391</x:v>
      </x:c>
      <x:c r="I6" s="1" t="n">
        <x:v>394</x:v>
      </x:c>
      <x:c r="J6" s="1" t="n">
        <x:v>400</x:v>
      </x:c>
      <x:c r="K6" s="1" t="n">
        <x:v>397</x:v>
      </x:c>
      <x:c r="L6" s="1" t="n">
        <x:v>403</x:v>
      </x:c>
      <x:c r="M6" s="1" t="n">
        <x:v>419</x:v>
      </x:c>
      <x:c r="N6" s="1" t="n">
        <x:f>SUM(B6:M6)</x:f>
        <x:v>4688</x:v>
      </x:c>
    </x:row>
    <x:row r="7">
      <x:c r="A7" s="1" t="str">
        <x:v>Gross Profit</x:v>
      </x:c>
      <x:c r="B7" s="1" t="n">
        <x:f>B5-B6</x:f>
        <x:v>231</x:v>
      </x:c>
      <x:c r="C7" s="1" t="n">
        <x:f>C5-C6</x:f>
        <x:v>237</x:v>
      </x:c>
      <x:c r="D7" s="1" t="n">
        <x:f>D5-D6</x:f>
        <x:v>243</x:v>
      </x:c>
      <x:c r="E7" s="1" t="n">
        <x:f>E5-E6</x:f>
        <x:v>232</x:v>
      </x:c>
      <x:c r="F7" s="1" t="n">
        <x:f>F5-F6</x:f>
        <x:v>235</x:v>
      </x:c>
      <x:c r="G7" s="1" t="n">
        <x:f>G5-G6</x:f>
        <x:v>240</x:v>
      </x:c>
      <x:c r="H7" s="1" t="n">
        <x:f>H5-H6</x:f>
        <x:v>239</x:v>
      </x:c>
      <x:c r="I7" s="1" t="n">
        <x:f>I5-I6</x:f>
        <x:v>241</x:v>
      </x:c>
      <x:c r="J7" s="1" t="n">
        <x:f>J5-J6</x:f>
        <x:v>245</x:v>
      </x:c>
      <x:c r="K7" s="1" t="n">
        <x:f>K5-K6</x:f>
        <x:v>243</x:v>
      </x:c>
      <x:c r="L7" s="1" t="n">
        <x:f>L5-L6</x:f>
        <x:v>247</x:v>
      </x:c>
      <x:c r="M7" s="1" t="n">
        <x:f>M5-M6</x:f>
        <x:v>239</x:v>
      </x:c>
      <x:c r="N7" s="1" t="n">
        <x:f>SUM(B7:M7)</x:f>
        <x:v>2872</x:v>
      </x:c>
    </x:row>
    <x:row r="8">
      <x:c r="A8" s="1" t="str">
        <x:v>Gross Margin</x:v>
      </x:c>
      <x:c r="B8" s="1" t="n">
        <x:f>B7/B5</x:f>
        <x:v>0.385</x:v>
      </x:c>
      <x:c r="C8" s="1" t="n">
        <x:f>C7/C5</x:f>
        <x:v>0.3853658536585366</x:v>
      </x:c>
      <x:c r="D8" s="1" t="n">
        <x:f>D7/D5</x:f>
        <x:v>0.3875598086124402</x:v>
      </x:c>
      <x:c r="E8" s="1" t="n">
        <x:f>E7/E5</x:f>
        <x:v>0.380327868852459</x:v>
      </x:c>
      <x:c r="F8" s="1" t="n">
        <x:f>F7/F5</x:f>
        <x:v>0.3790322580645161</x:v>
      </x:c>
      <x:c r="G8" s="1" t="n">
        <x:f>G7/G5</x:f>
        <x:v>0.38095238095238093</x:v>
      </x:c>
      <x:c r="H8" s="1" t="n">
        <x:f>H7/H5</x:f>
        <x:v>0.37936507936507935</x:v>
      </x:c>
      <x:c r="I8" s="1" t="n">
        <x:f>I7/I5</x:f>
        <x:v>0.3795275590551181</x:v>
      </x:c>
      <x:c r="J8" s="1" t="n">
        <x:f>J7/J5</x:f>
        <x:v>0.3798449612403101</x:v>
      </x:c>
      <x:c r="K8" s="1" t="n">
        <x:f>K7/K5</x:f>
        <x:v>0.3796875</x:v>
      </x:c>
      <x:c r="L8" s="1" t="n">
        <x:f>L7/L5</x:f>
        <x:v>0.38</x:v>
      </x:c>
      <x:c r="M8" s="1" t="n">
        <x:f>M7/M5</x:f>
        <x:v>0.36322188449848025</x:v>
      </x:c>
      <x:c r="N8" s="1" t="n">
        <x:f>N7/N5</x:f>
        <x:v>0.3798941798941799</x:v>
      </x:c>
    </x:row>
    <x:row r="9">
      <x:c r="A9" s="1" t="str">
        <x:v>Opex</x:v>
      </x:c>
      <x:c r="B9" s="1" t="n">
        <x:v>158</x:v>
      </x:c>
      <x:c r="C9" s="1" t="n">
        <x:v>163</x:v>
      </x:c>
      <x:c r="D9" s="1" t="n">
        <x:v>168</x:v>
      </x:c>
      <x:c r="E9" s="1" t="n">
        <x:v>156</x:v>
      </x:c>
      <x:c r="F9" s="1" t="n">
        <x:v>160</x:v>
      </x:c>
      <x:c r="G9" s="1" t="n">
        <x:v>164</x:v>
      </x:c>
      <x:c r="H9" s="1" t="n">
        <x:v>161</x:v>
      </x:c>
      <x:c r="I9" s="1" t="n">
        <x:v>165</x:v>
      </x:c>
      <x:c r="J9" s="1" t="n">
        <x:v>168</x:v>
      </x:c>
      <x:c r="K9" s="1" t="n">
        <x:v>166</x:v>
      </x:c>
      <x:c r="L9" s="1" t="n">
        <x:v>171</x:v>
      </x:c>
      <x:c r="M9" s="1" t="n">
        <x:v>172</x:v>
      </x:c>
      <x:c r="N9" s="1" t="n">
        <x:f>SUM(B9:M9)</x:f>
        <x:v>1972</x:v>
      </x:c>
    </x:row>
    <x:row r="10">
      <x:c r="A10" s="1" t="str">
        <x:v>EBITDA</x:v>
      </x:c>
      <x:c r="B10" s="1" t="n">
        <x:f>B7-B9</x:f>
        <x:v>73</x:v>
      </x:c>
      <x:c r="C10" s="1" t="n">
        <x:f>C7-C9</x:f>
        <x:v>74</x:v>
      </x:c>
      <x:c r="D10" s="1" t="n">
        <x:f>D7-D9</x:f>
        <x:v>75</x:v>
      </x:c>
      <x:c r="E10" s="1" t="n">
        <x:f>E7-E9</x:f>
        <x:v>76</x:v>
      </x:c>
      <x:c r="F10" s="1" t="n">
        <x:f>F7-F9</x:f>
        <x:v>75</x:v>
      </x:c>
      <x:c r="G10" s="1" t="n">
        <x:f>G7-G9</x:f>
        <x:v>76</x:v>
      </x:c>
      <x:c r="H10" s="1" t="n">
        <x:f>H7-H9</x:f>
        <x:v>78</x:v>
      </x:c>
      <x:c r="I10" s="1" t="n">
        <x:f>I7-I9</x:f>
        <x:v>76</x:v>
      </x:c>
      <x:c r="J10" s="1" t="n">
        <x:f>J7-J9</x:f>
        <x:v>77</x:v>
      </x:c>
      <x:c r="K10" s="1" t="n">
        <x:f>K7-K9</x:f>
        <x:v>77</x:v>
      </x:c>
      <x:c r="L10" s="1" t="n">
        <x:f>L7-L9</x:f>
        <x:v>76</x:v>
      </x:c>
      <x:c r="M10" s="1" t="n">
        <x:f>M7-M9</x:f>
        <x:v>67</x:v>
      </x:c>
      <x:c r="N10" s="1" t="n">
        <x:f>SUM(B10:M10)</x:f>
        <x:v>900</x:v>
      </x:c>
    </x:row>
    <x:row r="11">
      <x:c r="A11" s="1" t="str">
        <x:v>EBITDA Margin</x:v>
      </x:c>
      <x:c r="B11" s="1" t="n">
        <x:f>B10/B5</x:f>
        <x:v>0.12166666666666667</x:v>
      </x:c>
      <x:c r="C11" s="1" t="n">
        <x:f>C10/C5</x:f>
        <x:v>0.12032520325203253</x:v>
      </x:c>
      <x:c r="D11" s="1" t="n">
        <x:f>D10/D5</x:f>
        <x:v>0.11961722488038277</x:v>
      </x:c>
      <x:c r="E11" s="1" t="n">
        <x:f>E10/E5</x:f>
        <x:v>0.12459016393442623</x:v>
      </x:c>
      <x:c r="F11" s="1" t="n">
        <x:f>F10/F5</x:f>
        <x:v>0.12096774193548387</x:v>
      </x:c>
      <x:c r="G11" s="1" t="n">
        <x:f>G10/G5</x:f>
        <x:v>0.12063492063492064</x:v>
      </x:c>
      <x:c r="H11" s="1" t="n">
        <x:f>H10/H5</x:f>
        <x:v>0.12380952380952381</x:v>
      </x:c>
      <x:c r="I11" s="1" t="n">
        <x:f>I10/I5</x:f>
        <x:v>0.11968503937007874</x:v>
      </x:c>
      <x:c r="J11" s="1" t="n">
        <x:f>J10/J5</x:f>
        <x:v>0.11937984496124031</x:v>
      </x:c>
      <x:c r="K11" s="1" t="n">
        <x:f>K10/K5</x:f>
        <x:v>0.1203125</x:v>
      </x:c>
      <x:c r="L11" s="1" t="n">
        <x:f>L10/L5</x:f>
        <x:v>0.11692307692307692</x:v>
      </x:c>
      <x:c r="M11" s="1" t="n">
        <x:f>M10/M5</x:f>
        <x:v>0.10182370820668693</x:v>
      </x:c>
      <x:c r="N11" s="1" t="n">
        <x:f>N10/N5</x:f>
        <x:v>0.11904761904761904</x:v>
      </x:c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</x:sheetData>
  <x:mergeCells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.110000133514404" hidden="0" customWidth="1"/>
    <x:col min="3" max="3" width="7.440000057220459" hidden="0" customWidth="1"/>
    <x:col min="4" max="4" width="4.21999979019165" hidden="0" customWidth="1"/>
    <x:col min="5" max="5" width="5.21999979019165" hidden="0" customWidth="1"/>
    <x:col min="6" max="6" width="16.889999389648438" hidden="0" customWidth="1"/>
  </x:cols>
  <x:sheetData>
    <x:row r="1">
      <x:c r="A1" s="1" t="str">
        <x:v>Model Checks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 t="str">
        <x:v>Check</x:v>
      </x:c>
      <x:c r="B3" s="1" t="str">
        <x:v>Actual</x:v>
      </x:c>
      <x:c r="C3" s="1" t="str">
        <x:v>Expected</x:v>
      </x:c>
      <x:c r="D3" s="1" t="str">
        <x:v>Delta</x:v>
      </x:c>
      <x:c r="E3" s="1" t="str">
        <x:v>Status</x:v>
      </x:c>
      <x:c r="F3" s="1" t="str">
        <x:v>Notes</x:v>
      </x:c>
      <x:c r="G3" s="1"/>
      <x:c r="H3" s="1"/>
      <x:c r="I3" s="1"/>
      <x:c r="J3" s="1"/>
      <x:c r="K3" s="1"/>
      <x:c r="L3" s="1"/>
      <x:c r="M3" s="1"/>
      <x:c r="N3" s="1"/>
    </x:row>
    <x:row r="4">
      <x:c r="A4" s="1" t="str">
        <x:v>Revenue roll-up</x:v>
      </x:c>
      <x:c r="B4" s="1" t="n">
        <x:f>'Monthly Model'!N5</x:f>
        <x:v>7560</x:v>
      </x:c>
      <x:c r="C4" s="1" t="n">
        <x:v>7560</x:v>
      </x:c>
      <x:c r="D4" s="1" t="n">
        <x:f>B4-C4</x:f>
        <x:v>0</x:v>
      </x:c>
      <x:c r="E4" s="1" t="str">
        <x:f>IF(ABS(D4)&lt;0.01,"PASS","FAIL")</x:f>
        <x:v>PASS</x:v>
      </x:c>
      <x:c r="F4" s="1" t="str">
        <x:v>Matches base case</x:v>
      </x:c>
      <x:c r="G4" s="1"/>
      <x:c r="H4" s="1"/>
      <x:c r="I4" s="1"/>
      <x:c r="J4" s="1"/>
      <x:c r="K4" s="1"/>
      <x:c r="L4" s="1"/>
      <x:c r="M4" s="1"/>
      <x:c r="N4" s="1"/>
    </x:row>
    <x:row r="5">
      <x:c r="A5" s="1" t="str">
        <x:v>EBITDA roll-up</x:v>
      </x:c>
      <x:c r="B5" s="1" t="n">
        <x:f>'Monthly Model'!N10</x:f>
        <x:v>900</x:v>
      </x:c>
      <x:c r="C5" s="1" t="n">
        <x:v>900</x:v>
      </x:c>
      <x:c r="D5" s="1" t="n">
        <x:f>B5-C5</x:f>
        <x:v>0</x:v>
      </x:c>
      <x:c r="E5" s="1" t="str">
        <x:f>IF(ABS(D5)&lt;0.01,"PASS","FAIL")</x:f>
        <x:v>PASS</x:v>
      </x:c>
      <x:c r="F5" s="1" t="str">
        <x:v>Matches base case</x:v>
      </x:c>
      <x:c r="G5" s="1"/>
      <x:c r="H5" s="1"/>
      <x:c r="I5" s="1"/>
      <x:c r="J5" s="1"/>
      <x:c r="K5" s="1"/>
      <x:c r="L5" s="1"/>
      <x:c r="M5" s="1"/>
      <x:c r="N5" s="1"/>
    </x:row>
    <x:row r="6">
      <x:c r="A6" s="1" t="str">
        <x:v>Q1 revenue</x:v>
      </x:c>
      <x:c r="B6" s="1" t="n">
        <x:f>SUM('Monthly Model'!B5:D5)</x:f>
        <x:v>1842</x:v>
      </x:c>
      <x:c r="C6" s="1" t="n">
        <x:v>1842</x:v>
      </x:c>
      <x:c r="D6" s="1" t="n">
        <x:f>B6-C6</x:f>
        <x:v>0</x:v>
      </x:c>
      <x:c r="E6" s="1" t="str">
        <x:f>IF(ABS(D6)&lt;0.01,"PASS","FAIL")</x:f>
        <x:v>PASS</x:v>
      </x:c>
      <x:c r="F6" s="1" t="str">
        <x:v>Matches Q1 actual</x:v>
      </x:c>
      <x:c r="G6" s="1"/>
      <x:c r="H6" s="1"/>
      <x:c r="I6" s="1"/>
      <x:c r="J6" s="1"/>
      <x:c r="K6" s="1"/>
      <x:c r="L6" s="1"/>
      <x:c r="M6" s="1"/>
      <x:c r="N6" s="1"/>
    </x:row>
    <x:row r="7">
      <x:c r="A7" s="1" t="str">
        <x:v>Q1 COGS</x:v>
      </x:c>
      <x:c r="B7" s="1" t="n">
        <x:f>SUM('Monthly Model'!B6:D6)</x:f>
        <x:v>1131</x:v>
      </x:c>
      <x:c r="C7" s="1" t="n">
        <x:v>1131</x:v>
      </x:c>
      <x:c r="D7" s="1" t="n">
        <x:f>B7-C7</x:f>
        <x:v>0</x:v>
      </x:c>
      <x:c r="E7" s="1" t="str">
        <x:f>IF(ABS(D7)&lt;0.01,"PASS","FAIL")</x:f>
        <x:v>PASS</x:v>
      </x:c>
      <x:c r="F7" s="1" t="str">
        <x:v>Matches Q1 actual</x:v>
      </x:c>
      <x:c r="G7" s="1"/>
      <x:c r="H7" s="1"/>
      <x:c r="I7" s="1"/>
      <x:c r="J7" s="1"/>
      <x:c r="K7" s="1"/>
      <x:c r="L7" s="1"/>
      <x:c r="M7" s="1"/>
      <x:c r="N7" s="1"/>
    </x:row>
    <x:row r="8">
      <x:c r="A8" s="1" t="str">
        <x:v>Q1 EBITDA</x:v>
      </x:c>
      <x:c r="B8" s="1" t="n">
        <x:f>SUM('Monthly Model'!B10:D10)</x:f>
        <x:v>222</x:v>
      </x:c>
      <x:c r="C8" s="1" t="n">
        <x:v>222</x:v>
      </x:c>
      <x:c r="D8" s="1" t="n">
        <x:f>B8-C8</x:f>
        <x:v>0</x:v>
      </x:c>
      <x:c r="E8" s="1" t="str">
        <x:f>IF(ABS(D8)&lt;0.01,"PASS","FAIL")</x:f>
        <x:v>PASS</x:v>
      </x:c>
      <x:c r="F8" s="1" t="str">
        <x:v>Matches Q1 actual</x:v>
      </x:c>
      <x:c r="G8" s="1"/>
      <x:c r="H8" s="1"/>
      <x:c r="I8" s="1"/>
      <x:c r="J8" s="1"/>
      <x:c r="K8" s="1"/>
      <x:c r="L8" s="1"/>
      <x:c r="M8" s="1"/>
      <x:c r="N8" s="1"/>
    </x:row>
    <x:row r="9">
      <x:c r="A9" s="1" t="str">
        <x:v>Cash variance bridge</x:v>
      </x:c>
      <x:c r="B9" s="1" t="n">
        <x:f>7200+3100+1300+800</x:f>
        <x:v>12400</x:v>
      </x:c>
      <x:c r="C9" s="1" t="n">
        <x:v>12400</x:v>
      </x:c>
      <x:c r="D9" s="1" t="n">
        <x:f>B9-C9</x:f>
        <x:v>0</x:v>
      </x:c>
      <x:c r="E9" s="1" t="str">
        <x:f>IF(ABS(D9)&lt;0.01,"PASS","FAIL")</x:f>
        <x:v>PASS</x:v>
      </x:c>
      <x:c r="F9" s="1" t="str">
        <x:v>Matches March bridge</x:v>
      </x:c>
      <x:c r="G9" s="1"/>
      <x:c r="H9" s="1"/>
      <x:c r="I9" s="1"/>
      <x:c r="J9" s="1"/>
      <x:c r="K9" s="1"/>
      <x:c r="L9" s="1"/>
      <x:c r="M9" s="1"/>
      <x:c r="N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>
      <x:c r="A11" s="1" t="str">
        <x:v>MODEL STATUS</x:v>
      </x:c>
      <x:c r="B11" s="1" t="str">
        <x:f>IF(COUNTIF(E4:E9,"FAIL")=0,"PASS","FAIL")</x:f>
        <x:v>PASS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</x:sheetData>
  <x:mergeCells>
    <x:mergeCell ref="A1:F1"/>
  </x:mergeCells>
  <x:pageMargins left="0.7" right="0.7" top="0.75" bottom="0.75" header="0.3" footer="0.3"/>
</x:worksheet>
</file>