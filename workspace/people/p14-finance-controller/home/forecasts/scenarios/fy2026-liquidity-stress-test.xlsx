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59ebb25c5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ess Test" sheetId="1" r:id="R57cb055b46474d08"/>
    <x:sheet xmlns:r="http://schemas.openxmlformats.org/officeDocument/2006/relationships" name="Assumptions" sheetId="2" r:id="R8e79421d33ec4d08"/>
    <x:sheet xmlns:r="http://schemas.openxmlformats.org/officeDocument/2006/relationships" name="Checks" sheetId="3" r:id="Rf19e28e77e874f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;[Red](#,##0.0);-"/>
  </x:numFmts>
  <x:fonts count="5">
    <x:font>
      <x:sz val="11"/>
      <x:name val="Carlito"/>
    </x:font>
    <x:font>
      <x:sz val="11"/>
      <x:color rgb="FF0000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087F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29ad49d064955" /><Relationship Type="http://schemas.openxmlformats.org/officeDocument/2006/relationships/theme" Target="/xl/theme/theme1.xml" Id="Ra88f87df187e458f" /><Relationship Type="http://schemas.openxmlformats.org/officeDocument/2006/relationships/sharedStrings" Target="/xl/sharedStrings.xml" Id="R60ac8de542ef4bd7" /><Relationship Type="http://schemas.openxmlformats.org/officeDocument/2006/relationships/worksheet" Target="/xl/worksheets/sheet1.xml" Id="R57cb055b46474d08" /><Relationship Type="http://schemas.openxmlformats.org/officeDocument/2006/relationships/worksheet" Target="/xl/worksheets/sheet2.xml" Id="R8e79421d33ec4d08" /><Relationship Type="http://schemas.openxmlformats.org/officeDocument/2006/relationships/worksheet" Target="/xl/worksheets/sheet3.xml" Id="Rf19e28e77e874f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8" t="str">
        <x:v>FY2026 Liquidity Stress Test | Formula-driven downside sensitivities</x:v>
      </x:c>
      <x:c r="B1" s="8"/>
      <x:c r="C1" s="8"/>
      <x:c r="D1" s="8"/>
      <x:c r="E1" s="8"/>
      <x:c r="F1" s="8"/>
      <x:c r="G1" s="8"/>
      <x:c r="H1" s="8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11" t="str">
        <x:v>Metric</x:v>
      </x:c>
      <x:c r="B3" s="11" t="str">
        <x:v>Base</x:v>
      </x:c>
      <x:c r="C3" s="11" t="str">
        <x:v>FX +10m</x:v>
      </x:c>
      <x:c r="D3" s="11" t="str">
        <x:v>Revenue -2%</x:v>
      </x:c>
      <x:c r="E3" s="11" t="str">
        <x:v>Margin -100bps</x:v>
      </x:c>
      <x:c r="F3" s="11" t="str">
        <x:v>WC -20m</x:v>
      </x:c>
      <x:c r="G3" s="11" t="str">
        <x:v>Combined</x:v>
      </x:c>
      <x:c r="H3" s="11" t="str">
        <x:v>Control</x:v>
      </x:c>
    </x:row>
    <x:row r="4">
      <x:c r="A4" s="1" t="str">
        <x:v>Revenue</x:v>
      </x:c>
      <x:c r="B4" s="12" t="n">
        <x:f>'Assumptions'!C4</x:f>
        <x:v>7050</x:v>
      </x:c>
      <x:c r="C4" s="12" t="n">
        <x:f>B4</x:f>
        <x:v>7050</x:v>
      </x:c>
      <x:c r="D4" s="12" t="n">
        <x:f>B4*(1-2%)</x:f>
        <x:v>6909</x:v>
      </x:c>
      <x:c r="E4" s="12" t="n">
        <x:f>B4</x:f>
        <x:v>7050</x:v>
      </x:c>
      <x:c r="F4" s="12" t="n">
        <x:f>B4</x:f>
        <x:v>7050</x:v>
      </x:c>
      <x:c r="G4" s="12" t="n">
        <x:f>B4*(1-2%)</x:f>
        <x:v>6909</x:v>
      </x:c>
      <x:c r="H4" s="12" t="str">
        <x:f>IF(B4&gt;0,"PASS","FAIL")</x:f>
        <x:v>PASS</x:v>
      </x:c>
    </x:row>
    <x:row r="5">
      <x:c r="A5" s="1" t="str">
        <x:v>EBITDA margin</x:v>
      </x:c>
      <x:c r="B5" s="4" t="n">
        <x:f>'Assumptions'!C5</x:f>
        <x:v>0.102</x:v>
      </x:c>
      <x:c r="C5" s="4" t="n">
        <x:f>B5</x:f>
        <x:v>0.102</x:v>
      </x:c>
      <x:c r="D5" s="4" t="n">
        <x:f>B5</x:f>
        <x:v>0.102</x:v>
      </x:c>
      <x:c r="E5" s="4" t="n">
        <x:f>B5-1%</x:f>
        <x:v>0.092</x:v>
      </x:c>
      <x:c r="F5" s="4" t="n">
        <x:f>B5</x:f>
        <x:v>0.102</x:v>
      </x:c>
      <x:c r="G5" s="4" t="n">
        <x:f>B5-1%</x:f>
        <x:v>0.092</x:v>
      </x:c>
      <x:c r="H5" s="12" t="str">
        <x:f>IF(B5&gt;0,"PASS","FAIL")</x:f>
        <x:v>PASS</x:v>
      </x:c>
    </x:row>
    <x:row r="6">
      <x:c r="A6" s="1" t="str">
        <x:v>EBITDA</x:v>
      </x:c>
      <x:c r="B6" s="12" t="n">
        <x:f>B4*B5</x:f>
        <x:v>719.0999999999999</x:v>
      </x:c>
      <x:c r="C6" s="12" t="n">
        <x:f>C4*C5</x:f>
        <x:v>719.0999999999999</x:v>
      </x:c>
      <x:c r="D6" s="12" t="n">
        <x:f>D4*D5</x:f>
        <x:v>704.718</x:v>
      </x:c>
      <x:c r="E6" s="12" t="n">
        <x:f>E4*E5</x:f>
        <x:v>648.6</x:v>
      </x:c>
      <x:c r="F6" s="12" t="n">
        <x:f>F4*F5</x:f>
        <x:v>719.0999999999999</x:v>
      </x:c>
      <x:c r="G6" s="12" t="n">
        <x:f>G4*G5</x:f>
        <x:v>635.628</x:v>
      </x:c>
      <x:c r="H6" s="12" t="str">
        <x:f>IF(B6&gt;0,"PASS","FAIL")</x:f>
        <x:v>PASS</x:v>
      </x:c>
    </x:row>
    <x:row r="7">
      <x:c r="A7" s="1" t="str">
        <x:v>Starting downside cash</x:v>
      </x:c>
      <x:c r="B7" s="12" t="n">
        <x:f>310</x:f>
        <x:v>310</x:v>
      </x:c>
      <x:c r="C7" s="12" t="n">
        <x:f>B7</x:f>
        <x:v>310</x:v>
      </x:c>
      <x:c r="D7" s="12" t="n">
        <x:f>B7</x:f>
        <x:v>310</x:v>
      </x:c>
      <x:c r="E7" s="12" t="n">
        <x:f>B7</x:f>
        <x:v>310</x:v>
      </x:c>
      <x:c r="F7" s="12" t="n">
        <x:f>B7</x:f>
        <x:v>310</x:v>
      </x:c>
      <x:c r="G7" s="12" t="n">
        <x:f>B7</x:f>
        <x:v>310</x:v>
      </x:c>
      <x:c r="H7" s="12" t="str">
        <x:f>IF(B7&gt;0,"PASS","FAIL")</x:f>
        <x:v>PASS</x:v>
      </x:c>
    </x:row>
    <x:row r="8">
      <x:c r="A8" s="1" t="str">
        <x:v>Ending cash</x:v>
      </x:c>
      <x:c r="B8" s="12" t="n">
        <x:f>B7+($B$6-720)+'Assumptions'!C6+'Assumptions'!C7</x:f>
        <x:v>249.0999999999999</x:v>
      </x:c>
      <x:c r="C8" s="12" t="n">
        <x:f>C7+(C6-720)+'Assumptions'!C6+'Assumptions'!C7-10</x:f>
        <x:v>239.0999999999999</x:v>
      </x:c>
      <x:c r="D8" s="12" t="n">
        <x:f>D7+(D6-720)+'Assumptions'!C6+'Assumptions'!C7</x:f>
        <x:v>234.71799999999996</x:v>
      </x:c>
      <x:c r="E8" s="12" t="n">
        <x:f>E7+(E6-720)+'Assumptions'!C6+'Assumptions'!C7</x:f>
        <x:v>178.60000000000002</x:v>
      </x:c>
      <x:c r="F8" s="12" t="n">
        <x:f>F7+(F6-720)+'Assumptions'!C6+'Assumptions'!C7-20</x:f>
        <x:v>229.0999999999999</x:v>
      </x:c>
      <x:c r="G8" s="12" t="n">
        <x:f>G7+(G6-720)+'Assumptions'!C6+'Assumptions'!C7-30</x:f>
        <x:v>135.62800000000004</x:v>
      </x:c>
      <x:c r="H8" s="12" t="str">
        <x:f>IF(MIN(C8:G8)&gt;='Assumptions'!C8,"PASS","FAIL")</x:f>
        <x:v>FAIL</x:v>
      </x:c>
    </x:row>
    <x:row r="9">
      <x:c r="A9" s="1" t="str">
        <x:v>Headroom</x:v>
      </x:c>
      <x:c r="B9" s="12" t="n">
        <x:f>B8-'Assumptions'!C8</x:f>
        <x:v>-0.900000000000091</x:v>
      </x:c>
      <x:c r="C9" s="12" t="n">
        <x:f>C8-'Assumptions'!C8</x:f>
        <x:v>-10.900000000000091</x:v>
      </x:c>
      <x:c r="D9" s="12" t="n">
        <x:f>D8-'Assumptions'!C8</x:f>
        <x:v>-15.282000000000039</x:v>
      </x:c>
      <x:c r="E9" s="12" t="n">
        <x:f>E8-'Assumptions'!C8</x:f>
        <x:v>-71.39999999999998</x:v>
      </x:c>
      <x:c r="F9" s="12" t="n">
        <x:f>F8-'Assumptions'!C8</x:f>
        <x:v>-20.90000000000009</x:v>
      </x:c>
      <x:c r="G9" s="12" t="n">
        <x:f>G8-'Assumptions'!C8</x:f>
        <x:v>-114.37199999999996</x:v>
      </x:c>
      <x:c r="H9" s="12" t="str">
        <x:f>IF(MIN(C9:G9)&gt;=0,"PASS","FAIL")</x:f>
        <x:v>FAIL</x:v>
      </x:c>
    </x:row>
    <x:row r="10">
      <x:c r="A10" s="1"/>
      <x:c r="B10" s="12"/>
      <x:c r="C10" s="12"/>
      <x:c r="D10" s="12"/>
      <x:c r="E10" s="12"/>
      <x:c r="F10" s="12"/>
      <x:c r="G10" s="12"/>
      <x:c r="H10" s="12"/>
    </x:row>
    <x:row r="11">
      <x:c r="A11" s="1"/>
      <x:c r="B11" s="12"/>
      <x:c r="C11" s="12"/>
      <x:c r="D11" s="12"/>
      <x:c r="E11" s="12"/>
      <x:c r="F11" s="12"/>
      <x:c r="G11" s="12"/>
      <x:c r="H11" s="12"/>
    </x:row>
    <x:row r="12">
      <x:c r="A12" s="1"/>
      <x:c r="B12" s="12"/>
      <x:c r="C12" s="12"/>
      <x:c r="D12" s="12"/>
      <x:c r="E12" s="12"/>
      <x:c r="F12" s="12"/>
      <x:c r="G12" s="12"/>
      <x:c r="H12" s="12"/>
    </x:row>
    <x:row r="13">
      <x:c r="A13" s="1"/>
      <x:c r="B13" s="12"/>
      <x:c r="C13" s="12"/>
      <x:c r="D13" s="12"/>
      <x:c r="E13" s="12"/>
      <x:c r="F13" s="12"/>
      <x:c r="G13" s="12"/>
      <x:c r="H13" s="12"/>
    </x:row>
    <x:row r="14">
      <x:c r="A14" s="1"/>
      <x:c r="B14" s="12"/>
      <x:c r="C14" s="12"/>
      <x:c r="D14" s="12"/>
      <x:c r="E14" s="12"/>
      <x:c r="F14" s="12"/>
      <x:c r="G14" s="12"/>
      <x:c r="H14" s="12"/>
    </x:row>
    <x:row r="15">
      <x:c r="A15" s="1"/>
      <x:c r="B15" s="12"/>
      <x:c r="C15" s="12"/>
      <x:c r="D15" s="12"/>
      <x:c r="E15" s="12"/>
      <x:c r="F15" s="12"/>
      <x:c r="G15" s="12"/>
      <x:c r="H15" s="12"/>
    </x:row>
    <x:row r="16">
      <x:c r="A16" s="1"/>
      <x:c r="B16" s="12"/>
      <x:c r="C16" s="12"/>
      <x:c r="D16" s="12"/>
      <x:c r="E16" s="12"/>
      <x:c r="F16" s="12"/>
      <x:c r="G16" s="12"/>
      <x:c r="H16" s="12"/>
    </x:row>
    <x:row r="17">
      <x:c r="A17" s="1"/>
      <x:c r="B17" s="12"/>
      <x:c r="C17" s="12"/>
      <x:c r="D17" s="12"/>
      <x:c r="E17" s="12"/>
      <x:c r="F17" s="12"/>
      <x:c r="G17" s="12"/>
      <x:c r="H17" s="12"/>
    </x:row>
    <x:row r="18">
      <x:c r="A18" s="1"/>
      <x:c r="B18" s="12"/>
      <x:c r="C18" s="12"/>
      <x:c r="D18" s="12"/>
      <x:c r="E18" s="12"/>
      <x:c r="F18" s="12"/>
      <x:c r="G18" s="12"/>
      <x:c r="H18" s="12"/>
    </x:row>
    <x:row r="19">
      <x:c r="A19" s="1"/>
      <x:c r="B19" s="12"/>
      <x:c r="C19" s="12"/>
      <x:c r="D19" s="12"/>
      <x:c r="E19" s="12"/>
      <x:c r="F19" s="12"/>
      <x:c r="G19" s="12"/>
      <x:c r="H19" s="12"/>
    </x:row>
    <x:row r="20">
      <x:c r="A20" s="1"/>
      <x:c r="B20" s="12"/>
      <x:c r="C20" s="12"/>
      <x:c r="D20" s="12"/>
      <x:c r="E20" s="12"/>
      <x:c r="F20" s="12"/>
      <x:c r="G20" s="12"/>
      <x:c r="H20" s="12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8" t="str">
        <x:v>Cedar Works FY2026 Downside Stress Assumptions</x:v>
      </x:c>
      <x:c r="B1" s="8"/>
      <x:c r="C1" s="8"/>
      <x:c r="D1" s="8"/>
      <x:c r="E1" s="8"/>
      <x:c r="F1" s="8"/>
      <x:c r="G1" s="8"/>
      <x:c r="H1" s="8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11" t="str">
        <x:v>Driver</x:v>
      </x:c>
      <x:c r="B3" s="11" t="str">
        <x:v>Base downside</x:v>
      </x:c>
      <x:c r="C3" s="11" t="str">
        <x:v>Stress input</x:v>
      </x:c>
      <x:c r="D3" s="11"/>
      <x:c r="E3" s="11"/>
      <x:c r="F3" s="11"/>
      <x:c r="G3" s="11"/>
      <x:c r="H3" s="11"/>
    </x:row>
    <x:row r="4">
      <x:c r="A4" s="1" t="str">
        <x:v>Revenue (JPY m)</x:v>
      </x:c>
      <x:c r="B4" s="12" t="n">
        <x:v>7050</x:v>
      </x:c>
      <x:c r="C4" s="13" t="n">
        <x:v>7050</x:v>
      </x:c>
      <x:c r="D4" s="12"/>
      <x:c r="E4" s="12"/>
      <x:c r="F4" s="12"/>
      <x:c r="G4" s="12"/>
      <x:c r="H4" s="12"/>
    </x:row>
    <x:row r="5">
      <x:c r="A5" s="1" t="str">
        <x:v>EBITDA margin</x:v>
      </x:c>
      <x:c r="B5" s="12" t="n">
        <x:v>0.102</x:v>
      </x:c>
      <x:c r="C5" s="13" t="n">
        <x:v>0.102</x:v>
      </x:c>
      <x:c r="D5" s="12"/>
      <x:c r="E5" s="12"/>
      <x:c r="F5" s="12"/>
      <x:c r="G5" s="12"/>
      <x:c r="H5" s="12"/>
    </x:row>
    <x:row r="6">
      <x:c r="A6" s="1" t="str">
        <x:v>FX impact (JPY m)</x:v>
      </x:c>
      <x:c r="B6" s="12" t="n">
        <x:v>-18</x:v>
      </x:c>
      <x:c r="C6" s="13" t="n">
        <x:v>-18</x:v>
      </x:c>
      <x:c r="D6" s="12"/>
      <x:c r="E6" s="12"/>
      <x:c r="F6" s="12"/>
      <x:c r="G6" s="12"/>
      <x:c r="H6" s="12"/>
    </x:row>
    <x:row r="7">
      <x:c r="A7" s="1" t="str">
        <x:v>Working capital impact (JPY m)</x:v>
      </x:c>
      <x:c r="B7" s="12" t="n">
        <x:v>-42</x:v>
      </x:c>
      <x:c r="C7" s="13" t="n">
        <x:v>-42</x:v>
      </x:c>
      <x:c r="D7" s="12"/>
      <x:c r="E7" s="12"/>
      <x:c r="F7" s="12"/>
      <x:c r="G7" s="12"/>
      <x:c r="H7" s="12"/>
    </x:row>
    <x:row r="8">
      <x:c r="A8" s="1" t="str">
        <x:v>Minimum liquidity (JPY m)</x:v>
      </x:c>
      <x:c r="B8" s="12" t="n">
        <x:v>250</x:v>
      </x:c>
      <x:c r="C8" s="13" t="n">
        <x:v>250</x:v>
      </x:c>
      <x:c r="D8" s="12"/>
      <x:c r="E8" s="12"/>
      <x:c r="F8" s="12"/>
      <x:c r="G8" s="12"/>
      <x:c r="H8" s="12"/>
    </x:row>
    <x:row r="9">
      <x:c r="A9" s="1"/>
      <x:c r="B9" s="12"/>
      <x:c r="C9" s="12"/>
      <x:c r="D9" s="12"/>
      <x:c r="E9" s="12"/>
      <x:c r="F9" s="12"/>
      <x:c r="G9" s="12"/>
      <x:c r="H9" s="12"/>
    </x:row>
    <x:row r="10">
      <x:c r="A10" s="1"/>
      <x:c r="B10" s="12"/>
      <x:c r="C10" s="12"/>
      <x:c r="D10" s="12"/>
      <x:c r="E10" s="12"/>
      <x:c r="F10" s="12"/>
      <x:c r="G10" s="12"/>
      <x:c r="H10" s="12"/>
    </x:row>
    <x:row r="11">
      <x:c r="A11" s="1"/>
      <x:c r="B11" s="12"/>
      <x:c r="C11" s="12"/>
      <x:c r="D11" s="12"/>
      <x:c r="E11" s="12"/>
      <x:c r="F11" s="12"/>
      <x:c r="G11" s="12"/>
      <x:c r="H11" s="12"/>
    </x:row>
    <x:row r="12">
      <x:c r="A12" s="1"/>
      <x:c r="B12" s="12"/>
      <x:c r="C12" s="12"/>
      <x:c r="D12" s="12"/>
      <x:c r="E12" s="12"/>
      <x:c r="F12" s="12"/>
      <x:c r="G12" s="12"/>
      <x:c r="H12" s="12"/>
    </x:row>
    <x:row r="13">
      <x:c r="A13" s="1"/>
      <x:c r="B13" s="12"/>
      <x:c r="C13" s="12"/>
      <x:c r="D13" s="12"/>
      <x:c r="E13" s="12"/>
      <x:c r="F13" s="12"/>
      <x:c r="G13" s="12"/>
      <x:c r="H13" s="12"/>
    </x:row>
    <x:row r="14">
      <x:c r="A14" s="1"/>
      <x:c r="B14" s="12"/>
      <x:c r="C14" s="12"/>
      <x:c r="D14" s="12"/>
      <x:c r="E14" s="12"/>
      <x:c r="F14" s="12"/>
      <x:c r="G14" s="12"/>
      <x:c r="H14" s="12"/>
    </x:row>
    <x:row r="15">
      <x:c r="A15" s="1"/>
      <x:c r="B15" s="12"/>
      <x:c r="C15" s="12"/>
      <x:c r="D15" s="12"/>
      <x:c r="E15" s="12"/>
      <x:c r="F15" s="12"/>
      <x:c r="G15" s="12"/>
      <x:c r="H15" s="12"/>
    </x:row>
    <x:row r="16">
      <x:c r="A16" s="1"/>
      <x:c r="B16" s="12"/>
      <x:c r="C16" s="12"/>
      <x:c r="D16" s="12"/>
      <x:c r="E16" s="12"/>
      <x:c r="F16" s="12"/>
      <x:c r="G16" s="12"/>
      <x:c r="H16" s="12"/>
    </x:row>
    <x:row r="17">
      <x:c r="A17" s="1"/>
      <x:c r="B17" s="12"/>
      <x:c r="C17" s="12"/>
      <x:c r="D17" s="12"/>
      <x:c r="E17" s="12"/>
      <x:c r="F17" s="12"/>
      <x:c r="G17" s="12"/>
      <x:c r="H17" s="12"/>
    </x:row>
    <x:row r="18">
      <x:c r="A18" s="1"/>
      <x:c r="B18" s="12"/>
      <x:c r="C18" s="12"/>
      <x:c r="D18" s="12"/>
      <x:c r="E18" s="12"/>
      <x:c r="F18" s="12"/>
      <x:c r="G18" s="12"/>
      <x:c r="H18" s="12"/>
    </x:row>
    <x:row r="19">
      <x:c r="A19" s="1"/>
      <x:c r="B19" s="12"/>
      <x:c r="C19" s="12"/>
      <x:c r="D19" s="12"/>
      <x:c r="E19" s="12"/>
      <x:c r="F19" s="12"/>
      <x:c r="G19" s="12"/>
      <x:c r="H19" s="12"/>
    </x:row>
    <x:row r="20">
      <x:c r="A20" s="1"/>
      <x:c r="B20" s="12"/>
      <x:c r="C20" s="12"/>
      <x:c r="D20" s="12"/>
      <x:c r="E20" s="12"/>
      <x:c r="F20" s="12"/>
      <x:c r="G20" s="12"/>
      <x:c r="H20" s="12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8" t="str">
        <x:v>MODEL STATUS AND CONTROLS</x:v>
      </x:c>
      <x:c r="B1" s="8"/>
      <x:c r="C1" s="8"/>
      <x:c r="D1" s="8"/>
      <x:c r="E1" s="8"/>
      <x:c r="F1" s="8"/>
      <x:c r="G1" s="8"/>
      <x:c r="H1" s="8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11" t="str">
        <x:v>Check</x:v>
      </x:c>
      <x:c r="B3" s="11" t="str">
        <x:v>Value</x:v>
      </x:c>
      <x:c r="C3" s="11" t="str">
        <x:v>Threshold</x:v>
      </x:c>
      <x:c r="D3" s="11" t="str">
        <x:v>Status</x:v>
      </x:c>
      <x:c r="E3" s="11"/>
      <x:c r="F3" s="11"/>
      <x:c r="G3" s="11"/>
      <x:c r="H3" s="11"/>
    </x:row>
    <x:row r="4">
      <x:c r="A4" s="1" t="str">
        <x:v>Minimum stressed ending cash</x:v>
      </x:c>
      <x:c r="B4" s="12" t="n">
        <x:f>MIN('Stress Test'!C8:G8)</x:f>
        <x:v>135.62800000000004</x:v>
      </x:c>
      <x:c r="C4" s="12" t="n">
        <x:v>250</x:v>
      </x:c>
      <x:c r="D4" s="12" t="str">
        <x:f>IF(B4&gt;=C4,"PASS","FAIL")</x:f>
        <x:v>FAIL</x:v>
      </x:c>
      <x:c r="E4" s="12"/>
      <x:c r="F4" s="12"/>
      <x:c r="G4" s="12"/>
      <x:c r="H4" s="12"/>
    </x:row>
    <x:row r="5">
      <x:c r="A5" s="1" t="str">
        <x:v>Minimum headroom</x:v>
      </x:c>
      <x:c r="B5" s="12" t="n">
        <x:f>MIN('Stress Test'!C9:G9)</x:f>
        <x:v>-114.37199999999996</x:v>
      </x:c>
      <x:c r="C5" s="12" t="n">
        <x:v>0</x:v>
      </x:c>
      <x:c r="D5" s="12" t="str">
        <x:f>IF(B5&gt;=C5,"PASS","FAIL")</x:f>
        <x:v>FAIL</x:v>
      </x:c>
      <x:c r="E5" s="12"/>
      <x:c r="F5" s="12"/>
      <x:c r="G5" s="12"/>
      <x:c r="H5" s="12"/>
    </x:row>
    <x:row r="6">
      <x:c r="A6" s="1" t="str">
        <x:v>Q1 reconciliation</x:v>
      </x:c>
      <x:c r="B6" s="12" t="n">
        <x:v>0</x:v>
      </x:c>
      <x:c r="C6" s="12" t="n">
        <x:v>0</x:v>
      </x:c>
      <x:c r="D6" s="12" t="str">
        <x:f>IF(B6=C6,"PASS","FAIL")</x:f>
        <x:v>PASS</x:v>
      </x:c>
      <x:c r="E6" s="12"/>
      <x:c r="F6" s="12"/>
      <x:c r="G6" s="12"/>
      <x:c r="H6" s="12"/>
    </x:row>
    <x:row r="7">
      <x:c r="A7" s="1"/>
      <x:c r="B7" s="12"/>
      <x:c r="C7" s="12"/>
      <x:c r="D7" s="12"/>
      <x:c r="E7" s="12"/>
      <x:c r="F7" s="12"/>
      <x:c r="G7" s="12"/>
      <x:c r="H7" s="12"/>
    </x:row>
    <x:row r="8">
      <x:c r="A8" s="15" t="str">
        <x:f>IF(COUNTIF(D4:D6,"FAIL")=0,"MODEL STATUS: PASS","MODEL STATUS: FAIL")</x:f>
        <x:v>MODEL STATUS: FAIL</x:v>
      </x:c>
      <x:c r="B8" s="12"/>
      <x:c r="C8" s="12"/>
      <x:c r="D8" s="12"/>
      <x:c r="E8" s="12"/>
      <x:c r="F8" s="12"/>
      <x:c r="G8" s="12"/>
      <x:c r="H8" s="12"/>
    </x:row>
    <x:row r="9">
      <x:c r="A9" s="1"/>
      <x:c r="B9" s="12"/>
      <x:c r="C9" s="12"/>
      <x:c r="D9" s="12"/>
      <x:c r="E9" s="12"/>
      <x:c r="F9" s="12"/>
      <x:c r="G9" s="12"/>
      <x:c r="H9" s="12"/>
    </x:row>
    <x:row r="10">
      <x:c r="A10" s="1"/>
      <x:c r="B10" s="12"/>
      <x:c r="C10" s="12"/>
      <x:c r="D10" s="12"/>
      <x:c r="E10" s="12"/>
      <x:c r="F10" s="12"/>
      <x:c r="G10" s="12"/>
      <x:c r="H10" s="12"/>
    </x:row>
    <x:row r="11">
      <x:c r="A11" s="1"/>
      <x:c r="B11" s="12"/>
      <x:c r="C11" s="12"/>
      <x:c r="D11" s="12"/>
      <x:c r="E11" s="12"/>
      <x:c r="F11" s="12"/>
      <x:c r="G11" s="12"/>
      <x:c r="H11" s="12"/>
    </x:row>
    <x:row r="12">
      <x:c r="A12" s="1"/>
      <x:c r="B12" s="12"/>
      <x:c r="C12" s="12"/>
      <x:c r="D12" s="12"/>
      <x:c r="E12" s="12"/>
      <x:c r="F12" s="12"/>
      <x:c r="G12" s="12"/>
      <x:c r="H12" s="12"/>
    </x:row>
    <x:row r="13">
      <x:c r="A13" s="1"/>
      <x:c r="B13" s="12"/>
      <x:c r="C13" s="12"/>
      <x:c r="D13" s="12"/>
      <x:c r="E13" s="12"/>
      <x:c r="F13" s="12"/>
      <x:c r="G13" s="12"/>
      <x:c r="H13" s="12"/>
    </x:row>
    <x:row r="14">
      <x:c r="A14" s="1"/>
      <x:c r="B14" s="12"/>
      <x:c r="C14" s="12"/>
      <x:c r="D14" s="12"/>
      <x:c r="E14" s="12"/>
      <x:c r="F14" s="12"/>
      <x:c r="G14" s="12"/>
      <x:c r="H14" s="12"/>
    </x:row>
    <x:row r="15">
      <x:c r="A15" s="1"/>
      <x:c r="B15" s="12"/>
      <x:c r="C15" s="12"/>
      <x:c r="D15" s="12"/>
      <x:c r="E15" s="12"/>
      <x:c r="F15" s="12"/>
      <x:c r="G15" s="12"/>
      <x:c r="H15" s="12"/>
    </x:row>
    <x:row r="16">
      <x:c r="A16" s="1"/>
      <x:c r="B16" s="12"/>
      <x:c r="C16" s="12"/>
      <x:c r="D16" s="12"/>
      <x:c r="E16" s="12"/>
      <x:c r="F16" s="12"/>
      <x:c r="G16" s="12"/>
      <x:c r="H16" s="12"/>
    </x:row>
    <x:row r="17">
      <x:c r="A17" s="1"/>
      <x:c r="B17" s="12"/>
      <x:c r="C17" s="12"/>
      <x:c r="D17" s="12"/>
      <x:c r="E17" s="12"/>
      <x:c r="F17" s="12"/>
      <x:c r="G17" s="12"/>
      <x:c r="H17" s="12"/>
    </x:row>
    <x:row r="18">
      <x:c r="A18" s="1"/>
      <x:c r="B18" s="12"/>
      <x:c r="C18" s="12"/>
      <x:c r="D18" s="12"/>
      <x:c r="E18" s="12"/>
      <x:c r="F18" s="12"/>
      <x:c r="G18" s="12"/>
      <x:c r="H18" s="12"/>
    </x:row>
    <x:row r="19">
      <x:c r="A19" s="1"/>
      <x:c r="B19" s="12"/>
      <x:c r="C19" s="12"/>
      <x:c r="D19" s="12"/>
      <x:c r="E19" s="12"/>
      <x:c r="F19" s="12"/>
      <x:c r="G19" s="12"/>
      <x:c r="H19" s="12"/>
    </x:row>
    <x:row r="20">
      <x:c r="A20" s="1"/>
      <x:c r="B20" s="12"/>
      <x:c r="C20" s="12"/>
      <x:c r="D20" s="12"/>
      <x:c r="E20" s="12"/>
      <x:c r="F20" s="12"/>
      <x:c r="G20" s="12"/>
      <x:c r="H20" s="12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</x:sheetData>
  <x:mergeCells>
    <x:mergeCell ref="A1:D1"/>
    <x:mergeCell ref="A8:D8"/>
  </x:mergeCells>
  <x:pageMargins left="0.7" right="0.7" top="0.75" bottom="0.75" header="0.3" footer="0.3"/>
</x:worksheet>
</file>