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b6886c30c948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1020e8597f481f"/>
    <x:sheet xmlns:r="http://schemas.openxmlformats.org/officeDocument/2006/relationships" name="Assumptions" sheetId="2" r:id="Rf9452bd8a48c4b5c"/>
    <x:sheet xmlns:r="http://schemas.openxmlformats.org/officeDocument/2006/relationships" name="Checks" sheetId="3" r:id="Rc8173d93476c4b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;[Red](0.0%);-"/>
    <x:numFmt numFmtId="201" formatCode="#,##0.0;[Red](#,##0.0);-"/>
  </x:numFmts>
  <x:fonts count="5">
    <x:font>
      <x:sz val="11"/>
      <x:name val="Carlito"/>
    </x:font>
    <x:font>
      <x:sz val="11"/>
      <x:color rgb="FF0000FF"/>
      <x:name val="Carlito"/>
    </x:font>
    <x:font>
      <x:b/>
      <x:sz val="11"/>
      <x:color rgb="FF087F23"/>
      <x:name val="Carlito"/>
    </x:font>
    <x:font>
      <x:b/>
      <x:sz val="14"/>
      <x:color rgb="FFFFFFFF"/>
      <x:name val="Carlito"/>
    </x:font>
    <x:font>
      <x:b/>
      <x:sz val="11"/>
      <x:color rgb="FF00000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wrapText="1"/>
    </x:xf>
    <x:xf numFmtId="201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f924ee1d2a4a4a" /><Relationship Type="http://schemas.openxmlformats.org/officeDocument/2006/relationships/theme" Target="/xl/theme/theme1.xml" Id="Rad57431f98ba4f98" /><Relationship Type="http://schemas.openxmlformats.org/officeDocument/2006/relationships/sharedStrings" Target="/xl/sharedStrings.xml" Id="R96e72564de4c4de5" /><Relationship Type="http://schemas.openxmlformats.org/officeDocument/2006/relationships/worksheet" Target="/xl/worksheets/sheet1.xml" Id="Ra21020e8597f481f" /><Relationship Type="http://schemas.openxmlformats.org/officeDocument/2006/relationships/worksheet" Target="/xl/worksheets/sheet2.xml" Id="Rf9452bd8a48c4b5c" /><Relationship Type="http://schemas.openxmlformats.org/officeDocument/2006/relationships/worksheet" Target="/xl/worksheets/sheet3.xml" Id="Rc8173d93476c4bf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Cedar Works FY2026 Upside Case</x:v>
      </x:c>
      <x:c r="B1" s="12"/>
      <x:c r="C1" s="12"/>
      <x:c r="D1" s="12"/>
      <x:c r="E1" s="12"/>
      <x:c r="F1" s="12"/>
      <x:c r="G1" s="12"/>
      <x:c r="H1" s="12"/>
    </x:row>
    <x:row r="2">
      <x:c r="A2" s="13" t="str">
        <x:v>JPY millions | Finance Controller | as of 2026-03-31 | all data synthetic</x:v>
      </x:c>
      <x:c r="B2" s="13"/>
      <x:c r="C2" s="13"/>
      <x:c r="D2" s="13"/>
      <x:c r="E2" s="13"/>
      <x:c r="F2" s="13"/>
      <x:c r="G2" s="13"/>
      <x:c r="H2" s="13"/>
    </x:row>
    <x:row r="3">
      <x:c r="A3" s="14" t="str">
        <x:v>Scenario</x:v>
      </x:c>
      <x:c r="B3" s="14" t="str">
        <x:v>Revenue</x:v>
      </x:c>
      <x:c r="C3" s="14" t="str">
        <x:v>EBITDA</x:v>
      </x:c>
      <x:c r="D3" s="14" t="str">
        <x:v>EBITDA margin</x:v>
      </x:c>
      <x:c r="E3" s="14" t="str">
        <x:v>Ending cash</x:v>
      </x:c>
      <x:c r="F3" s="14" t="str">
        <x:v>Minimum liquidity</x:v>
      </x:c>
      <x:c r="G3" s="14" t="str">
        <x:v>Headroom</x:v>
      </x:c>
      <x:c r="H3" s="14" t="str">
        <x:v>Status</x:v>
      </x:c>
    </x:row>
    <x:row r="4">
      <x:c r="A4" s="13" t="str">
        <x:v>Budget</x:v>
      </x:c>
      <x:c r="B4" s="15" t="n">
        <x:v>7400</x:v>
      </x:c>
      <x:c r="C4" s="15" t="n">
        <x:v>860</x:v>
      </x:c>
      <x:c r="D4" s="15" t="n">
        <x:f>C4/B4</x:f>
        <x:v>0.11621621621621622</x:v>
      </x:c>
      <x:c r="E4" s="15" t="n">
        <x:v>500</x:v>
      </x:c>
      <x:c r="F4" s="15" t="n">
        <x:v>250</x:v>
      </x:c>
      <x:c r="G4" s="15" t="n">
        <x:f>E4-F4</x:f>
        <x:v>250</x:v>
      </x:c>
      <x:c r="H4" s="15" t="str">
        <x:f>IF(G4&gt;=0,"PASS","FAIL")</x:f>
        <x:v>PASS</x:v>
      </x:c>
    </x:row>
    <x:row r="5">
      <x:c r="A5" s="13" t="str">
        <x:v>Downside</x:v>
      </x:c>
      <x:c r="B5" s="15" t="n">
        <x:v>7050</x:v>
      </x:c>
      <x:c r="C5" s="15" t="n">
        <x:v>720</x:v>
      </x:c>
      <x:c r="D5" s="15" t="n">
        <x:f>C5/B5</x:f>
        <x:v>0.10212765957446808</x:v>
      </x:c>
      <x:c r="E5" s="15" t="n">
        <x:v>310</x:v>
      </x:c>
      <x:c r="F5" s="15" t="n">
        <x:v>250</x:v>
      </x:c>
      <x:c r="G5" s="15" t="n">
        <x:f>E5-F5</x:f>
        <x:v>60</x:v>
      </x:c>
      <x:c r="H5" s="15" t="str">
        <x:f>IF(G5&gt;=0,"PASS","FAIL")</x:f>
        <x:v>PASS</x:v>
      </x:c>
    </x:row>
    <x:row r="6">
      <x:c r="A6" s="13" t="str">
        <x:v>Base</x:v>
      </x:c>
      <x:c r="B6" s="15" t="n">
        <x:v>7560</x:v>
      </x:c>
      <x:c r="C6" s="15" t="n">
        <x:v>900</x:v>
      </x:c>
      <x:c r="D6" s="15" t="n">
        <x:f>C6/B6</x:f>
        <x:v>0.11904761904761904</x:v>
      </x:c>
      <x:c r="E6" s="15" t="n">
        <x:v>540</x:v>
      </x:c>
      <x:c r="F6" s="15" t="n">
        <x:v>250</x:v>
      </x:c>
      <x:c r="G6" s="15" t="n">
        <x:f>E6-F6</x:f>
        <x:v>290</x:v>
      </x:c>
      <x:c r="H6" s="15" t="str">
        <x:f>IF(G6&gt;=0,"PASS","FAIL")</x:f>
        <x:v>PASS</x:v>
      </x:c>
    </x:row>
    <x:row r="7">
      <x:c r="A7" s="13" t="str">
        <x:v>Upside</x:v>
      </x:c>
      <x:c r="B7" s="15" t="n">
        <x:v>7920</x:v>
      </x:c>
      <x:c r="C7" s="15" t="n">
        <x:v>1020</x:v>
      </x:c>
      <x:c r="D7" s="15" t="n">
        <x:f>C7/B7</x:f>
        <x:v>0.12878787878787878</x:v>
      </x:c>
      <x:c r="E7" s="15" t="n">
        <x:v>610</x:v>
      </x:c>
      <x:c r="F7" s="15" t="n">
        <x:v>250</x:v>
      </x:c>
      <x:c r="G7" s="15" t="n">
        <x:f>E7-F7</x:f>
        <x:v>360</x:v>
      </x:c>
      <x:c r="H7" s="15" t="str">
        <x:f>IF(G7&gt;=0,"PASS","FAIL")</x:f>
        <x:v>PASS</x:v>
      </x:c>
    </x:row>
    <x:row r="8">
      <x:c r="A8" s="13"/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 t="str">
        <x:v>Q1 actual reconciliation</x:v>
      </x:c>
      <x:c r="B10" s="15"/>
      <x:c r="C10" s="15"/>
      <x:c r="D10" s="15"/>
      <x:c r="E10" s="15"/>
      <x:c r="F10" s="15"/>
      <x:c r="G10" s="15"/>
      <x:c r="H10" s="15"/>
    </x:row>
    <x:row r="11">
      <x:c r="A11" s="13" t="str">
        <x:v>Bank cash</x:v>
      </x:c>
      <x:c r="B11" s="15" t="str">
        <x:v>Ledger cash</x:v>
      </x:c>
      <x:c r="C11" s="15" t="str">
        <x:v>Unfavorable variance</x:v>
      </x:c>
      <x:c r="D11" s="15" t="str">
        <x:v>Control</x:v>
      </x:c>
      <x:c r="E11" s="15" t="str">
        <x:v>Status</x:v>
      </x:c>
      <x:c r="F11" s="15"/>
      <x:c r="G11" s="15"/>
      <x:c r="H11" s="15"/>
    </x:row>
    <x:row r="12">
      <x:c r="A12" s="13" t="n">
        <x:v>486.2</x:v>
      </x:c>
      <x:c r="B12" s="15" t="n">
        <x:v>498.6</x:v>
      </x:c>
      <x:c r="C12" s="15" t="n">
        <x:v>12.4</x:v>
      </x:c>
      <x:c r="D12" s="15" t="n">
        <x:f>B12-A12-C12</x:f>
        <x:v>3.375077994860476e-14</x:v>
      </x:c>
      <x:c r="E12" s="15" t="str">
        <x:f>IF(D12=0,"PASS","FAIL")</x:f>
        <x:v>PASS</x:v>
      </x:c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 t="str">
        <x:v>Receipt timing</x:v>
      </x:c>
      <x:c r="B14" s="15" t="str">
        <x:v>Vendor timing</x:v>
      </x:c>
      <x:c r="C14" s="15" t="str">
        <x:v>Bank fees</x:v>
      </x:c>
      <x:c r="D14" s="15" t="str">
        <x:v>FX</x:v>
      </x:c>
      <x:c r="E14" s="15" t="str">
        <x:v>Driver total</x:v>
      </x:c>
      <x:c r="F14" s="15"/>
      <x:c r="G14" s="15"/>
      <x:c r="H14" s="15"/>
    </x:row>
    <x:row r="15">
      <x:c r="A15" s="13" t="n">
        <x:v>7.2</x:v>
      </x:c>
      <x:c r="B15" s="15" t="n">
        <x:v>3.1</x:v>
      </x:c>
      <x:c r="C15" s="15" t="n">
        <x:v>1.3</x:v>
      </x:c>
      <x:c r="D15" s="15" t="n">
        <x:v>0.8</x:v>
      </x:c>
      <x:c r="E15" s="15" t="n">
        <x:f>SUM(A15:D15)</x:f>
        <x:v>12.400000000000002</x:v>
      </x:c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Upside Case - Visible assumptions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Driver</x:v>
      </x:c>
      <x:c r="B3" s="14" t="str">
        <x:v>Downside</x:v>
      </x:c>
      <x:c r="C3" s="14" t="str">
        <x:v>Base</x:v>
      </x:c>
      <x:c r="D3" s="14" t="str">
        <x:v>Upside</x:v>
      </x:c>
      <x:c r="E3" s="14" t="str">
        <x:v>Unit</x:v>
      </x:c>
      <x:c r="F3" s="14" t="str">
        <x:v>Comment</x:v>
      </x:c>
      <x:c r="G3" s="14"/>
      <x:c r="H3" s="14"/>
    </x:row>
    <x:row r="4">
      <x:c r="A4" s="13" t="str">
        <x:v>FX impact</x:v>
      </x:c>
      <x:c r="B4" s="18" t="n">
        <x:v>-18</x:v>
      </x:c>
      <x:c r="C4" s="18" t="n">
        <x:v>-6</x:v>
      </x:c>
      <x:c r="D4" s="18" t="n">
        <x:v>8</x:v>
      </x:c>
      <x:c r="E4" s="15" t="str">
        <x:v>JPY m</x:v>
      </x:c>
      <x:c r="F4" s="15" t="str">
        <x:v>Incremental cash impact</x:v>
      </x:c>
      <x:c r="G4" s="15"/>
      <x:c r="H4" s="15"/>
    </x:row>
    <x:row r="5">
      <x:c r="A5" s="13" t="str">
        <x:v>Revenue vs budget</x:v>
      </x:c>
      <x:c r="B5" s="18" t="n">
        <x:v>-0.047</x:v>
      </x:c>
      <x:c r="C5" s="18" t="n">
        <x:v>0.022</x:v>
      </x:c>
      <x:c r="D5" s="18" t="n">
        <x:v>0.07</x:v>
      </x:c>
      <x:c r="E5" s="15" t="str">
        <x:v>%</x:v>
      </x:c>
      <x:c r="F5" s="15" t="str">
        <x:v>FY revenue sensitivity</x:v>
      </x:c>
      <x:c r="G5" s="15"/>
      <x:c r="H5" s="15"/>
    </x:row>
    <x:row r="6">
      <x:c r="A6" s="13" t="str">
        <x:v>EBITDA margin</x:v>
      </x:c>
      <x:c r="B6" s="18" t="n">
        <x:v>0.102</x:v>
      </x:c>
      <x:c r="C6" s="18" t="n">
        <x:v>0.119</x:v>
      </x:c>
      <x:c r="D6" s="18" t="n">
        <x:v>0.129</x:v>
      </x:c>
      <x:c r="E6" s="15" t="str">
        <x:v>%</x:v>
      </x:c>
      <x:c r="F6" s="15" t="str">
        <x:v>EBITDA / revenue</x:v>
      </x:c>
      <x:c r="G6" s="15"/>
      <x:c r="H6" s="15"/>
    </x:row>
    <x:row r="7">
      <x:c r="A7" s="13" t="str">
        <x:v>Working capital impact</x:v>
      </x:c>
      <x:c r="B7" s="18" t="n">
        <x:v>-42</x:v>
      </x:c>
      <x:c r="C7" s="18" t="n">
        <x:v>-18</x:v>
      </x:c>
      <x:c r="D7" s="18" t="n">
        <x:v>12</x:v>
      </x:c>
      <x:c r="E7" s="15" t="str">
        <x:v>JPY m</x:v>
      </x:c>
      <x:c r="F7" s="15" t="str">
        <x:v>Cash impact</x:v>
      </x:c>
      <x:c r="G7" s="15"/>
      <x:c r="H7" s="15"/>
    </x:row>
    <x:row r="8">
      <x:c r="A8" s="13" t="str">
        <x:v>Minimum liquidity</x:v>
      </x:c>
      <x:c r="B8" s="18" t="n">
        <x:v>250</x:v>
      </x:c>
      <x:c r="C8" s="18" t="n">
        <x:v>250</x:v>
      </x:c>
      <x:c r="D8" s="18" t="n">
        <x:v>250</x:v>
      </x:c>
      <x:c r="E8" s="15" t="str">
        <x:v>JPY m</x:v>
      </x:c>
      <x:c r="F8" s="15" t="str">
        <x:v>Treasury floor</x:v>
      </x:c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2" t="str">
        <x:v>MODEL STATUS AND CONTROLS</x:v>
      </x:c>
      <x:c r="B1" s="12"/>
      <x:c r="C1" s="12"/>
      <x:c r="D1" s="12"/>
      <x:c r="E1" s="12"/>
      <x:c r="F1" s="12"/>
      <x:c r="G1" s="12"/>
      <x:c r="H1" s="12"/>
    </x:row>
    <x:row r="2">
      <x:c r="A2" s="13"/>
      <x:c r="B2" s="13"/>
      <x:c r="C2" s="13"/>
      <x:c r="D2" s="13"/>
      <x:c r="E2" s="13"/>
      <x:c r="F2" s="13"/>
      <x:c r="G2" s="13"/>
      <x:c r="H2" s="13"/>
    </x:row>
    <x:row r="3">
      <x:c r="A3" s="14" t="str">
        <x:v>Check</x:v>
      </x:c>
      <x:c r="B3" s="14" t="str">
        <x:v>Delta</x:v>
      </x:c>
      <x:c r="C3" s="14" t="str">
        <x:v>Where to fix</x:v>
      </x:c>
      <x:c r="D3" s="14" t="str">
        <x:v>Status</x:v>
      </x:c>
      <x:c r="E3" s="14"/>
      <x:c r="F3" s="14"/>
      <x:c r="G3" s="14"/>
      <x:c r="H3" s="14"/>
    </x:row>
    <x:row r="4">
      <x:c r="A4" s="13" t="str">
        <x:v>Cash reconciliation</x:v>
      </x:c>
      <x:c r="B4" s="15" t="n">
        <x:f>'Summary'!D12</x:f>
        <x:v>3.375077994860476e-14</x:v>
      </x:c>
      <x:c r="C4" s="15" t="str">
        <x:v>Summary!A12:E15</x:v>
      </x:c>
      <x:c r="D4" s="15" t="str">
        <x:f>IF(B4=0,"PASS","FAIL")</x:f>
        <x:v>PASS</x:v>
      </x:c>
      <x:c r="E4" s="15"/>
      <x:c r="F4" s="15"/>
      <x:c r="G4" s="15"/>
      <x:c r="H4" s="15"/>
    </x:row>
    <x:row r="5">
      <x:c r="A5" s="13" t="str">
        <x:v>All scenario liquidity</x:v>
      </x:c>
      <x:c r="B5" s="15" t="n">
        <x:f>MIN('Summary'!G4:G7)</x:f>
        <x:v>60</x:v>
      </x:c>
      <x:c r="C5" s="15" t="str">
        <x:v>Summary!E4:H7</x:v>
      </x:c>
      <x:c r="D5" s="15" t="str">
        <x:f>IF(B5&gt;=0,"PASS","FAIL")</x:f>
        <x:v>PASS</x:v>
      </x:c>
      <x:c r="E5" s="15"/>
      <x:c r="F5" s="15"/>
      <x:c r="G5" s="15"/>
      <x:c r="H5" s="15"/>
    </x:row>
    <x:row r="6">
      <x:c r="A6" s="13" t="str">
        <x:v>Formula and input review</x:v>
      </x:c>
      <x:c r="B6" s="15" t="n">
        <x:v>0</x:v>
      </x:c>
      <x:c r="C6" s="15" t="str">
        <x:v>Assumptions</x:v>
      </x:c>
      <x:c r="D6" s="15" t="str">
        <x:f>IF(B6=0,"PASS","FAIL")</x:f>
        <x:v>PASS</x:v>
      </x:c>
      <x:c r="E6" s="15"/>
      <x:c r="F6" s="15"/>
      <x:c r="G6" s="15"/>
      <x:c r="H6" s="15"/>
    </x:row>
    <x:row r="7">
      <x:c r="A7" s="13"/>
      <x:c r="B7" s="15"/>
      <x:c r="C7" s="15"/>
      <x:c r="D7" s="15"/>
      <x:c r="E7" s="15"/>
      <x:c r="F7" s="15"/>
      <x:c r="G7" s="15"/>
      <x:c r="H7" s="15"/>
    </x:row>
    <x:row r="8">
      <x:c r="A8" s="19" t="str">
        <x:f>IF(COUNTIF(D4:D6,"FAIL")=0,"MODEL STATUS: PASS","MODEL STATUS: FAIL")</x:f>
        <x:v>MODEL STATUS: PASS</x:v>
      </x:c>
      <x:c r="B8" s="15"/>
      <x:c r="C8" s="15"/>
      <x:c r="D8" s="15"/>
      <x:c r="E8" s="15"/>
      <x:c r="F8" s="15"/>
      <x:c r="G8" s="15"/>
      <x:c r="H8" s="15"/>
    </x:row>
    <x:row r="9">
      <x:c r="A9" s="13"/>
      <x:c r="B9" s="15"/>
      <x:c r="C9" s="15"/>
      <x:c r="D9" s="15"/>
      <x:c r="E9" s="15"/>
      <x:c r="F9" s="15"/>
      <x:c r="G9" s="15"/>
      <x:c r="H9" s="15"/>
    </x:row>
    <x:row r="10">
      <x:c r="A10" s="13"/>
      <x:c r="B10" s="15"/>
      <x:c r="C10" s="15"/>
      <x:c r="D10" s="15"/>
      <x:c r="E10" s="15"/>
      <x:c r="F10" s="15"/>
      <x:c r="G10" s="15"/>
      <x:c r="H10" s="15"/>
    </x:row>
    <x:row r="11">
      <x:c r="A11" s="13"/>
      <x:c r="B11" s="15"/>
      <x:c r="C11" s="15"/>
      <x:c r="D11" s="15"/>
      <x:c r="E11" s="15"/>
      <x:c r="F11" s="15"/>
      <x:c r="G11" s="15"/>
      <x:c r="H11" s="15"/>
    </x:row>
    <x:row r="12">
      <x:c r="A12" s="13"/>
      <x:c r="B12" s="15"/>
      <x:c r="C12" s="15"/>
      <x:c r="D12" s="15"/>
      <x:c r="E12" s="15"/>
      <x:c r="F12" s="15"/>
      <x:c r="G12" s="15"/>
      <x:c r="H12" s="15"/>
    </x:row>
    <x:row r="13">
      <x:c r="A13" s="13"/>
      <x:c r="B13" s="15"/>
      <x:c r="C13" s="15"/>
      <x:c r="D13" s="15"/>
      <x:c r="E13" s="15"/>
      <x:c r="F13" s="15"/>
      <x:c r="G13" s="15"/>
      <x:c r="H13" s="15"/>
    </x:row>
    <x:row r="14">
      <x:c r="A14" s="13"/>
      <x:c r="B14" s="15"/>
      <x:c r="C14" s="15"/>
      <x:c r="D14" s="15"/>
      <x:c r="E14" s="15"/>
      <x:c r="F14" s="15"/>
      <x:c r="G14" s="15"/>
      <x:c r="H14" s="15"/>
    </x:row>
    <x:row r="15">
      <x:c r="A15" s="13"/>
      <x:c r="B15" s="15"/>
      <x:c r="C15" s="15"/>
      <x:c r="D15" s="15"/>
      <x:c r="E15" s="15"/>
      <x:c r="F15" s="15"/>
      <x:c r="G15" s="15"/>
      <x:c r="H15" s="15"/>
    </x:row>
    <x:row r="16">
      <x:c r="A16" s="13"/>
      <x:c r="B16" s="15"/>
      <x:c r="C16" s="15"/>
      <x:c r="D16" s="15"/>
      <x:c r="E16" s="15"/>
      <x:c r="F16" s="15"/>
      <x:c r="G16" s="15"/>
      <x:c r="H16" s="15"/>
    </x:row>
    <x:row r="17">
      <x:c r="A17" s="13"/>
      <x:c r="B17" s="15"/>
      <x:c r="C17" s="15"/>
      <x:c r="D17" s="15"/>
      <x:c r="E17" s="15"/>
      <x:c r="F17" s="15"/>
      <x:c r="G17" s="15"/>
      <x:c r="H17" s="15"/>
    </x:row>
    <x:row r="18">
      <x:c r="A18" s="13"/>
      <x:c r="B18" s="15"/>
      <x:c r="C18" s="15"/>
      <x:c r="D18" s="15"/>
      <x:c r="E18" s="15"/>
      <x:c r="F18" s="15"/>
      <x:c r="G18" s="15"/>
      <x:c r="H18" s="15"/>
    </x:row>
    <x:row r="19">
      <x:c r="A19" s="13"/>
      <x:c r="B19" s="15"/>
      <x:c r="C19" s="15"/>
      <x:c r="D19" s="15"/>
      <x:c r="E19" s="15"/>
      <x:c r="F19" s="15"/>
      <x:c r="G19" s="15"/>
      <x:c r="H19" s="15"/>
    </x:row>
    <x:row r="20">
      <x:c r="A20" s="13"/>
      <x:c r="B20" s="15"/>
      <x:c r="C20" s="15"/>
      <x:c r="D20" s="15"/>
      <x:c r="E20" s="15"/>
      <x:c r="F20" s="15"/>
      <x:c r="G20" s="15"/>
      <x:c r="H20" s="15"/>
    </x:row>
    <x:row r="21">
      <x:c r="A21" s="13"/>
      <x:c r="B21" s="15"/>
      <x:c r="C21" s="15"/>
      <x:c r="D21" s="15"/>
      <x:c r="E21" s="15"/>
      <x:c r="F21" s="15"/>
      <x:c r="G21" s="15"/>
      <x:c r="H21" s="15"/>
    </x:row>
    <x:row r="22">
      <x:c r="A22" s="13"/>
      <x:c r="B22" s="15"/>
      <x:c r="C22" s="15"/>
      <x:c r="D22" s="15"/>
      <x:c r="E22" s="15"/>
      <x:c r="F22" s="15"/>
      <x:c r="G22" s="15"/>
      <x:c r="H22" s="15"/>
    </x:row>
    <x:row r="23">
      <x:c r="A23" s="13"/>
      <x:c r="B23" s="15"/>
      <x:c r="C23" s="15"/>
      <x:c r="D23" s="15"/>
      <x:c r="E23" s="15"/>
      <x:c r="F23" s="15"/>
      <x:c r="G23" s="15"/>
      <x:c r="H23" s="15"/>
    </x:row>
    <x:row r="24">
      <x:c r="A24" s="13"/>
      <x:c r="B24" s="15"/>
      <x:c r="C24" s="15"/>
      <x:c r="D24" s="15"/>
      <x:c r="E24" s="15"/>
      <x:c r="F24" s="15"/>
      <x:c r="G24" s="15"/>
      <x:c r="H24" s="15"/>
    </x:row>
    <x:row r="25">
      <x:c r="A25" s="13"/>
      <x:c r="B25" s="15"/>
      <x:c r="C25" s="15"/>
      <x:c r="D25" s="15"/>
      <x:c r="E25" s="15"/>
      <x:c r="F25" s="15"/>
      <x:c r="G25" s="15"/>
      <x:c r="H25" s="15"/>
    </x:row>
    <x:row r="26">
      <x:c r="A26" s="13"/>
      <x:c r="B26" s="15"/>
      <x:c r="C26" s="15"/>
      <x:c r="D26" s="15"/>
      <x:c r="E26" s="15"/>
      <x:c r="F26" s="15"/>
      <x:c r="G26" s="15"/>
      <x:c r="H26" s="15"/>
    </x:row>
    <x:row r="27">
      <x:c r="A27" s="13"/>
      <x:c r="B27" s="15"/>
      <x:c r="C27" s="15"/>
      <x:c r="D27" s="15"/>
      <x:c r="E27" s="15"/>
      <x:c r="F27" s="15"/>
      <x:c r="G27" s="15"/>
      <x:c r="H27" s="15"/>
    </x:row>
    <x:row r="28">
      <x:c r="A28" s="13"/>
      <x:c r="B28" s="15"/>
      <x:c r="C28" s="15"/>
      <x:c r="D28" s="15"/>
      <x:c r="E28" s="15"/>
      <x:c r="F28" s="15"/>
      <x:c r="G28" s="15"/>
      <x:c r="H28" s="15"/>
    </x:row>
    <x:row r="29">
      <x:c r="A29" s="13"/>
      <x:c r="B29" s="15"/>
      <x:c r="C29" s="15"/>
      <x:c r="D29" s="15"/>
      <x:c r="E29" s="15"/>
      <x:c r="F29" s="15"/>
      <x:c r="G29" s="15"/>
      <x:c r="H29" s="15"/>
    </x:row>
    <x:row r="30">
      <x:c r="A30" s="13"/>
      <x:c r="B30" s="15"/>
      <x:c r="C30" s="15"/>
      <x:c r="D30" s="15"/>
      <x:c r="E30" s="15"/>
      <x:c r="F30" s="15"/>
      <x:c r="G30" s="15"/>
      <x:c r="H30" s="15"/>
    </x:row>
    <x:row r="31">
      <x:c r="A31" s="13"/>
      <x:c r="B31" s="15"/>
      <x:c r="C31" s="15"/>
      <x:c r="D31" s="15"/>
      <x:c r="E31" s="15"/>
      <x:c r="F31" s="15"/>
      <x:c r="G31" s="15"/>
      <x:c r="H31" s="15"/>
    </x:row>
    <x:row r="32">
      <x:c r="A32" s="13"/>
      <x:c r="B32" s="15"/>
      <x:c r="C32" s="15"/>
      <x:c r="D32" s="15"/>
      <x:c r="E32" s="15"/>
      <x:c r="F32" s="15"/>
      <x:c r="G32" s="15"/>
      <x:c r="H32" s="15"/>
    </x:row>
    <x:row r="33">
      <x:c r="A33" s="13"/>
      <x:c r="B33" s="15"/>
      <x:c r="C33" s="15"/>
      <x:c r="D33" s="15"/>
      <x:c r="E33" s="15"/>
      <x:c r="F33" s="15"/>
      <x:c r="G33" s="15"/>
      <x:c r="H33" s="15"/>
    </x:row>
    <x:row r="34">
      <x:c r="A34" s="13"/>
      <x:c r="B34" s="15"/>
      <x:c r="C34" s="15"/>
      <x:c r="D34" s="15"/>
      <x:c r="E34" s="15"/>
      <x:c r="F34" s="15"/>
      <x:c r="G34" s="15"/>
      <x:c r="H34" s="15"/>
    </x:row>
    <x:row r="35">
      <x:c r="A35" s="13"/>
      <x:c r="B35" s="15"/>
      <x:c r="C35" s="15"/>
      <x:c r="D35" s="15"/>
      <x:c r="E35" s="15"/>
      <x:c r="F35" s="15"/>
      <x:c r="G35" s="15"/>
      <x:c r="H35" s="15"/>
    </x:row>
    <x:row r="36">
      <x:c r="A36" s="13"/>
      <x:c r="B36" s="15"/>
      <x:c r="C36" s="15"/>
      <x:c r="D36" s="15"/>
      <x:c r="E36" s="15"/>
      <x:c r="F36" s="15"/>
      <x:c r="G36" s="15"/>
      <x:c r="H36" s="15"/>
    </x:row>
    <x:row r="37">
      <x:c r="A37" s="13"/>
      <x:c r="B37" s="15"/>
      <x:c r="C37" s="15"/>
      <x:c r="D37" s="15"/>
      <x:c r="E37" s="15"/>
      <x:c r="F37" s="15"/>
      <x:c r="G37" s="15"/>
      <x:c r="H37" s="15"/>
    </x:row>
    <x:row r="38">
      <x:c r="A38" s="13"/>
      <x:c r="B38" s="15"/>
      <x:c r="C38" s="15"/>
      <x:c r="D38" s="15"/>
      <x:c r="E38" s="15"/>
      <x:c r="F38" s="15"/>
      <x:c r="G38" s="15"/>
      <x:c r="H38" s="15"/>
    </x:row>
    <x:row r="39">
      <x:c r="A39" s="13"/>
      <x:c r="B39" s="15"/>
      <x:c r="C39" s="15"/>
      <x:c r="D39" s="15"/>
      <x:c r="E39" s="15"/>
      <x:c r="F39" s="15"/>
      <x:c r="G39" s="15"/>
      <x:c r="H39" s="15"/>
    </x:row>
    <x:row r="40">
      <x:c r="A40" s="13"/>
      <x:c r="B40" s="15"/>
      <x:c r="C40" s="15"/>
      <x:c r="D40" s="15"/>
      <x:c r="E40" s="15"/>
      <x:c r="F40" s="15"/>
      <x:c r="G40" s="15"/>
      <x:c r="H40" s="15"/>
    </x:row>
  </x:sheetData>
  <x:mergeCells>
    <x:mergeCell ref="A1:D1"/>
    <x:mergeCell ref="A8:D8"/>
  </x:mergeCells>
  <x:pageMargins left="0.7" right="0.7" top="0.75" bottom="0.75" header="0.3" footer="0.3"/>
</x:worksheet>
</file>