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2f55b4675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870baf6ccf4780"/>
    <x:sheet xmlns:r="http://schemas.openxmlformats.org/officeDocument/2006/relationships" name="Assumptions" sheetId="2" r:id="Rb278e96caaa44cf8"/>
    <x:sheet xmlns:r="http://schemas.openxmlformats.org/officeDocument/2006/relationships" name="Checks" sheetId="3" r:id="R62f1a1fe4502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#,##0.0;[Red](#,##0.0);-"/>
  </x:numFmts>
  <x:fonts count="5">
    <x:font>
      <x:sz val="11"/>
      <x:name val="Carlito"/>
    </x:font>
    <x:font>
      <x:sz val="11"/>
      <x:color rgb="FF0000FF"/>
      <x:name val="Carlito"/>
    </x:font>
    <x:font>
      <x:b/>
      <x:sz val="11"/>
      <x:color rgb="FF087F23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bbee324fe41e3" /><Relationship Type="http://schemas.openxmlformats.org/officeDocument/2006/relationships/theme" Target="/xl/theme/theme1.xml" Id="R42594b4e7f70459e" /><Relationship Type="http://schemas.openxmlformats.org/officeDocument/2006/relationships/sharedStrings" Target="/xl/sharedStrings.xml" Id="R59aacaecb9834897" /><Relationship Type="http://schemas.openxmlformats.org/officeDocument/2006/relationships/worksheet" Target="/xl/worksheets/sheet1.xml" Id="Re0870baf6ccf4780" /><Relationship Type="http://schemas.openxmlformats.org/officeDocument/2006/relationships/worksheet" Target="/xl/worksheets/sheet2.xml" Id="Rb278e96caaa44cf8" /><Relationship Type="http://schemas.openxmlformats.org/officeDocument/2006/relationships/worksheet" Target="/xl/worksheets/sheet3.xml" Id="R62f1a1fe450247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Cedar Works FY2026 Scenario Comparison</x:v>
      </x:c>
      <x:c r="B1" s="12"/>
      <x:c r="C1" s="12"/>
      <x:c r="D1" s="12"/>
      <x:c r="E1" s="12"/>
      <x:c r="F1" s="12"/>
      <x:c r="G1" s="12"/>
      <x:c r="H1" s="12"/>
    </x:row>
    <x:row r="2">
      <x:c r="A2" s="13" t="str">
        <x:v>JPY millions | Finance Controller | as of 2026-03-31 | all data synthetic</x:v>
      </x:c>
      <x:c r="B2" s="13"/>
      <x:c r="C2" s="13"/>
      <x:c r="D2" s="13"/>
      <x:c r="E2" s="13"/>
      <x:c r="F2" s="13"/>
      <x:c r="G2" s="13"/>
      <x:c r="H2" s="13"/>
    </x:row>
    <x:row r="3">
      <x:c r="A3" s="14" t="str">
        <x:v>Scenario</x:v>
      </x:c>
      <x:c r="B3" s="14" t="str">
        <x:v>Revenue</x:v>
      </x:c>
      <x:c r="C3" s="14" t="str">
        <x:v>EBITDA</x:v>
      </x:c>
      <x:c r="D3" s="14" t="str">
        <x:v>EBITDA margin</x:v>
      </x:c>
      <x:c r="E3" s="14" t="str">
        <x:v>Ending cash</x:v>
      </x:c>
      <x:c r="F3" s="14" t="str">
        <x:v>Minimum liquidity</x:v>
      </x:c>
      <x:c r="G3" s="14" t="str">
        <x:v>Headroom</x:v>
      </x:c>
      <x:c r="H3" s="14" t="str">
        <x:v>Status</x:v>
      </x:c>
    </x:row>
    <x:row r="4">
      <x:c r="A4" s="13" t="str">
        <x:v>Budget</x:v>
      </x:c>
      <x:c r="B4" s="15" t="n">
        <x:v>7400</x:v>
      </x:c>
      <x:c r="C4" s="15" t="n">
        <x:v>860</x:v>
      </x:c>
      <x:c r="D4" s="15" t="n">
        <x:f>C4/B4</x:f>
        <x:v>0.11621621621621622</x:v>
      </x:c>
      <x:c r="E4" s="15" t="n">
        <x:v>500</x:v>
      </x:c>
      <x:c r="F4" s="15" t="n">
        <x:v>250</x:v>
      </x:c>
      <x:c r="G4" s="15" t="n">
        <x:f>E4-F4</x:f>
        <x:v>250</x:v>
      </x:c>
      <x:c r="H4" s="15" t="str">
        <x:f>IF(G4&gt;=0,"PASS","FAIL")</x:f>
        <x:v>PASS</x:v>
      </x:c>
    </x:row>
    <x:row r="5">
      <x:c r="A5" s="13" t="str">
        <x:v>Downside</x:v>
      </x:c>
      <x:c r="B5" s="15" t="n">
        <x:v>7050</x:v>
      </x:c>
      <x:c r="C5" s="15" t="n">
        <x:v>720</x:v>
      </x:c>
      <x:c r="D5" s="15" t="n">
        <x:f>C5/B5</x:f>
        <x:v>0.10212765957446808</x:v>
      </x:c>
      <x:c r="E5" s="15" t="n">
        <x:v>310</x:v>
      </x:c>
      <x:c r="F5" s="15" t="n">
        <x:v>250</x:v>
      </x:c>
      <x:c r="G5" s="15" t="n">
        <x:f>E5-F5</x:f>
        <x:v>60</x:v>
      </x:c>
      <x:c r="H5" s="15" t="str">
        <x:f>IF(G5&gt;=0,"PASS","FAIL")</x:f>
        <x:v>PASS</x:v>
      </x:c>
    </x:row>
    <x:row r="6">
      <x:c r="A6" s="13" t="str">
        <x:v>Base</x:v>
      </x:c>
      <x:c r="B6" s="15" t="n">
        <x:v>7560</x:v>
      </x:c>
      <x:c r="C6" s="15" t="n">
        <x:v>900</x:v>
      </x:c>
      <x:c r="D6" s="15" t="n">
        <x:f>C6/B6</x:f>
        <x:v>0.11904761904761904</x:v>
      </x:c>
      <x:c r="E6" s="15" t="n">
        <x:v>540</x:v>
      </x:c>
      <x:c r="F6" s="15" t="n">
        <x:v>250</x:v>
      </x:c>
      <x:c r="G6" s="15" t="n">
        <x:f>E6-F6</x:f>
        <x:v>290</x:v>
      </x:c>
      <x:c r="H6" s="15" t="str">
        <x:f>IF(G6&gt;=0,"PASS","FAIL")</x:f>
        <x:v>PASS</x:v>
      </x:c>
    </x:row>
    <x:row r="7">
      <x:c r="A7" s="13" t="str">
        <x:v>Upside</x:v>
      </x:c>
      <x:c r="B7" s="15" t="n">
        <x:v>7920</x:v>
      </x:c>
      <x:c r="C7" s="15" t="n">
        <x:v>1020</x:v>
      </x:c>
      <x:c r="D7" s="15" t="n">
        <x:f>C7/B7</x:f>
        <x:v>0.12878787878787878</x:v>
      </x:c>
      <x:c r="E7" s="15" t="n">
        <x:v>610</x:v>
      </x:c>
      <x:c r="F7" s="15" t="n">
        <x:v>250</x:v>
      </x:c>
      <x:c r="G7" s="15" t="n">
        <x:f>E7-F7</x:f>
        <x:v>360</x:v>
      </x:c>
      <x:c r="H7" s="15" t="str">
        <x:f>IF(G7&gt;=0,"PASS","FAIL")</x:f>
        <x:v>PASS</x:v>
      </x:c>
    </x:row>
    <x:row r="8">
      <x:c r="A8" s="13"/>
      <x:c r="B8" s="15"/>
      <x:c r="C8" s="15"/>
      <x:c r="D8" s="15"/>
      <x:c r="E8" s="15"/>
      <x:c r="F8" s="15"/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 t="str">
        <x:v>Q1 actual reconciliation</x:v>
      </x:c>
      <x:c r="B10" s="15"/>
      <x:c r="C10" s="15"/>
      <x:c r="D10" s="15"/>
      <x:c r="E10" s="15"/>
      <x:c r="F10" s="15"/>
      <x:c r="G10" s="15"/>
      <x:c r="H10" s="15"/>
    </x:row>
    <x:row r="11">
      <x:c r="A11" s="13" t="str">
        <x:v>Bank cash</x:v>
      </x:c>
      <x:c r="B11" s="15" t="str">
        <x:v>Ledger cash</x:v>
      </x:c>
      <x:c r="C11" s="15" t="str">
        <x:v>Unfavorable variance</x:v>
      </x:c>
      <x:c r="D11" s="15" t="str">
        <x:v>Control</x:v>
      </x:c>
      <x:c r="E11" s="15" t="str">
        <x:v>Status</x:v>
      </x:c>
      <x:c r="F11" s="15"/>
      <x:c r="G11" s="15"/>
      <x:c r="H11" s="15"/>
    </x:row>
    <x:row r="12">
      <x:c r="A12" s="13" t="n">
        <x:v>486.2</x:v>
      </x:c>
      <x:c r="B12" s="15" t="n">
        <x:v>498.6</x:v>
      </x:c>
      <x:c r="C12" s="15" t="n">
        <x:v>12.4</x:v>
      </x:c>
      <x:c r="D12" s="15" t="n">
        <x:f>B12-A12-C12</x:f>
        <x:v>3.375077994860476e-14</x:v>
      </x:c>
      <x:c r="E12" s="15" t="str">
        <x:f>IF(D12=0,"PASS","FAIL")</x:f>
        <x:v>PASS</x:v>
      </x:c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 t="str">
        <x:v>Receipt timing</x:v>
      </x:c>
      <x:c r="B14" s="15" t="str">
        <x:v>Vendor timing</x:v>
      </x:c>
      <x:c r="C14" s="15" t="str">
        <x:v>Bank fees</x:v>
      </x:c>
      <x:c r="D14" s="15" t="str">
        <x:v>FX</x:v>
      </x:c>
      <x:c r="E14" s="15" t="str">
        <x:v>Driver total</x:v>
      </x:c>
      <x:c r="F14" s="15"/>
      <x:c r="G14" s="15"/>
      <x:c r="H14" s="15"/>
    </x:row>
    <x:row r="15">
      <x:c r="A15" s="13" t="n">
        <x:v>7.2</x:v>
      </x:c>
      <x:c r="B15" s="15" t="n">
        <x:v>3.1</x:v>
      </x:c>
      <x:c r="C15" s="15" t="n">
        <x:v>1.3</x:v>
      </x:c>
      <x:c r="D15" s="15" t="n">
        <x:v>0.8</x:v>
      </x:c>
      <x:c r="E15" s="15" t="n">
        <x:f>SUM(A15:D15)</x:f>
        <x:v>12.400000000000002</x:v>
      </x:c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Scenario Comparison - Visible assumptions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Driver</x:v>
      </x:c>
      <x:c r="B3" s="14" t="str">
        <x:v>Downside</x:v>
      </x:c>
      <x:c r="C3" s="14" t="str">
        <x:v>Base</x:v>
      </x:c>
      <x:c r="D3" s="14" t="str">
        <x:v>Upside</x:v>
      </x:c>
      <x:c r="E3" s="14" t="str">
        <x:v>Unit</x:v>
      </x:c>
      <x:c r="F3" s="14" t="str">
        <x:v>Comment</x:v>
      </x:c>
      <x:c r="G3" s="14"/>
      <x:c r="H3" s="14"/>
    </x:row>
    <x:row r="4">
      <x:c r="A4" s="13" t="str">
        <x:v>FX impact</x:v>
      </x:c>
      <x:c r="B4" s="18" t="n">
        <x:v>-18</x:v>
      </x:c>
      <x:c r="C4" s="18" t="n">
        <x:v>-6</x:v>
      </x:c>
      <x:c r="D4" s="18" t="n">
        <x:v>8</x:v>
      </x:c>
      <x:c r="E4" s="15" t="str">
        <x:v>JPY m</x:v>
      </x:c>
      <x:c r="F4" s="15" t="str">
        <x:v>Incremental cash impact</x:v>
      </x:c>
      <x:c r="G4" s="15"/>
      <x:c r="H4" s="15"/>
    </x:row>
    <x:row r="5">
      <x:c r="A5" s="13" t="str">
        <x:v>Revenue vs budget</x:v>
      </x:c>
      <x:c r="B5" s="18" t="n">
        <x:v>-0.047</x:v>
      </x:c>
      <x:c r="C5" s="18" t="n">
        <x:v>0.022</x:v>
      </x:c>
      <x:c r="D5" s="18" t="n">
        <x:v>0.07</x:v>
      </x:c>
      <x:c r="E5" s="15" t="str">
        <x:v>%</x:v>
      </x:c>
      <x:c r="F5" s="15" t="str">
        <x:v>FY revenue sensitivity</x:v>
      </x:c>
      <x:c r="G5" s="15"/>
      <x:c r="H5" s="15"/>
    </x:row>
    <x:row r="6">
      <x:c r="A6" s="13" t="str">
        <x:v>EBITDA margin</x:v>
      </x:c>
      <x:c r="B6" s="18" t="n">
        <x:v>0.102</x:v>
      </x:c>
      <x:c r="C6" s="18" t="n">
        <x:v>0.119</x:v>
      </x:c>
      <x:c r="D6" s="18" t="n">
        <x:v>0.129</x:v>
      </x:c>
      <x:c r="E6" s="15" t="str">
        <x:v>%</x:v>
      </x:c>
      <x:c r="F6" s="15" t="str">
        <x:v>EBITDA / revenue</x:v>
      </x:c>
      <x:c r="G6" s="15"/>
      <x:c r="H6" s="15"/>
    </x:row>
    <x:row r="7">
      <x:c r="A7" s="13" t="str">
        <x:v>Working capital impact</x:v>
      </x:c>
      <x:c r="B7" s="18" t="n">
        <x:v>-42</x:v>
      </x:c>
      <x:c r="C7" s="18" t="n">
        <x:v>-18</x:v>
      </x:c>
      <x:c r="D7" s="18" t="n">
        <x:v>12</x:v>
      </x:c>
      <x:c r="E7" s="15" t="str">
        <x:v>JPY m</x:v>
      </x:c>
      <x:c r="F7" s="15" t="str">
        <x:v>Cash impact</x:v>
      </x:c>
      <x:c r="G7" s="15"/>
      <x:c r="H7" s="15"/>
    </x:row>
    <x:row r="8">
      <x:c r="A8" s="13" t="str">
        <x:v>Minimum liquidity</x:v>
      </x:c>
      <x:c r="B8" s="18" t="n">
        <x:v>250</x:v>
      </x:c>
      <x:c r="C8" s="18" t="n">
        <x:v>250</x:v>
      </x:c>
      <x:c r="D8" s="18" t="n">
        <x:v>250</x:v>
      </x:c>
      <x:c r="E8" s="15" t="str">
        <x:v>JPY m</x:v>
      </x:c>
      <x:c r="F8" s="15" t="str">
        <x:v>Treasury floor</x:v>
      </x:c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/>
      <x:c r="B10" s="15"/>
      <x:c r="C10" s="15"/>
      <x:c r="D10" s="15"/>
      <x:c r="E10" s="15"/>
      <x:c r="F10" s="15"/>
      <x:c r="G10" s="15"/>
      <x:c r="H10" s="15"/>
    </x:row>
    <x:row r="11">
      <x:c r="A11" s="13"/>
      <x:c r="B11" s="15"/>
      <x:c r="C11" s="15"/>
      <x:c r="D11" s="15"/>
      <x:c r="E11" s="15"/>
      <x:c r="F11" s="15"/>
      <x:c r="G11" s="15"/>
      <x:c r="H11" s="15"/>
    </x:row>
    <x:row r="12">
      <x:c r="A12" s="13"/>
      <x:c r="B12" s="15"/>
      <x:c r="C12" s="15"/>
      <x:c r="D12" s="15"/>
      <x:c r="E12" s="15"/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/>
      <x:c r="B14" s="15"/>
      <x:c r="C14" s="15"/>
      <x:c r="D14" s="15"/>
      <x:c r="E14" s="15"/>
      <x:c r="F14" s="15"/>
      <x:c r="G14" s="15"/>
      <x:c r="H14" s="15"/>
    </x:row>
    <x:row r="15">
      <x:c r="A15" s="13"/>
      <x:c r="B15" s="15"/>
      <x:c r="C15" s="15"/>
      <x:c r="D15" s="15"/>
      <x:c r="E15" s="15"/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MODEL STATUS AND CONTROLS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Check</x:v>
      </x:c>
      <x:c r="B3" s="14" t="str">
        <x:v>Delta</x:v>
      </x:c>
      <x:c r="C3" s="14" t="str">
        <x:v>Where to fix</x:v>
      </x:c>
      <x:c r="D3" s="14" t="str">
        <x:v>Status</x:v>
      </x:c>
      <x:c r="E3" s="14"/>
      <x:c r="F3" s="14"/>
      <x:c r="G3" s="14"/>
      <x:c r="H3" s="14"/>
    </x:row>
    <x:row r="4">
      <x:c r="A4" s="13" t="str">
        <x:v>Cash reconciliation</x:v>
      </x:c>
      <x:c r="B4" s="15" t="n">
        <x:f>'Summary'!D12</x:f>
        <x:v>3.375077994860476e-14</x:v>
      </x:c>
      <x:c r="C4" s="15" t="str">
        <x:v>Summary!A12:E15</x:v>
      </x:c>
      <x:c r="D4" s="15" t="str">
        <x:f>IF(B4=0,"PASS","FAIL")</x:f>
        <x:v>PASS</x:v>
      </x:c>
      <x:c r="E4" s="15"/>
      <x:c r="F4" s="15"/>
      <x:c r="G4" s="15"/>
      <x:c r="H4" s="15"/>
    </x:row>
    <x:row r="5">
      <x:c r="A5" s="13" t="str">
        <x:v>All scenario liquidity</x:v>
      </x:c>
      <x:c r="B5" s="15" t="n">
        <x:f>MIN('Summary'!G4:G7)</x:f>
        <x:v>60</x:v>
      </x:c>
      <x:c r="C5" s="15" t="str">
        <x:v>Summary!E4:H7</x:v>
      </x:c>
      <x:c r="D5" s="15" t="str">
        <x:f>IF(B5&gt;=0,"PASS","FAIL")</x:f>
        <x:v>PASS</x:v>
      </x:c>
      <x:c r="E5" s="15"/>
      <x:c r="F5" s="15"/>
      <x:c r="G5" s="15"/>
      <x:c r="H5" s="15"/>
    </x:row>
    <x:row r="6">
      <x:c r="A6" s="13" t="str">
        <x:v>Formula and input review</x:v>
      </x:c>
      <x:c r="B6" s="15" t="n">
        <x:v>0</x:v>
      </x:c>
      <x:c r="C6" s="15" t="str">
        <x:v>Assumptions</x:v>
      </x:c>
      <x:c r="D6" s="15" t="str">
        <x:f>IF(B6=0,"PASS","FAIL")</x:f>
        <x:v>PASS</x:v>
      </x:c>
      <x:c r="E6" s="15"/>
      <x:c r="F6" s="15"/>
      <x:c r="G6" s="15"/>
      <x:c r="H6" s="15"/>
    </x:row>
    <x:row r="7">
      <x:c r="A7" s="13"/>
      <x:c r="B7" s="15"/>
      <x:c r="C7" s="15"/>
      <x:c r="D7" s="15"/>
      <x:c r="E7" s="15"/>
      <x:c r="F7" s="15"/>
      <x:c r="G7" s="15"/>
      <x:c r="H7" s="15"/>
    </x:row>
    <x:row r="8">
      <x:c r="A8" s="19" t="str">
        <x:f>IF(COUNTIF(D4:D6,"FAIL")=0,"MODEL STATUS: PASS","MODEL STATUS: FAIL")</x:f>
        <x:v>MODEL STATUS: PASS</x:v>
      </x:c>
      <x:c r="B8" s="15"/>
      <x:c r="C8" s="15"/>
      <x:c r="D8" s="15"/>
      <x:c r="E8" s="15"/>
      <x:c r="F8" s="15"/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/>
      <x:c r="B10" s="15"/>
      <x:c r="C10" s="15"/>
      <x:c r="D10" s="15"/>
      <x:c r="E10" s="15"/>
      <x:c r="F10" s="15"/>
      <x:c r="G10" s="15"/>
      <x:c r="H10" s="15"/>
    </x:row>
    <x:row r="11">
      <x:c r="A11" s="13"/>
      <x:c r="B11" s="15"/>
      <x:c r="C11" s="15"/>
      <x:c r="D11" s="15"/>
      <x:c r="E11" s="15"/>
      <x:c r="F11" s="15"/>
      <x:c r="G11" s="15"/>
      <x:c r="H11" s="15"/>
    </x:row>
    <x:row r="12">
      <x:c r="A12" s="13"/>
      <x:c r="B12" s="15"/>
      <x:c r="C12" s="15"/>
      <x:c r="D12" s="15"/>
      <x:c r="E12" s="15"/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/>
      <x:c r="B14" s="15"/>
      <x:c r="C14" s="15"/>
      <x:c r="D14" s="15"/>
      <x:c r="E14" s="15"/>
      <x:c r="F14" s="15"/>
      <x:c r="G14" s="15"/>
      <x:c r="H14" s="15"/>
    </x:row>
    <x:row r="15">
      <x:c r="A15" s="13"/>
      <x:c r="B15" s="15"/>
      <x:c r="C15" s="15"/>
      <x:c r="D15" s="15"/>
      <x:c r="E15" s="15"/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D1"/>
    <x:mergeCell ref="A8:D8"/>
  </x:mergeCells>
  <x:pageMargins left="0.7" right="0.7" top="0.75" bottom="0.75" header="0.3" footer="0.3"/>
</x:worksheet>
</file>