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09faf48812c4db4" /></Relationships>
</file>

<file path=xl/workbook.xml><?xml version="1.0" encoding="utf-8"?>
<x:workbook xmlns:x="http://schemas.openxmlformats.org/spreadsheetml/2006/main">
  <x:sheets>
    <x:sheet xmlns:r="http://schemas.openxmlformats.org/officeDocument/2006/relationships" name="Summary" sheetId="1" r:id="R7483ab3dc14348ae"/>
    <x:sheet xmlns:r="http://schemas.openxmlformats.org/officeDocument/2006/relationships" name="Invoice Register" sheetId="2" r:id="R04d455c912d44fc0"/>
    <x:sheet xmlns:r="http://schemas.openxmlformats.org/officeDocument/2006/relationships" name="Checks" sheetId="3" r:id="R38b7748a0eb9430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0%"/>
    <x:numFmt numFmtId="202" formatCode="yyyy-mm-dd"/>
  </x:numFmts>
  <x:fonts count="12">
    <x:font>
      <x:sz val="11"/>
      <x:name val="Carlito"/>
    </x:font>
    <x:font>
      <x:b/>
      <x:sz val="16"/>
      <x:color rgb="FFFFFFFF"/>
      <x:name val="Carlito"/>
    </x:font>
    <x:font>
      <x:i/>
      <x:sz val="11"/>
      <x:color rgb="FF666666"/>
      <x:name val="Carlito"/>
    </x:font>
    <x:font>
      <x:b/>
      <x:sz val="11"/>
      <x:name val="Carlito"/>
    </x:font>
    <x:font>
      <x:b/>
      <x:sz val="11"/>
      <x:color rgb="FF17365D"/>
      <x:name val="Carlito"/>
    </x:font>
    <x:font>
      <x:b/>
      <x:sz val="11"/>
      <x:color rgb="FFFFFFFF"/>
      <x:name val="Calibri"/>
    </x:font>
    <x:font>
      <x:i/>
      <x:sz val="11"/>
      <x:color rgb="FF666666"/>
      <x:name val="Calibri"/>
    </x:font>
    <x:font>
      <x:sz val="11"/>
      <x:name val="Calibri"/>
    </x:font>
    <x:font>
      <x:b/>
      <x:sz val="11"/>
      <x:name val="Calibri"/>
    </x:font>
    <x:font>
      <x:b/>
      <x:sz val="11"/>
      <x:color rgb="FF17365D"/>
      <x:name val="Calibri"/>
    </x:font>
    <x:font>
      <x:b/>
      <x:sz val="11"/>
      <x:color rgb="FFFFFFFF"/>
      <x:name val="Carlito"/>
    </x:font>
    <x:font>
      <x:b/>
      <x:sz val="11"/>
      <x:color rgb="FF9C0006"/>
      <x:name val="Carlito"/>
    </x:font>
  </x:fonts>
  <x:fills count="8">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F3F6F8"/>
      </x:patternFill>
    </x:fill>
    <x:fill>
      <x:patternFill patternType="solid">
        <x:fgColor rgb="FFFFF8E7"/>
      </x:patternFill>
    </x:fill>
    <x:fill>
      <x:patternFill patternType="solid">
        <x:fgColor rgb="FFFCE4D6"/>
      </x:patternFill>
    </x:fill>
    <x:fill>
      <x:patternFill patternType="solid">
        <x:fgColor rgb="FFE2F0D9"/>
      </x:patternFill>
    </x:fill>
  </x:fills>
  <x:borders count="3">
    <x:border/>
    <x:border>
      <x:left style="thin">
        <x:color rgb="FFB7C9D6"/>
      </x:left>
      <x:right style="thin">
        <x:color rgb="FFB7C9D6"/>
      </x:right>
      <x:top style="thin">
        <x:color rgb="FFB7C9D6"/>
      </x:top>
      <x:bottom style="thin">
        <x:color rgb="FFB7C9D6"/>
      </x:bottom>
    </x:border>
    <x:border>
      <x:left style="thin">
        <x:color rgb="FFD7E0E7"/>
      </x:left>
      <x:right style="thin">
        <x:color rgb="FFD7E0E7"/>
      </x:right>
      <x:top style="thin">
        <x:color rgb="FFD7E0E7"/>
      </x:top>
      <x:bottom style="thin">
        <x:color rgb="FFD7E0E7"/>
      </x:bottom>
    </x:border>
  </x:borders>
  <x:cellStyleXfs count="1">
    <x:xf numFmtId="0" fontId="0" fillId="0" borderId="0"/>
  </x:cellStyleXfs>
  <x:cellXfs count="4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horizontal="left"/>
    </x:xf>
    <x:xf numFmtId="0" fontId="0" fillId="0" borderId="1"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right"/>
    </x:xf>
    <x:xf numFmtId="200" fontId="3" fillId="4" borderId="1" xfId="0" applyNumberFormat="1" applyFont="1" applyFill="1" applyBorder="1" applyAlignment="1">
      <x:alignment horizontal="right"/>
    </x:xf>
    <x:xf numFmtId="201" fontId="3" fillId="4" borderId="1" xfId="0" applyNumberFormat="1" applyFont="1" applyFill="1" applyBorder="1" applyAlignment="1">
      <x:alignment horizontal="right"/>
    </x:xf>
    <x:xf numFmtId="0" fontId="0" fillId="3" borderId="0" xfId="0" applyNumberFormat="1" applyFont="1" applyFill="1" applyBorder="1"/>
    <x:xf numFmtId="0" fontId="4" fillId="3" borderId="0"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center" wrapText="1"/>
    </x:xf>
    <x:xf numFmtId="0" fontId="5" fillId="2" borderId="0" xfId="0" applyNumberFormat="1" applyFont="1" applyFill="1" applyBorder="1" applyAlignment="1">
      <x:alignment horizontal="left" vertical="center"/>
    </x:xf>
    <x:xf numFmtId="0" fontId="6" fillId="0" borderId="0" xfId="0" applyNumberFormat="1" applyFont="1" applyFill="1" applyBorder="1" applyAlignment="1">
      <x:alignment horizontal="left"/>
    </x:xf>
    <x:xf numFmtId="0" fontId="7" fillId="0" borderId="0" xfId="0" applyNumberFormat="1" applyFont="1" applyFill="1" applyBorder="1"/>
    <x:xf numFmtId="0" fontId="8" fillId="3" borderId="1" xfId="0" applyNumberFormat="1" applyFont="1" applyFill="1" applyBorder="1"/>
    <x:xf numFmtId="0" fontId="7" fillId="0" borderId="1" xfId="0" applyNumberFormat="1" applyFont="1" applyFill="1" applyBorder="1"/>
    <x:xf numFmtId="0" fontId="8" fillId="4" borderId="1" xfId="0" applyNumberFormat="1" applyFont="1" applyFill="1" applyBorder="1" applyAlignment="1">
      <x:alignment horizontal="right"/>
    </x:xf>
    <x:xf numFmtId="200" fontId="8" fillId="4" borderId="1" xfId="0" applyNumberFormat="1" applyFont="1" applyFill="1" applyBorder="1" applyAlignment="1">
      <x:alignment horizontal="right"/>
    </x:xf>
    <x:xf numFmtId="201" fontId="8" fillId="4" borderId="1" xfId="0" applyNumberFormat="1" applyFont="1" applyFill="1" applyBorder="1" applyAlignment="1">
      <x:alignment horizontal="right"/>
    </x:xf>
    <x:xf numFmtId="0" fontId="9" fillId="3" borderId="0" xfId="0" applyNumberFormat="1" applyFont="1" applyFill="1" applyBorder="1"/>
    <x:xf numFmtId="0" fontId="7" fillId="5" borderId="0" xfId="0" applyNumberFormat="1" applyFont="1" applyFill="1" applyBorder="1" applyAlignment="1">
      <x:alignment vertical="center" wrapText="1"/>
    </x:xf>
    <x:xf numFmtId="0" fontId="10" fillId="2" borderId="0" xfId="0" applyNumberFormat="1" applyFont="1" applyFill="1" applyBorder="1"/>
    <x:xf numFmtId="0" fontId="10" fillId="2" borderId="0" xfId="0" applyNumberFormat="1" applyFont="1" applyFill="1" applyBorder="1" applyAlignment="1">
      <x:alignment wrapText="1"/>
    </x:xf>
    <x:xf numFmtId="0" fontId="10" fillId="2" borderId="0" xfId="0" applyNumberFormat="1" applyFont="1" applyFill="1" applyBorder="1" applyAlignment="1">
      <x:alignment horizontal="center" wrapText="1"/>
    </x:xf>
    <x:xf numFmtId="0" fontId="10" fillId="2" borderId="0" xfId="0" applyNumberFormat="1" applyFont="1" applyFill="1" applyBorder="1" applyAlignment="1">
      <x:alignment horizontal="center" vertical="center" wrapText="1"/>
    </x:xf>
    <x:xf numFmtId="0" fontId="10" fillId="2" borderId="2" xfId="0" applyNumberFormat="1" applyFont="1" applyFill="1" applyBorder="1" applyAlignment="1">
      <x:alignment horizontal="center" vertical="center" wrapText="1"/>
    </x:xf>
    <x:xf numFmtId="0" fontId="0" fillId="0" borderId="2" xfId="0" applyNumberFormat="1" applyFont="1" applyFill="1" applyBorder="1"/>
    <x:xf numFmtId="0" fontId="0" fillId="0" borderId="2" xfId="0" applyNumberFormat="1" applyFont="1" applyFill="1" applyBorder="1" applyAlignment="1">
      <x:alignment wrapText="1"/>
    </x:xf>
    <x:xf numFmtId="200" fontId="0" fillId="0" borderId="2" xfId="0" applyNumberFormat="1" applyFont="1" applyFill="1" applyBorder="1" applyAlignment="1">
      <x:alignment wrapText="1"/>
    </x:xf>
    <x:xf numFmtId="202" fontId="0" fillId="0" borderId="2" xfId="0" applyNumberFormat="1" applyFont="1" applyFill="1" applyBorder="1" applyAlignment="1">
      <x:alignment wrapText="1"/>
    </x:xf>
    <x:xf numFmtId="0" fontId="0" fillId="6" borderId="2" xfId="0" applyNumberFormat="1" applyFont="1" applyFill="1" applyBorder="1" applyAlignment="1">
      <x:alignment wrapText="1"/>
    </x:xf>
    <x:xf numFmtId="0" fontId="11" fillId="6" borderId="2" xfId="0" applyNumberFormat="1" applyFont="1" applyFill="1" applyBorder="1" applyAlignment="1">
      <x:alignment wrapText="1"/>
    </x:xf>
    <x:xf numFmtId="0" fontId="10" fillId="2" borderId="1" xfId="0" applyNumberFormat="1" applyFont="1" applyFill="1" applyBorder="1"/>
    <x:xf numFmtId="0" fontId="0" fillId="7" borderId="1" xfId="0" applyNumberFormat="1" applyFont="1" applyFill="1" applyBorder="1"/>
    <x:xf numFmtId="0" fontId="3" fillId="7" borderId="1" xfId="0" applyNumberFormat="1" applyFont="1" applyFill="1" applyBorder="1"/>
    <x:xf numFmtId="0" fontId="3" fillId="7" borderId="1" xfId="0" applyNumberFormat="1" applyFont="1" applyFill="1" applyBorder="1" applyAlignment="1">
      <x:alignment horizontal="center"/>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7b4b9927f84db9" /><Relationship Type="http://schemas.openxmlformats.org/officeDocument/2006/relationships/theme" Target="/xl/theme/theme1.xml" Id="R8c69a8b02854439d" /><Relationship Type="http://schemas.openxmlformats.org/officeDocument/2006/relationships/sharedStrings" Target="/xl/sharedStrings.xml" Id="R6215451c2bd04d89" /><Relationship Type="http://schemas.openxmlformats.org/officeDocument/2006/relationships/worksheet" Target="/xl/worksheets/sheet1.xml" Id="R7483ab3dc14348ae" /><Relationship Type="http://schemas.openxmlformats.org/officeDocument/2006/relationships/worksheet" Target="/xl/worksheets/sheet2.xml" Id="R04d455c912d44fc0" /><Relationship Type="http://schemas.openxmlformats.org/officeDocument/2006/relationships/worksheet" Target="/xl/worksheets/sheet3.xml" Id="R38b7748a0eb9430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17" hidden="0" customWidth="1"/>
    <x:col min="4" max="4" width="3" hidden="0" customWidth="1"/>
    <x:col min="5" max="5" width="29" hidden="0" customWidth="1"/>
    <x:col min="6" max="6" width="5" hidden="0" customWidth="1"/>
    <x:col min="7" max="7" width="18" hidden="0" customWidth="1"/>
    <x:col min="8" max="8" width="3" hidden="0" customWidth="1"/>
  </x:cols>
  <x:sheetData>
    <x:row r="1" ht="30" customHeight="1">
      <x:c r="A1" s="20" t="str">
        <x:v>Cedar Works | March 2026 Vendor Invoice Register</x:v>
      </x:c>
      <x:c r="B1" s="20" t="str">
        <x:v>Cedar Works | March 2026 Vendor Invoice Register</x:v>
      </x:c>
      <x:c r="C1" s="20" t="str">
        <x:v>Cedar Works | March 2026 Vendor Invoice Register</x:v>
      </x:c>
      <x:c r="D1" s="20" t="str">
        <x:v>Cedar Works | March 2026 Vendor Invoice Register</x:v>
      </x:c>
      <x:c r="E1" s="20" t="str">
        <x:v>Cedar Works | March 2026 Vendor Invoice Register</x:v>
      </x:c>
      <x:c r="F1" s="20" t="str">
        <x:v>Cedar Works | March 2026 Vendor Invoice Register</x:v>
      </x:c>
      <x:c r="G1" s="20" t="str">
        <x:v>Cedar Works | March 2026 Vendor Invoice Register</x:v>
      </x:c>
      <x:c r="H1" s="20" t="str">
        <x:v>Cedar Works | March 2026 Vendor Invoice Register</x:v>
      </x:c>
    </x:row>
    <x:row r="2">
      <x:c r="A2" s="21" t="str">
        <x:v>FY2026 Q1 | SYNTHETIC TRAINING RECORD - NOT PAYABLE | Currency: JPY</x:v>
      </x:c>
      <x:c r="B2" s="21" t="str">
        <x:v>FY2026 Q1 | SYNTHETIC TRAINING RECORD - NOT PAYABLE | Currency: JPY</x:v>
      </x:c>
      <x:c r="C2" s="21" t="str">
        <x:v>FY2026 Q1 | SYNTHETIC TRAINING RECORD - NOT PAYABLE | Currency: JPY</x:v>
      </x:c>
      <x:c r="D2" s="21" t="str">
        <x:v>FY2026 Q1 | SYNTHETIC TRAINING RECORD - NOT PAYABLE | Currency: JPY</x:v>
      </x:c>
      <x:c r="E2" s="21" t="str">
        <x:v>FY2026 Q1 | SYNTHETIC TRAINING RECORD - NOT PAYABLE | Currency: JPY</x:v>
      </x:c>
      <x:c r="F2" s="21" t="str">
        <x:v>FY2026 Q1 | SYNTHETIC TRAINING RECORD - NOT PAYABLE | Currency: JPY</x:v>
      </x:c>
      <x:c r="G2" s="21" t="str">
        <x:v>FY2026 Q1 | SYNTHETIC TRAINING RECORD - NOT PAYABLE | Currency: JPY</x:v>
      </x:c>
      <x:c r="H2" s="21" t="str">
        <x:v>FY2026 Q1 | SYNTHETIC TRAINING RECORD - NOT PAYABLE | Currency: JPY</x:v>
      </x:c>
    </x:row>
    <x:row r="3">
      <x:c r="A3" s="22"/>
      <x:c r="B3" s="22"/>
      <x:c r="C3" s="22"/>
      <x:c r="D3" s="22"/>
      <x:c r="E3" s="22"/>
      <x:c r="F3" s="22"/>
      <x:c r="G3" s="22"/>
      <x:c r="H3" s="22"/>
    </x:row>
    <x:row r="4">
      <x:c r="A4" s="23" t="str">
        <x:v>Invoice count</x:v>
      </x:c>
      <x:c r="B4" s="24" t="str"/>
      <x:c r="C4" s="25" t="n">
        <x:f>COUNTA('Invoice Register'!D5:D12)</x:f>
        <x:v>8</x:v>
      </x:c>
      <x:c r="D4" s="22"/>
      <x:c r="E4" s="23" t="str">
        <x:v>Vendor-payment timing explanation</x:v>
      </x:c>
      <x:c r="F4" s="24" t="str"/>
      <x:c r="G4" s="26" t="n">
        <x:f>3100000</x:f>
        <x:v>3100000</x:v>
      </x:c>
      <x:c r="H4" s="22"/>
    </x:row>
    <x:row r="5">
      <x:c r="A5" s="23" t="str">
        <x:v>Gross invoice total</x:v>
      </x:c>
      <x:c r="B5" s="24" t="str"/>
      <x:c r="C5" s="26" t="n">
        <x:f>SUM('Invoice Register'!J5:J12)</x:f>
        <x:v>7574600</x:v>
      </x:c>
      <x:c r="D5" s="22"/>
      <x:c r="E5" s="23" t="str">
        <x:v>Timing share of cash variance</x:v>
      </x:c>
      <x:c r="F5" s="24" t="str"/>
      <x:c r="G5" s="27" t="n">
        <x:f>G4/C7</x:f>
        <x:v>0.25</x:v>
      </x:c>
      <x:c r="H5" s="22"/>
    </x:row>
    <x:row r="6">
      <x:c r="A6" s="23" t="str">
        <x:v>Items on hold</x:v>
      </x:c>
      <x:c r="B6" s="24" t="str"/>
      <x:c r="C6" s="25" t="n">
        <x:f>COUNTIF('Invoice Register'!L5:L12,"Hold")</x:f>
        <x:v>1</x:v>
      </x:c>
      <x:c r="D6" s="22"/>
      <x:c r="E6" s="23" t="str">
        <x:v>Batch total / cash variance</x:v>
      </x:c>
      <x:c r="F6" s="24" t="str"/>
      <x:c r="G6" s="27" t="n">
        <x:f>C5/C7</x:f>
        <x:v>0.6108548387096774</x:v>
      </x:c>
      <x:c r="H6" s="22"/>
    </x:row>
    <x:row r="7">
      <x:c r="A7" s="23" t="str">
        <x:v>Cash variance (unfavorable)</x:v>
      </x:c>
      <x:c r="B7" s="24" t="str"/>
      <x:c r="C7" s="26" t="n">
        <x:f>12400000</x:f>
        <x:v>12400000</x:v>
      </x:c>
      <x:c r="D7" s="22"/>
      <x:c r="E7" s="23" t="str">
        <x:v>Control status</x:v>
      </x:c>
      <x:c r="F7" s="24" t="str"/>
      <x:c r="G7" s="25" t="str">
        <x:f>IF(C6&gt;0,"REVIEW HOLD","PASS")</x:f>
        <x:v>REVIEW HOLD</x:v>
      </x:c>
      <x:c r="H7" s="22"/>
    </x:row>
    <x:row r="8">
      <x:c r="A8" s="22"/>
      <x:c r="B8" s="22"/>
      <x:c r="C8" s="22"/>
      <x:c r="D8" s="22"/>
      <x:c r="E8" s="22"/>
      <x:c r="F8" s="22"/>
      <x:c r="G8" s="22"/>
      <x:c r="H8" s="22"/>
    </x:row>
    <x:row r="9">
      <x:c r="A9" s="22"/>
      <x:c r="B9" s="22"/>
      <x:c r="C9" s="22"/>
      <x:c r="D9" s="22"/>
      <x:c r="E9" s="22"/>
      <x:c r="F9" s="22"/>
      <x:c r="G9" s="22"/>
      <x:c r="H9" s="22"/>
    </x:row>
    <x:row r="10">
      <x:c r="A10" s="28" t="str">
        <x:v>Control note</x:v>
      </x:c>
      <x:c r="B10" s="28" t="str">
        <x:v>Control note</x:v>
      </x:c>
      <x:c r="C10" s="28" t="str">
        <x:v>Control note</x:v>
      </x:c>
      <x:c r="D10" s="28" t="str">
        <x:v>Control note</x:v>
      </x:c>
      <x:c r="E10" s="28" t="str">
        <x:v>Control note</x:v>
      </x:c>
      <x:c r="F10" s="28" t="str">
        <x:v>Control note</x:v>
      </x:c>
      <x:c r="G10" s="28" t="str">
        <x:v>Control note</x:v>
      </x:c>
      <x:c r="H10" s="28" t="str">
        <x:v>Control note</x:v>
      </x:c>
    </x:row>
    <x:row r="11">
      <x:c r="A11"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B11"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C11"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D11"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E11"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F11"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G11"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H11"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row>
    <x:row r="12">
      <x:c r="A12"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B12"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C12"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D12"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E12"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F12"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G12"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H12"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row>
    <x:row r="13">
      <x:c r="A13"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B13"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C13"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D13"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E13"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F13"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G13"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c r="H13" s="29" t="str">
        <x:v>March cash variance is JPY 12,400,000 unfavorable. Vendor-payment timing explains JPY 3,100,000 across the broader AP timing analysis. The batch total is JPY 7,574,600 and is not asserted to equal that timing explanation. Pine Harbor Facilities remains on Hold pending synthetic service-completion evidence.</x:v>
      </x:c>
    </x:row>
  </x:sheetData>
  <x:mergeCells>
    <x:mergeCell ref="A1:H1"/>
    <x:mergeCell ref="A2:H2"/>
    <x:mergeCell ref="A10:H10"/>
    <x:mergeCell ref="A11:H1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24" hidden="0" customWidth="1"/>
    <x:col min="3" max="3" width="13" hidden="0" customWidth="1"/>
    <x:col min="4" max="4" width="16" hidden="0" customWidth="1"/>
    <x:col min="5" max="5" width="16" hidden="0" customWidth="1"/>
    <x:col min="6" max="6" width="20" hidden="0" customWidth="1"/>
    <x:col min="7" max="7" width="31" hidden="0" customWidth="1"/>
    <x:col min="8" max="8" width="13" hidden="0" customWidth="1"/>
    <x:col min="9" max="9" width="13" hidden="0" customWidth="1"/>
    <x:col min="10" max="10" width="13" hidden="0" customWidth="1"/>
    <x:col min="11" max="11" width="12" hidden="0" customWidth="1"/>
    <x:col min="12" max="12" width="12" hidden="0" customWidth="1"/>
    <x:col min="13" max="13" width="15" hidden="0" customWidth="1"/>
    <x:col min="14" max="14" width="13" hidden="0" customWidth="1"/>
    <x:col min="15" max="15" width="14" hidden="0" customWidth="1"/>
    <x:col min="16" max="16" width="37" hidden="0" customWidth="1"/>
    <x:col min="17" max="17" width="35" hidden="0" customWidth="1"/>
  </x:cols>
  <x:sheetData>
    <x:row r="1" ht="30" customHeight="1">
      <x:c r="A1" s="4" t="str">
        <x:v>March 2026 Vendor Invoice Register</x:v>
      </x:c>
      <x:c r="B1" s="4" t="str">
        <x:v>March 2026 Vendor Invoice Register</x:v>
      </x:c>
      <x:c r="C1" s="4" t="str">
        <x:v>March 2026 Vendor Invoice Register</x:v>
      </x:c>
      <x:c r="D1" s="4" t="str">
        <x:v>March 2026 Vendor Invoice Register</x:v>
      </x:c>
      <x:c r="E1" s="4" t="str">
        <x:v>March 2026 Vendor Invoice Register</x:v>
      </x:c>
      <x:c r="F1" s="4" t="str">
        <x:v>March 2026 Vendor Invoice Register</x:v>
      </x:c>
      <x:c r="G1" s="4" t="str">
        <x:v>March 2026 Vendor Invoice Register</x:v>
      </x:c>
      <x:c r="H1" s="4" t="str">
        <x:v>March 2026 Vendor Invoice Register</x:v>
      </x:c>
      <x:c r="I1" s="4" t="str">
        <x:v>March 2026 Vendor Invoice Register</x:v>
      </x:c>
      <x:c r="J1" s="4" t="str">
        <x:v>March 2026 Vendor Invoice Register</x:v>
      </x:c>
      <x:c r="K1" s="4" t="str">
        <x:v>March 2026 Vendor Invoice Register</x:v>
      </x:c>
      <x:c r="L1" s="4" t="str">
        <x:v>March 2026 Vendor Invoice Register</x:v>
      </x:c>
      <x:c r="M1" s="4" t="str">
        <x:v>March 2026 Vendor Invoice Register</x:v>
      </x:c>
      <x:c r="N1" s="4" t="str">
        <x:v>March 2026 Vendor Invoice Register</x:v>
      </x:c>
      <x:c r="O1" s="4" t="str">
        <x:v>March 2026 Vendor Invoice Register</x:v>
      </x:c>
      <x:c r="P1" s="4" t="str">
        <x:v>March 2026 Vendor Invoice Register</x:v>
      </x:c>
      <x:c r="Q1" s="4" t="str">
        <x:v>March 2026 Vendor Invoice Register</x:v>
      </x:c>
    </x:row>
    <x:row r="2">
      <x:c r="A2" s="5" t="str">
        <x:v>Cedar Works | FY2026 Q1 | SYNTHETIC TRAINING RECORD - NOT PAYABLE</x:v>
      </x:c>
      <x:c r="B2" s="5" t="str">
        <x:v>Cedar Works | FY2026 Q1 | SYNTHETIC TRAINING RECORD - NOT PAYABLE</x:v>
      </x:c>
      <x:c r="C2" s="5" t="str">
        <x:v>Cedar Works | FY2026 Q1 | SYNTHETIC TRAINING RECORD - NOT PAYABLE</x:v>
      </x:c>
      <x:c r="D2" s="5" t="str">
        <x:v>Cedar Works | FY2026 Q1 | SYNTHETIC TRAINING RECORD - NOT PAYABLE</x:v>
      </x:c>
      <x:c r="E2" s="5" t="str">
        <x:v>Cedar Works | FY2026 Q1 | SYNTHETIC TRAINING RECORD - NOT PAYABLE</x:v>
      </x:c>
      <x:c r="F2" s="5" t="str">
        <x:v>Cedar Works | FY2026 Q1 | SYNTHETIC TRAINING RECORD - NOT PAYABLE</x:v>
      </x:c>
      <x:c r="G2" s="5" t="str">
        <x:v>Cedar Works | FY2026 Q1 | SYNTHETIC TRAINING RECORD - NOT PAYABLE</x:v>
      </x:c>
      <x:c r="H2" s="5" t="str">
        <x:v>Cedar Works | FY2026 Q1 | SYNTHETIC TRAINING RECORD - NOT PAYABLE</x:v>
      </x:c>
      <x:c r="I2" s="5" t="str">
        <x:v>Cedar Works | FY2026 Q1 | SYNTHETIC TRAINING RECORD - NOT PAYABLE</x:v>
      </x:c>
      <x:c r="J2" s="5" t="str">
        <x:v>Cedar Works | FY2026 Q1 | SYNTHETIC TRAINING RECORD - NOT PAYABLE</x:v>
      </x:c>
      <x:c r="K2" s="5" t="str">
        <x:v>Cedar Works | FY2026 Q1 | SYNTHETIC TRAINING RECORD - NOT PAYABLE</x:v>
      </x:c>
      <x:c r="L2" s="5" t="str">
        <x:v>Cedar Works | FY2026 Q1 | SYNTHETIC TRAINING RECORD - NOT PAYABLE</x:v>
      </x:c>
      <x:c r="M2" s="5" t="str">
        <x:v>Cedar Works | FY2026 Q1 | SYNTHETIC TRAINING RECORD - NOT PAYABLE</x:v>
      </x:c>
      <x:c r="N2" s="5" t="str">
        <x:v>Cedar Works | FY2026 Q1 | SYNTHETIC TRAINING RECORD - NOT PAYABLE</x:v>
      </x:c>
      <x:c r="O2" s="5" t="str">
        <x:v>Cedar Works | FY2026 Q1 | SYNTHETIC TRAINING RECORD - NOT PAYABLE</x:v>
      </x:c>
      <x:c r="P2" s="5" t="str">
        <x:v>Cedar Works | FY2026 Q1 | SYNTHETIC TRAINING RECORD - NOT PAYABLE</x:v>
      </x:c>
      <x:c r="Q2" s="5" t="str">
        <x:v>Cedar Works | FY2026 Q1 | SYNTHETIC TRAINING RECORD - NOT PAYABLE</x:v>
      </x:c>
    </x:row>
    <x:row r="4" ht="23" customHeight="1">
      <x:c r="A4" s="34" t="str">
        <x:v>Invoice date</x:v>
      </x:c>
      <x:c r="B4" s="34" t="str">
        <x:v>Vendor</x:v>
      </x:c>
      <x:c r="C4" s="34" t="str">
        <x:v>Vendor code</x:v>
      </x:c>
      <x:c r="D4" s="34" t="str">
        <x:v>Invoice no.</x:v>
      </x:c>
      <x:c r="E4" s="34" t="str">
        <x:v>PO no.</x:v>
      </x:c>
      <x:c r="F4" s="34" t="str">
        <x:v>Cost center</x:v>
      </x:c>
      <x:c r="G4" s="34" t="str">
        <x:v>Description</x:v>
      </x:c>
      <x:c r="H4" s="34" t="str">
        <x:v>Net JPY</x:v>
      </x:c>
      <x:c r="I4" s="34" t="str">
        <x:v>Tax JPY</x:v>
      </x:c>
      <x:c r="J4" s="34" t="str">
        <x:v>Gross JPY</x:v>
      </x:c>
      <x:c r="K4" s="34" t="str">
        <x:v>Due date</x:v>
      </x:c>
      <x:c r="L4" s="34" t="str">
        <x:v>Approval</x:v>
      </x:c>
      <x:c r="M4" s="34" t="str">
        <x:v>Three-way match</x:v>
      </x:c>
      <x:c r="N4" s="34" t="str">
        <x:v>Duplicate flag</x:v>
      </x:c>
      <x:c r="O4" s="34" t="str">
        <x:v>Payment status</x:v>
      </x:c>
      <x:c r="P4" s="34" t="str">
        <x:v>Exception note</x:v>
      </x:c>
      <x:c r="Q4" s="34" t="str">
        <x:v>Scan PDF</x:v>
      </x:c>
    </x:row>
    <x:row r="5" ht="23" customHeight="1">
      <x:c r="A5" s="38" t="str">
        <x:v>2026-03-01</x:v>
      </x:c>
      <x:c r="B5" s="36" t="str">
        <x:v>Northstar Office Supply</x:v>
      </x:c>
      <x:c r="C5" s="36" t="str">
        <x:v>V-NSO-014</x:v>
      </x:c>
      <x:c r="D5" s="36" t="str">
        <x:v>CW-260301-NSO</x:v>
      </x:c>
      <x:c r="E5" s="36" t="str">
        <x:v>CW-PO-260201</x:v>
      </x:c>
      <x:c r="F5" s="36" t="str">
        <x:v>CC-410 Office Operations</x:v>
      </x:c>
      <x:c r="G5" s="36" t="str">
        <x:v>Furniture and office supplies</x:v>
      </x:c>
      <x:c r="H5" s="37" t="n">
        <x:v>420000</x:v>
      </x:c>
      <x:c r="I5" s="37" t="n">
        <x:v>42000</x:v>
      </x:c>
      <x:c r="J5" s="37" t="n">
        <x:v>462000</x:v>
      </x:c>
      <x:c r="K5" s="38" t="str">
        <x:v>2026-03-31</x:v>
      </x:c>
      <x:c r="L5" s="36" t="str">
        <x:v>Approved</x:v>
      </x:c>
      <x:c r="M5" s="36" t="str">
        <x:v>Matched</x:v>
      </x:c>
      <x:c r="N5" s="36" t="str">
        <x:v>No</x:v>
      </x:c>
      <x:c r="O5" s="36" t="str">
        <x:v>Released</x:v>
      </x:c>
      <x:c r="P5" s="36" t="str"/>
      <x:c r="Q5" s="36" t="str">
        <x:v>inv-cw-260301-northstar-office-scan.pdf</x:v>
      </x:c>
    </x:row>
    <x:row r="6" ht="23" customHeight="1">
      <x:c r="A6" s="38" t="str">
        <x:v>2026-03-07</x:v>
      </x:c>
      <x:c r="B6" s="36" t="str">
        <x:v>Blue Lantern Logistics</x:v>
      </x:c>
      <x:c r="C6" s="36" t="str">
        <x:v>V-BLL-022</x:v>
      </x:c>
      <x:c r="D6" s="36" t="str">
        <x:v>CW-260307-BLL</x:v>
      </x:c>
      <x:c r="E6" s="36" t="str">
        <x:v>CW-PO-260207</x:v>
      </x:c>
      <x:c r="F6" s="36" t="str">
        <x:v>CC-520 Distribution</x:v>
      </x:c>
      <x:c r="G6" s="36" t="str">
        <x:v>Freight consolidation and handling</x:v>
      </x:c>
      <x:c r="H6" s="37" t="n">
        <x:v>1466000</x:v>
      </x:c>
      <x:c r="I6" s="37" t="n">
        <x:v>146600</x:v>
      </x:c>
      <x:c r="J6" s="37" t="n">
        <x:v>1612600</x:v>
      </x:c>
      <x:c r="K6" s="38" t="str">
        <x:v>2026-04-06</x:v>
      </x:c>
      <x:c r="L6" s="36" t="str">
        <x:v>Approved</x:v>
      </x:c>
      <x:c r="M6" s="36" t="str">
        <x:v>Matched</x:v>
      </x:c>
      <x:c r="N6" s="36" t="str">
        <x:v>No</x:v>
      </x:c>
      <x:c r="O6" s="36" t="str">
        <x:v>Released</x:v>
      </x:c>
      <x:c r="P6" s="36" t="str"/>
      <x:c r="Q6" s="36" t="str">
        <x:v>inv-cw-260307-blue-lantern-logistics-scan.pdf</x:v>
      </x:c>
    </x:row>
    <x:row r="7" ht="23" customHeight="1">
      <x:c r="A7" s="38" t="str">
        <x:v>2026-03-11</x:v>
      </x:c>
      <x:c r="B7" s="36" t="str">
        <x:v>Kumo Systems</x:v>
      </x:c>
      <x:c r="C7" s="36" t="str">
        <x:v>V-KS-031</x:v>
      </x:c>
      <x:c r="D7" s="36" t="str">
        <x:v>CW-260311-KS</x:v>
      </x:c>
      <x:c r="E7" s="36" t="str">
        <x:v>CW-PO-260211</x:v>
      </x:c>
      <x:c r="F7" s="36" t="str">
        <x:v>CC-610 Technology</x:v>
      </x:c>
      <x:c r="G7" s="36" t="str">
        <x:v>Monitoring and incident response</x:v>
      </x:c>
      <x:c r="H7" s="37" t="n">
        <x:v>1000000</x:v>
      </x:c>
      <x:c r="I7" s="37" t="n">
        <x:v>100000</x:v>
      </x:c>
      <x:c r="J7" s="37" t="n">
        <x:v>1100000</x:v>
      </x:c>
      <x:c r="K7" s="38" t="str">
        <x:v>2026-04-10</x:v>
      </x:c>
      <x:c r="L7" s="36" t="str">
        <x:v>Approved</x:v>
      </x:c>
      <x:c r="M7" s="36" t="str">
        <x:v>Matched</x:v>
      </x:c>
      <x:c r="N7" s="36" t="str">
        <x:v>No</x:v>
      </x:c>
      <x:c r="O7" s="36" t="str">
        <x:v>Released</x:v>
      </x:c>
      <x:c r="P7" s="36" t="str"/>
      <x:c r="Q7" s="36" t="str">
        <x:v>inv-cw-260311-kumo-systems-scan.pdf</x:v>
      </x:c>
    </x:row>
    <x:row r="8" ht="23" customHeight="1">
      <x:c r="A8" s="38" t="str">
        <x:v>2026-03-15</x:v>
      </x:c>
      <x:c r="B8" s="36" t="str">
        <x:v>Pine Harbor Facilities</x:v>
      </x:c>
      <x:c r="C8" s="36" t="str">
        <x:v>V-PHF-018</x:v>
      </x:c>
      <x:c r="D8" s="36" t="str">
        <x:v>CW-260315-PHF</x:v>
      </x:c>
      <x:c r="E8" s="36" t="str">
        <x:v>CW-PO-260215</x:v>
      </x:c>
      <x:c r="F8" s="36" t="str">
        <x:v>CC-430 Facilities</x:v>
      </x:c>
      <x:c r="G8" s="36" t="str">
        <x:v>Preventive HVAC service</x:v>
      </x:c>
      <x:c r="H8" s="37" t="n">
        <x:v>500000</x:v>
      </x:c>
      <x:c r="I8" s="37" t="n">
        <x:v>50000</x:v>
      </x:c>
      <x:c r="J8" s="37" t="n">
        <x:v>550000</x:v>
      </x:c>
      <x:c r="K8" s="38" t="str">
        <x:v>2026-04-14</x:v>
      </x:c>
      <x:c r="L8" s="40" t="str">
        <x:v>Hold</x:v>
      </x:c>
      <x:c r="M8" s="40" t="str">
        <x:v>Exception</x:v>
      </x:c>
      <x:c r="N8" s="40" t="str">
        <x:v>No</x:v>
      </x:c>
      <x:c r="O8" s="40" t="str">
        <x:v>Hold</x:v>
      </x:c>
      <x:c r="P8" s="40" t="str">
        <x:v>Synthetic service-completion evidence pending</x:v>
      </x:c>
      <x:c r="Q8" s="36" t="str">
        <x:v>inv-cw-260315-pine-harbor-facilities-scan.pdf</x:v>
      </x:c>
    </x:row>
    <x:row r="9" ht="23" customHeight="1">
      <x:c r="A9" s="38" t="str">
        <x:v>2026-03-18</x:v>
      </x:c>
      <x:c r="B9" s="36" t="str">
        <x:v>Lattice Freight</x:v>
      </x:c>
      <x:c r="C9" s="36" t="str">
        <x:v>V-LF-027</x:v>
      </x:c>
      <x:c r="D9" s="36" t="str">
        <x:v>CW-260318-LF</x:v>
      </x:c>
      <x:c r="E9" s="36" t="str">
        <x:v>CW-PO-260218</x:v>
      </x:c>
      <x:c r="F9" s="36" t="str">
        <x:v>CC-521 Distribution</x:v>
      </x:c>
      <x:c r="G9" s="36" t="str">
        <x:v>Cross-dock staging and documentation</x:v>
      </x:c>
      <x:c r="H9" s="37" t="n">
        <x:v>1170000</x:v>
      </x:c>
      <x:c r="I9" s="37" t="n">
        <x:v>117000</x:v>
      </x:c>
      <x:c r="J9" s="37" t="n">
        <x:v>1287000</x:v>
      </x:c>
      <x:c r="K9" s="38" t="str">
        <x:v>2026-04-17</x:v>
      </x:c>
      <x:c r="L9" s="36" t="str">
        <x:v>Approved</x:v>
      </x:c>
      <x:c r="M9" s="36" t="str">
        <x:v>Matched</x:v>
      </x:c>
      <x:c r="N9" s="36" t="str">
        <x:v>No</x:v>
      </x:c>
      <x:c r="O9" s="36" t="str">
        <x:v>Released</x:v>
      </x:c>
      <x:c r="P9" s="36" t="str"/>
      <x:c r="Q9" s="36" t="str">
        <x:v>inv-cw-260318-lattice-freight-scan.pdf</x:v>
      </x:c>
    </x:row>
    <x:row r="10" ht="23" customHeight="1">
      <x:c r="A10" s="38" t="str">
        <x:v>2026-03-22</x:v>
      </x:c>
      <x:c r="B10" s="36" t="str">
        <x:v>Orchard Cloud</x:v>
      </x:c>
      <x:c r="C10" s="36" t="str">
        <x:v>V-OC-009</x:v>
      </x:c>
      <x:c r="D10" s="36" t="str">
        <x:v>CW-260322-OC</x:v>
      </x:c>
      <x:c r="E10" s="36" t="str">
        <x:v>CW-PO-260222</x:v>
      </x:c>
      <x:c r="F10" s="36" t="str">
        <x:v>CC-620 Technology</x:v>
      </x:c>
      <x:c r="G10" s="36" t="str">
        <x:v>Cloud workspace and retention</x:v>
      </x:c>
      <x:c r="H10" s="37" t="n">
        <x:v>790000</x:v>
      </x:c>
      <x:c r="I10" s="37" t="n">
        <x:v>79000</x:v>
      </x:c>
      <x:c r="J10" s="37" t="n">
        <x:v>869000</x:v>
      </x:c>
      <x:c r="K10" s="38" t="str">
        <x:v>2026-04-21</x:v>
      </x:c>
      <x:c r="L10" s="36" t="str">
        <x:v>Approved</x:v>
      </x:c>
      <x:c r="M10" s="36" t="str">
        <x:v>Matched</x:v>
      </x:c>
      <x:c r="N10" s="36" t="str">
        <x:v>No</x:v>
      </x:c>
      <x:c r="O10" s="36" t="str">
        <x:v>Released</x:v>
      </x:c>
      <x:c r="P10" s="36" t="str"/>
      <x:c r="Q10" s="36" t="str">
        <x:v>inv-cw-260322-orchard-cloud-scan.pdf</x:v>
      </x:c>
    </x:row>
    <x:row r="11" ht="23" customHeight="1">
      <x:c r="A11" s="38" t="str">
        <x:v>2026-03-26</x:v>
      </x:c>
      <x:c r="B11" s="36" t="str">
        <x:v>Sora Packaging</x:v>
      </x:c>
      <x:c r="C11" s="36" t="str">
        <x:v>V-SP-044</x:v>
      </x:c>
      <x:c r="D11" s="36" t="str">
        <x:v>CW-260326-SP</x:v>
      </x:c>
      <x:c r="E11" s="36" t="str">
        <x:v>CW-PO-260226</x:v>
      </x:c>
      <x:c r="F11" s="36" t="str">
        <x:v>CC-330 Manufacturing</x:v>
      </x:c>
      <x:c r="G11" s="36" t="str">
        <x:v>Shipping cartons and void fill</x:v>
      </x:c>
      <x:c r="H11" s="37" t="n">
        <x:v>840000</x:v>
      </x:c>
      <x:c r="I11" s="37" t="n">
        <x:v>84000</x:v>
      </x:c>
      <x:c r="J11" s="37" t="n">
        <x:v>924000</x:v>
      </x:c>
      <x:c r="K11" s="38" t="str">
        <x:v>2026-04-25</x:v>
      </x:c>
      <x:c r="L11" s="36" t="str">
        <x:v>Approved</x:v>
      </x:c>
      <x:c r="M11" s="36" t="str">
        <x:v>Matched</x:v>
      </x:c>
      <x:c r="N11" s="36" t="str">
        <x:v>No</x:v>
      </x:c>
      <x:c r="O11" s="36" t="str">
        <x:v>Released</x:v>
      </x:c>
      <x:c r="P11" s="36" t="str"/>
      <x:c r="Q11" s="36" t="str">
        <x:v>inv-cw-260326-sora-packaging-scan.pdf</x:v>
      </x:c>
    </x:row>
    <x:row r="12" ht="23" customHeight="1">
      <x:c r="A12" s="38" t="str">
        <x:v>2026-03-29</x:v>
      </x:c>
      <x:c r="B12" s="36" t="str">
        <x:v>Maple Industrial</x:v>
      </x:c>
      <x:c r="C12" s="36" t="str">
        <x:v>V-MI-016</x:v>
      </x:c>
      <x:c r="D12" s="36" t="str">
        <x:v>CW-260329-MI</x:v>
      </x:c>
      <x:c r="E12" s="36" t="str">
        <x:v>CW-PO-260229</x:v>
      </x:c>
      <x:c r="F12" s="36" t="str">
        <x:v>CC-340 Manufacturing</x:v>
      </x:c>
      <x:c r="G12" s="36" t="str">
        <x:v>Safety markings and guard panels</x:v>
      </x:c>
      <x:c r="H12" s="37" t="n">
        <x:v>700000</x:v>
      </x:c>
      <x:c r="I12" s="37" t="n">
        <x:v>70000</x:v>
      </x:c>
      <x:c r="J12" s="37" t="n">
        <x:v>770000</x:v>
      </x:c>
      <x:c r="K12" s="38" t="str">
        <x:v>2026-04-28</x:v>
      </x:c>
      <x:c r="L12" s="36" t="str">
        <x:v>Approved</x:v>
      </x:c>
      <x:c r="M12" s="36" t="str">
        <x:v>Matched</x:v>
      </x:c>
      <x:c r="N12" s="36" t="str">
        <x:v>No</x:v>
      </x:c>
      <x:c r="O12" s="36" t="str">
        <x:v>Released</x:v>
      </x:c>
      <x:c r="P12" s="36" t="str"/>
      <x:c r="Q12" s="36" t="str">
        <x:v>inv-cw-260329-maple-industrial-scan.pdf</x:v>
      </x:c>
    </x:row>
  </x:sheetData>
  <x:mergeCells>
    <x:mergeCell ref="A1:Q1"/>
    <x:mergeCell ref="A2:Q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15" hidden="0" customWidth="1"/>
    <x:col min="5" max="5" width="12" hidden="0" customWidth="1"/>
    <x:col min="6" max="6" width="38" hidden="0" customWidth="1"/>
  </x:cols>
  <x:sheetData>
    <x:row r="1" ht="30" customHeight="1">
      <x:c r="A1" s="4" t="str">
        <x:v>Register Control Checks</x:v>
      </x:c>
      <x:c r="B1" s="4" t="str">
        <x:v>Register Control Checks</x:v>
      </x:c>
      <x:c r="C1" s="4" t="str">
        <x:v>Register Control Checks</x:v>
      </x:c>
      <x:c r="D1" s="4" t="str">
        <x:v>Register Control Checks</x:v>
      </x:c>
      <x:c r="E1" s="4" t="str">
        <x:v>Register Control Checks</x:v>
      </x:c>
      <x:c r="F1" s="4" t="str">
        <x:v>Register Control Checks</x:v>
      </x:c>
    </x:row>
    <x:row r="3">
      <x:c r="A3" s="41" t="str">
        <x:v>Check</x:v>
      </x:c>
      <x:c r="B3" s="41" t="str">
        <x:v>Expected</x:v>
      </x:c>
      <x:c r="C3" s="41" t="str">
        <x:v>Actual</x:v>
      </x:c>
      <x:c r="D3" s="41" t="str">
        <x:v>Delta</x:v>
      </x:c>
      <x:c r="E3" s="41" t="str">
        <x:v>Status</x:v>
      </x:c>
      <x:c r="F3" s="41" t="str">
        <x:v>Notes</x:v>
      </x:c>
    </x:row>
    <x:row r="4">
      <x:c r="A4" s="9" t="str">
        <x:v>Invoice count</x:v>
      </x:c>
      <x:c r="B4" s="45" t="n">
        <x:v>8</x:v>
      </x:c>
      <x:c r="C4" s="45" t="n">
        <x:f>COUNTA('Invoice Register'!D5:D12)</x:f>
        <x:v>8</x:v>
      </x:c>
      <x:c r="D4" s="45" t="n">
        <x:f>C4-B4</x:f>
        <x:v>0</x:v>
      </x:c>
      <x:c r="E4" s="44" t="str">
        <x:f>IF(D4=0,"PASS","FAIL")</x:f>
        <x:v>PASS</x:v>
      </x:c>
      <x:c r="F4" s="7" t="str">
        <x:v>All eight scan PDFs represented</x:v>
      </x:c>
    </x:row>
    <x:row r="5">
      <x:c r="A5" s="9" t="str">
        <x:v>Gross total</x:v>
      </x:c>
      <x:c r="B5" s="45" t="n">
        <x:v>7574600</x:v>
      </x:c>
      <x:c r="C5" s="45" t="n">
        <x:f>SUM('Invoice Register'!J5:J12)</x:f>
        <x:v>7574600</x:v>
      </x:c>
      <x:c r="D5" s="45" t="n">
        <x:f>C5-B5</x:f>
        <x:v>0</x:v>
      </x:c>
      <x:c r="E5" s="44" t="str">
        <x:f>IF(D5=0,"PASS","FAIL")</x:f>
        <x:v>PASS</x:v>
      </x:c>
      <x:c r="F5" s="7" t="str">
        <x:v>Matches CSV and invoice register</x:v>
      </x:c>
    </x:row>
    <x:row r="6">
      <x:c r="A6" s="9" t="str">
        <x:v>Tax total</x:v>
      </x:c>
      <x:c r="B6" s="45" t="n">
        <x:v>688600</x:v>
      </x:c>
      <x:c r="C6" s="45" t="n">
        <x:f>SUM('Invoice Register'!I5:I12)</x:f>
        <x:v>688600</x:v>
      </x:c>
      <x:c r="D6" s="45" t="n">
        <x:f>C6-B6</x:f>
        <x:v>0</x:v>
      </x:c>
      <x:c r="E6" s="44" t="str">
        <x:f>IF(D6=0,"PASS","FAIL")</x:f>
        <x:v>PASS</x:v>
      </x:c>
      <x:c r="F6" s="7" t="str">
        <x:v>10% synthetic tax across invoices</x:v>
      </x:c>
    </x:row>
    <x:row r="7">
      <x:c r="A7" s="9" t="str">
        <x:v>Duplicate candidates</x:v>
      </x:c>
      <x:c r="B7" s="45" t="n">
        <x:v>0</x:v>
      </x:c>
      <x:c r="C7" s="45" t="n">
        <x:f>COUNTIF('Invoice Register'!N5:N12,"Yes")</x:f>
        <x:v>0</x:v>
      </x:c>
      <x:c r="D7" s="45" t="n">
        <x:f>C7-B7</x:f>
        <x:v>0</x:v>
      </x:c>
      <x:c r="E7" s="44" t="str">
        <x:f>IF(D7=0,"PASS","FAIL")</x:f>
        <x:v>PASS</x:v>
      </x:c>
      <x:c r="F7" s="7" t="str">
        <x:v>No duplicate flags</x:v>
      </x:c>
    </x:row>
    <x:row r="8">
      <x:c r="A8" s="9" t="str">
        <x:v>Open exceptions</x:v>
      </x:c>
      <x:c r="B8" s="45" t="n">
        <x:v>1</x:v>
      </x:c>
      <x:c r="C8" s="45" t="n">
        <x:f>COUNTIF('Invoice Register'!M5:M12,"Exception")</x:f>
        <x:v>1</x:v>
      </x:c>
      <x:c r="D8" s="45" t="n">
        <x:f>C8-B8</x:f>
        <x:v>0</x:v>
      </x:c>
      <x:c r="E8" s="44" t="str">
        <x:f>IF(D8=0,"PASS","FAIL")</x:f>
        <x:v>PASS</x:v>
      </x:c>
      <x:c r="F8" s="7" t="str">
        <x:v>Pine Harbor Facilities service evidence pending</x:v>
      </x:c>
    </x:row>
  </x:sheetData>
  <x:mergeCells>
    <x:mergeCell ref="A1:F1"/>
  </x:mergeCells>
  <x:pageMargins left="0.7" right="0.7" top="0.75" bottom="0.75" header="0.3" footer="0.3"/>
</x:worksheet>
</file>