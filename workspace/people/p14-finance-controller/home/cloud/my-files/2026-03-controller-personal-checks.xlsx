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669901bfe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22370888e9547f0"/>
    <x:sheet xmlns:r="http://schemas.openxmlformats.org/officeDocument/2006/relationships" name="Variance Bridge" sheetId="2" r:id="Rbd8197edd0f8400d"/>
    <x:sheet xmlns:r="http://schemas.openxmlformats.org/officeDocument/2006/relationships" name="March Controls" sheetId="3" r:id="Rf10e6924edb24222"/>
    <x:sheet xmlns:r="http://schemas.openxmlformats.org/officeDocument/2006/relationships" name="Checks" sheetId="4" r:id="R1cd834a171a442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"/>
    <x:numFmt numFmtId="201" formatCode="#,##0.0;(#,##0.0)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573"/>
      <x:name val="Carlito"/>
    </x:font>
    <x:font>
      <x:b/>
      <x:sz val="11"/>
      <x:color rgb="FFFFFFFF"/>
      <x:name val="Carlito"/>
    </x:font>
    <x:font>
      <x:b/>
      <x:sz val="12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b/>
      <x:sz val="11"/>
      <x:name val="Carlito"/>
    </x:font>
    <x:font>
      <x:b/>
      <x:sz val="11"/>
      <x:color rgb="FF7F6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7FAFC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2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bottom style="double">
        <x:color rgb="FF17365D"/>
      </x:bottom>
    </x:border>
    <x:border>
      <x:left style="medium">
        <x:color rgb="FF70AD47"/>
      </x:left>
      <x:right style="thin">
        <x:color rgb="FFD9E2F3"/>
      </x:right>
      <x:top style="medium">
        <x:color rgb="FF70AD47"/>
      </x:top>
      <x:bottom style="medium">
        <x:color rgb="FF70AD47"/>
      </x:bottom>
    </x:border>
    <x:border>
      <x:left style="thin">
        <x:color rgb="FFD9E2F3"/>
      </x:left>
      <x:right style="medium">
        <x:color rgb="FF70AD47"/>
      </x:right>
      <x:top style="medium">
        <x:color rgb="FF70AD47"/>
      </x:top>
      <x:bottom style="medium">
        <x:color rgb="FF70AD47"/>
      </x:bottom>
    </x:border>
  </x:borders>
  <x:cellStyleXfs count="1">
    <x:xf numFmtId="0" fontId="0" fillId="0" borderId="0"/>
  </x:cellStyleXfs>
  <x:cellXfs count="1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4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 applyAlignment="1">
      <x:alignment vertical="center"/>
    </x:xf>
    <x:xf numFmtId="0" fontId="0" fillId="4" borderId="6" xfId="0" applyNumberFormat="1" applyFont="1" applyFill="1" applyBorder="1" applyAlignment="1">
      <x:alignment vertical="center"/>
    </x:xf>
    <x:xf numFmtId="0" fontId="0" fillId="4" borderId="7" xfId="0" applyNumberFormat="1" applyFont="1" applyFill="1" applyBorder="1" applyAlignment="1">
      <x:alignment vertical="center"/>
    </x:xf>
    <x:xf numFmtId="0" fontId="0" fillId="4" borderId="8" xfId="0" applyNumberFormat="1" applyFont="1" applyFill="1" applyBorder="1" applyAlignment="1">
      <x:alignment vertical="center"/>
    </x:xf>
    <x:xf numFmtId="0" fontId="0" fillId="4" borderId="9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0" fontId="4" fillId="5" borderId="8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0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7" borderId="12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0" fontId="0" fillId="7" borderId="13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8" borderId="5" xfId="0" applyNumberFormat="1" applyFont="1" applyFill="1" applyBorder="1" applyAlignment="1">
      <x:alignment vertical="center"/>
    </x:xf>
    <x:xf numFmtId="0" fontId="0" fillId="8" borderId="17" xfId="0" applyNumberFormat="1" applyFont="1" applyFill="1" applyBorder="1" applyAlignment="1">
      <x:alignment vertical="center"/>
    </x:xf>
    <x:xf numFmtId="0" fontId="0" fillId="8" borderId="8" xfId="0" applyNumberFormat="1" applyFont="1" applyFill="1" applyBorder="1" applyAlignment="1">
      <x:alignment vertical="center"/>
    </x:xf>
    <x:xf numFmtId="0" fontId="6" fillId="8" borderId="5" xfId="0" applyNumberFormat="1" applyFont="1" applyFill="1" applyBorder="1" applyAlignment="1">
      <x:alignment vertical="center"/>
    </x:xf>
    <x:xf numFmtId="0" fontId="6" fillId="8" borderId="17" xfId="0" applyNumberFormat="1" applyFont="1" applyFill="1" applyBorder="1" applyAlignment="1">
      <x:alignment vertical="center"/>
    </x:xf>
    <x:xf numFmtId="0" fontId="6" fillId="8" borderId="8" xfId="0" applyNumberFormat="1" applyFont="1" applyFill="1" applyBorder="1" applyAlignment="1">
      <x:alignment vertical="center"/>
    </x:xf>
    <x:xf numFmtId="0" fontId="6" fillId="8" borderId="5" xfId="0" applyNumberFormat="1" applyFont="1" applyFill="1" applyBorder="1" applyAlignment="1">
      <x:alignment horizontal="center" vertical="center"/>
    </x:xf>
    <x:xf numFmtId="0" fontId="6" fillId="8" borderId="17" xfId="0" applyNumberFormat="1" applyFont="1" applyFill="1" applyBorder="1" applyAlignment="1">
      <x:alignment horizontal="center" vertical="center"/>
    </x:xf>
    <x:xf numFmtId="0" fontId="6" fillId="8" borderId="8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9" xfId="0" applyNumberFormat="1" applyFont="1" applyFill="1" applyBorder="1"/>
    <x:xf numFmtId="0" fontId="0" fillId="8" borderId="7" xfId="0" applyNumberFormat="1" applyFont="1" applyFill="1" applyBorder="1"/>
    <x:xf numFmtId="0" fontId="0" fillId="8" borderId="9" xfId="0" applyNumberFormat="1" applyFont="1" applyFill="1" applyBorder="1"/>
    <x:xf numFmtId="0" fontId="7" fillId="8" borderId="7" xfId="0" applyNumberFormat="1" applyFont="1" applyFill="1" applyBorder="1"/>
    <x:xf numFmtId="0" fontId="7" fillId="8" borderId="9" xfId="0" applyNumberFormat="1" applyFont="1" applyFill="1" applyBorder="1"/>
    <x:xf numFmtId="0" fontId="7" fillId="8" borderId="20" xfId="0" applyNumberFormat="1" applyFont="1" applyFill="1" applyBorder="1"/>
    <x:xf numFmtId="0" fontId="7" fillId="8" borderId="21" xfId="0" applyNumberFormat="1" applyFont="1" applyFill="1" applyBorder="1"/>
    <x:xf numFmtId="201" fontId="0" fillId="0" borderId="5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7" fillId="5" borderId="19" xfId="0" applyNumberFormat="1" applyFont="1" applyFill="1" applyBorder="1"/>
    <x:xf numFmtId="201" fontId="0" fillId="0" borderId="0" xfId="0" applyNumberFormat="1" applyFont="1" applyFill="1" applyBorder="1"/>
    <x:xf numFmtId="201" fontId="0" fillId="0" borderId="6" xfId="0" applyNumberFormat="1" applyFont="1" applyFill="1" applyBorder="1"/>
    <x:xf numFmtId="201" fontId="0" fillId="0" borderId="18" xfId="0" applyNumberFormat="1" applyFont="1" applyFill="1" applyBorder="1"/>
    <x:xf numFmtId="201" fontId="7" fillId="8" borderId="21" xfId="0" applyNumberFormat="1" applyFont="1" applyFill="1" applyBorder="1"/>
    <x:xf numFmtId="0" fontId="0" fillId="8" borderId="6" xfId="0" applyNumberFormat="1" applyFont="1" applyFill="1" applyBorder="1" applyAlignment="1">
      <x:alignment vertical="center"/>
    </x:xf>
    <x:xf numFmtId="0" fontId="6" fillId="8" borderId="6" xfId="0" applyNumberFormat="1" applyFont="1" applyFill="1" applyBorder="1" applyAlignment="1">
      <x:alignment vertical="center"/>
    </x:xf>
    <x:xf numFmtId="0" fontId="6" fillId="8" borderId="6" xfId="0" applyNumberFormat="1" applyFont="1" applyFill="1" applyBorder="1" applyAlignment="1">
      <x:alignment horizontal="center" vertical="center"/>
    </x:xf>
    <x:xf numFmtId="0" fontId="0" fillId="7" borderId="18" xfId="0" applyNumberFormat="1" applyFont="1" applyFill="1" applyBorder="1" applyAlignment="1">
      <x:alignment vertical="center"/>
    </x:xf>
    <x:xf numFmtId="0" fontId="0" fillId="7" borderId="9" xfId="0" applyNumberFormat="1" applyFont="1" applyFill="1" applyBorder="1" applyAlignment="1">
      <x:alignment vertical="center"/>
    </x:xf>
    <x:xf numFmtId="0" fontId="8" fillId="7" borderId="18" xfId="0" applyNumberFormat="1" applyFont="1" applyFill="1" applyBorder="1" applyAlignment="1">
      <x:alignment vertical="center"/>
    </x:xf>
    <x:xf numFmtId="0" fontId="8" fillId="7" borderId="9" xfId="0" applyNumberFormat="1" applyFont="1" applyFill="1" applyBorder="1" applyAlignment="1">
      <x:alignment vertical="center"/>
    </x:xf>
    <x:xf numFmtId="0" fontId="8" fillId="7" borderId="18" xfId="0" applyNumberFormat="1" applyFont="1" applyFill="1" applyBorder="1" applyAlignment="1">
      <x:alignment horizontal="center" vertical="center"/>
    </x:xf>
    <x:xf numFmtId="0" fontId="8" fillId="7" borderId="9" xfId="0" applyNumberFormat="1" applyFont="1" applyFill="1" applyBorder="1" applyAlignment="1">
      <x:alignment horizontal="center" vertical="center"/>
    </x:xf>
    <x:xf numFmtId="201" fontId="0" fillId="0" borderId="9" xfId="0" applyNumberFormat="1" applyFont="1" applyFill="1" applyBorder="1"/>
    <x:xf numFmtId="201" fontId="0" fillId="0" borderId="6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6" xfId="0" applyNumberFormat="1" applyFont="1" applyFill="1" applyBorder="1"/>
    <x:xf numFmtId="200" fontId="0" fillId="0" borderId="18" xfId="0" applyNumberFormat="1" applyFont="1" applyFill="1" applyBorder="1"/>
    <x:xf numFmtId="200" fontId="0" fillId="0" borderId="9" xfId="0" applyNumberFormat="1" applyFont="1" applyFill="1" applyBorder="1"/>
    <x:xf numFmtId="200" fontId="0" fillId="0" borderId="6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0" fontId="0" fillId="8" borderId="18" xfId="0" applyNumberFormat="1" applyFont="1" applyFill="1" applyBorder="1" applyAlignment="1">
      <x:alignment vertical="center"/>
    </x:xf>
    <x:xf numFmtId="0" fontId="0" fillId="8" borderId="9" xfId="0" applyNumberFormat="1" applyFont="1" applyFill="1" applyBorder="1" applyAlignment="1">
      <x:alignment vertical="center"/>
    </x:xf>
    <x:xf numFmtId="0" fontId="6" fillId="8" borderId="18" xfId="0" applyNumberFormat="1" applyFont="1" applyFill="1" applyBorder="1" applyAlignment="1">
      <x:alignment vertical="center"/>
    </x:xf>
    <x:xf numFmtId="0" fontId="6" fillId="8" borderId="9" xfId="0" applyNumberFormat="1" applyFont="1" applyFill="1" applyBorder="1" applyAlignment="1">
      <x:alignment vertical="center"/>
    </x:xf>
    <x:xf numFmtId="0" fontId="6" fillId="8" borderId="18" xfId="0" applyNumberFormat="1" applyFont="1" applyFill="1" applyBorder="1" applyAlignment="1">
      <x:alignment horizontal="center" vertical="center"/>
    </x:xf>
    <x:xf numFmtId="0" fontId="6" fillId="8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f9dd537b4148ab" /><Relationship Type="http://schemas.openxmlformats.org/officeDocument/2006/relationships/theme" Target="/xl/theme/theme1.xml" Id="R91d09b0ba95143e7" /><Relationship Type="http://schemas.openxmlformats.org/officeDocument/2006/relationships/sharedStrings" Target="/xl/sharedStrings.xml" Id="R364e5b2d52604799" /><Relationship Type="http://schemas.openxmlformats.org/officeDocument/2006/relationships/worksheet" Target="/xl/worksheets/sheet1.xml" Id="R022370888e9547f0" /><Relationship Type="http://schemas.openxmlformats.org/officeDocument/2006/relationships/worksheet" Target="/xl/worksheets/sheet2.xml" Id="Rbd8197edd0f8400d" /><Relationship Type="http://schemas.openxmlformats.org/officeDocument/2006/relationships/worksheet" Target="/xl/worksheets/sheet3.xml" Id="Rf10e6924edb24222" /><Relationship Type="http://schemas.openxmlformats.org/officeDocument/2006/relationships/worksheet" Target="/xl/worksheets/sheet4.xml" Id="R1cd834a171a442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5" hidden="0" customWidth="1"/>
    <x:col min="8" max="8" width="15" hidden="0" customWidth="1"/>
  </x:cols>
  <x:sheetData>
    <x:row r="1" ht="30" customHeight="1">
      <x:c r="A1" s="4" t="str">
        <x:v>Cedar Works | Controller personal checks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FY2026 Q1 / March close  •  status as of 2026-04-06  •  JPY millions unless noted</x:v>
      </x:c>
      <x:c r="B2" s="7"/>
      <x:c r="C2" s="7"/>
      <x:c r="D2" s="7"/>
      <x:c r="E2" s="7"/>
      <x:c r="F2" s="7"/>
      <x:c r="G2" s="7"/>
      <x:c r="H2" s="7"/>
    </x:row>
    <x:row r="4">
      <x:c r="A4" s="18" t="str">
        <x:v>KPI</x:v>
      </x:c>
      <x:c r="B4" s="19" t="str">
        <x:v>Q1 / March result</x:v>
      </x:c>
      <x:c r="C4" s="19" t="str">
        <x:v>Control lens</x:v>
      </x:c>
      <x:c r="D4" s="19" t="str">
        <x:v>KPI</x:v>
      </x:c>
      <x:c r="E4" s="19" t="str">
        <x:v>Q1 / March result</x:v>
      </x:c>
      <x:c r="F4" s="20" t="str">
        <x:v>Control lens</x:v>
      </x:c>
      <x:c r="G4" t="str"/>
      <x:c r="H4" t="str"/>
    </x:row>
    <x:row r="5">
      <x:c r="A5" s="28" t="str">
        <x:v>Q1 revenue</x:v>
      </x:c>
      <x:c r="B5" s="38" t="n">
        <x:f>'Checks'!B4</x:f>
        <x:v>1842</x:v>
      </x:c>
      <x:c r="C5" s="29" t="str">
        <x:v>Anchor check</x:v>
      </x:c>
      <x:c r="D5" s="29" t="str">
        <x:v>Bank cash</x:v>
      </x:c>
      <x:c r="E5" s="38" t="n">
        <x:f>'Checks'!B6</x:f>
        <x:v>486.2</x:v>
      </x:c>
      <x:c r="F5" s="30" t="str">
        <x:v>Bank statement</x:v>
      </x:c>
    </x:row>
    <x:row r="6">
      <x:c r="A6" s="31" t="str">
        <x:v>Q1 EBITDA</x:v>
      </x:c>
      <x:c r="B6" s="39" t="n">
        <x:f>'Checks'!B5</x:f>
        <x:v>222</x:v>
      </x:c>
      <x:c r="C6" s="32" t="str">
        <x:v>Anchor check</x:v>
      </x:c>
      <x:c r="D6" s="32" t="str">
        <x:v>Ledger cash</x:v>
      </x:c>
      <x:c r="E6" s="39" t="n">
        <x:f>'Checks'!B7</x:f>
        <x:v>498.6</x:v>
      </x:c>
      <x:c r="F6" s="33" t="str">
        <x:v>GL balance</x:v>
      </x:c>
    </x:row>
    <x:row r="8">
      <x:c r="A8" s="42" t="str">
        <x:v>Cash variance conclusion</x:v>
      </x:c>
      <x:c r="B8" s="42"/>
      <x:c r="C8" s="42"/>
      <x:c r="D8" s="42"/>
      <x:c r="E8" s="42"/>
      <x:c r="F8" s="42"/>
      <x:c r="G8" s="42"/>
      <x:c r="H8" s="42"/>
    </x:row>
    <x:row r="9">
      <x:c r="A9" s="56" t="str">
        <x:f>"Bank cash is "&amp;TEXT('Checks'!B6,"#,##0.0")&amp;" versus ledger cash of "&amp;TEXT('Checks'!B7,"#,##0.0")&amp;"; the JPY "&amp;TEXT(ABS('Checks'!B8),"#,##0.0")&amp;"m unfavorable variance is fully bridged."</x:f>
        <x:v>Bank cash is 486.2 versus ledger cash of 498.6; the JPY 12.4m unfavorable variance is fully bridged.</x:v>
      </x:c>
      <x:c r="B9" s="57"/>
      <x:c r="C9" s="57"/>
      <x:c r="D9" s="57"/>
      <x:c r="E9" s="57"/>
      <x:c r="F9" s="57"/>
      <x:c r="G9" s="57"/>
      <x:c r="H9" s="58"/>
    </x:row>
    <x:row r="10">
      <x:c r="A10" s="59"/>
      <x:c r="B10" s="60"/>
      <x:c r="C10" s="60"/>
      <x:c r="D10" s="60"/>
      <x:c r="E10" s="60"/>
      <x:c r="F10" s="60"/>
      <x:c r="G10" s="60"/>
      <x:c r="H10" s="61"/>
    </x:row>
    <x:row r="12">
      <x:c r="A12" s="42" t="str">
        <x:v>Close readiness</x:v>
      </x:c>
      <x:c r="B12" s="42"/>
      <x:c r="C12" s="42"/>
      <x:c r="D12" s="42"/>
      <x:c r="E12" s="42"/>
      <x:c r="F12" s="42"/>
      <x:c r="G12" s="42"/>
      <x:c r="H12" s="42"/>
    </x:row>
    <x:row r="13">
      <x:c r="A13" s="18" t="str">
        <x:v>Control</x:v>
      </x:c>
      <x:c r="B13" s="19" t="str">
        <x:v>Result</x:v>
      </x:c>
      <x:c r="C13" s="19" t="str">
        <x:v>Status</x:v>
      </x:c>
      <x:c r="D13" s="20" t="str">
        <x:v>Owner</x:v>
      </x:c>
    </x:row>
    <x:row r="14">
      <x:c r="A14" s="71" t="str">
        <x:v>Q1 anchors</x:v>
      </x:c>
      <x:c r="B14" s="72" t="str">
        <x:f>'Checks'!D4</x:f>
        <x:v>Q1 revenue = 1,842.0</x:v>
      </x:c>
      <x:c r="C14" s="86" t="str">
        <x:f>'Checks'!E4</x:f>
        <x:v>PASS</x:v>
      </x:c>
      <x:c r="D14" s="73" t="str">
        <x:v>Controller</x:v>
      </x:c>
    </x:row>
    <x:row r="15">
      <x:c r="A15" s="74" t="str">
        <x:v>Cash reconciliation</x:v>
      </x:c>
      <x:c r="B15" s="75" t="str">
        <x:f>'Checks'!D8</x:f>
        <x:v>Cash variance = (12.4)</x:v>
      </x:c>
      <x:c r="C15" s="87" t="str">
        <x:f>'Checks'!E8</x:f>
        <x:v>PASS</x:v>
      </x:c>
      <x:c r="D15" s="76" t="str">
        <x:v>Treasury</x:v>
      </x:c>
    </x:row>
    <x:row r="16">
      <x:c r="A16" s="77" t="str">
        <x:v>Bridge completion</x:v>
      </x:c>
      <x:c r="B16" s="78" t="str">
        <x:f>'Checks'!D9</x:f>
        <x:v>Bridge total = 12.4</x:v>
      </x:c>
      <x:c r="C16" s="88" t="str">
        <x:f>'Checks'!E9</x:f>
        <x:v>PASS</x:v>
      </x:c>
      <x:c r="D16" s="79" t="str">
        <x:v>Accounting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3" hidden="0" customWidth="1"/>
    <x:col min="4" max="4" width="33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4" t="str">
        <x:v>Cash variance bridge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March close reconciliation  •  Driver total must equal the ledger-to-bank variance</x:v>
      </x:c>
      <x:c r="B2" s="7"/>
      <x:c r="C2" s="7"/>
      <x:c r="D2" s="7"/>
      <x:c r="E2" s="7"/>
      <x:c r="F2" s="7"/>
      <x:c r="G2" s="7"/>
      <x:c r="H2" s="7"/>
    </x:row>
    <x:row r="4">
      <x:c r="A4" s="18" t="str">
        <x:v>Driver</x:v>
      </x:c>
      <x:c r="B4" s="19" t="str">
        <x:v>Amount (JPY m)</x:v>
      </x:c>
      <x:c r="C4" s="19" t="str">
        <x:v>Nature</x:v>
      </x:c>
      <x:c r="D4" s="19" t="str">
        <x:v>Close treatment</x:v>
      </x:c>
      <x:c r="E4" s="20" t="str">
        <x:v>Role owner</x:v>
      </x:c>
    </x:row>
    <x:row r="5">
      <x:c r="A5" s="71" t="str">
        <x:v>Payment timing</x:v>
      </x:c>
      <x:c r="B5" s="98" t="n">
        <x:v>7.2</x:v>
      </x:c>
      <x:c r="C5" s="72" t="str">
        <x:v>Timing</x:v>
      </x:c>
      <x:c r="D5" s="72" t="str">
        <x:v>Reverse with bank clearing</x:v>
      </x:c>
      <x:c r="E5" s="73" t="str">
        <x:v>Treasury</x:v>
      </x:c>
    </x:row>
    <x:row r="6">
      <x:c r="A6" s="74" t="str">
        <x:v>Inbound settlement timing</x:v>
      </x:c>
      <x:c r="B6" s="99" t="n">
        <x:v>3.1</x:v>
      </x:c>
      <x:c r="C6" s="75" t="str">
        <x:v>Timing</x:v>
      </x:c>
      <x:c r="D6" s="75" t="str">
        <x:v>Match to receivable clearing</x:v>
      </x:c>
      <x:c r="E6" s="76" t="str">
        <x:v>AR lead</x:v>
      </x:c>
    </x:row>
    <x:row r="7">
      <x:c r="A7" s="74" t="str">
        <x:v>Posting cut-off</x:v>
      </x:c>
      <x:c r="B7" s="99" t="n">
        <x:v>1.3</x:v>
      </x:c>
      <x:c r="C7" s="75" t="str">
        <x:v>Permanent / correction</x:v>
      </x:c>
      <x:c r="D7" s="75" t="str">
        <x:v>Book correcting entry</x:v>
      </x:c>
      <x:c r="E7" s="76" t="str">
        <x:v>Accounting</x:v>
      </x:c>
    </x:row>
    <x:row r="8">
      <x:c r="A8" s="77" t="str">
        <x:v>Classification adjustment</x:v>
      </x:c>
      <x:c r="B8" s="100" t="n">
        <x:v>0.8</x:v>
      </x:c>
      <x:c r="C8" s="78" t="str">
        <x:v>Permanent / correction</x:v>
      </x:c>
      <x:c r="D8" s="78" t="str">
        <x:v>Reclass to cash activity</x:v>
      </x:c>
      <x:c r="E8" s="79" t="str">
        <x:v>FP&amp;A</x:v>
      </x:c>
    </x:row>
    <x:row r="9">
      <x:c r="A9" s="91" t="str">
        <x:v>Total bridge</x:v>
      </x:c>
      <x:c r="B9" s="101" t="n">
        <x:f>SUM(B5:B8)</x:f>
        <x:v>12.400000000000002</x:v>
      </x:c>
      <x:c r="C9" s="91" t="str"/>
      <x:c r="D9" s="91" t="str"/>
      <x:c r="E9" s="91" t="str"/>
    </x:row>
    <x:row r="10">
      <x:c r="B10" s="102"/>
    </x:row>
    <x:row r="11">
      <x:c r="A11" s="62" t="str">
        <x:v>Ledger cash</x:v>
      </x:c>
      <x:c r="B11" s="103" t="n">
        <x:f>'Checks'!B7</x:f>
        <x:v>498.6</x:v>
      </x:c>
      <x:c r="C11" t="str"/>
      <x:c r="D11" t="str"/>
      <x:c r="E11" t="str"/>
    </x:row>
    <x:row r="12">
      <x:c r="A12" s="65" t="str">
        <x:v>Less: bridge drivers</x:v>
      </x:c>
      <x:c r="B12" s="104" t="n">
        <x:f>-B9</x:f>
        <x:v>-12.400000000000002</x:v>
      </x:c>
      <x:c r="C12" t="str"/>
      <x:c r="D12" t="str"/>
      <x:c r="E12" t="str"/>
    </x:row>
    <x:row r="13">
      <x:c r="A13" s="65" t="str">
        <x:v>Implied bank cash</x:v>
      </x:c>
      <x:c r="B13" s="104" t="n">
        <x:f>B11+B12</x:f>
        <x:v>486.20000000000005</x:v>
      </x:c>
      <x:c r="C13" t="str"/>
      <x:c r="D13" t="str"/>
      <x:c r="E13" t="str"/>
    </x:row>
    <x:row r="14">
      <x:c r="A14" s="65" t="str">
        <x:v>Reported bank cash</x:v>
      </x:c>
      <x:c r="B14" s="104" t="n">
        <x:f>'Checks'!B6</x:f>
        <x:v>486.2</x:v>
      </x:c>
      <x:c r="C14" t="str"/>
      <x:c r="D14" t="str"/>
      <x:c r="E14" t="str"/>
    </x:row>
    <x:row r="15">
      <x:c r="A15" s="96" t="str">
        <x:v>Reconciliation delta</x:v>
      </x:c>
      <x:c r="B15" s="105" t="n">
        <x:f>B13-B14</x:f>
        <x:v>5.684341886080802e-14</x:v>
      </x:c>
      <x:c r="C15" t="str"/>
      <x:c r="D15" t="str"/>
      <x:c r="E15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  <x:col min="3" max="3" width="35" hidden="0" customWidth="1"/>
    <x:col min="4" max="4" width="16" hidden="0" customWidth="1"/>
    <x:col min="5" max="5" width="14" hidden="0" customWidth="1"/>
    <x:col min="6" max="6" width="14" hidden="0" customWidth="1"/>
    <x:col min="7" max="7" width="15" hidden="0" customWidth="1"/>
    <x:col min="8" max="8" width="15" hidden="0" customWidth="1"/>
  </x:cols>
  <x:sheetData>
    <x:row r="1" ht="30" customHeight="1">
      <x:c r="A1" s="4" t="str">
        <x:v>March close controls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Control log for the April 6 controller review</x:v>
      </x:c>
      <x:c r="B2" s="7"/>
      <x:c r="C2" s="7"/>
      <x:c r="D2" s="7"/>
      <x:c r="E2" s="7"/>
      <x:c r="F2" s="7"/>
      <x:c r="G2" s="7"/>
      <x:c r="H2" s="7"/>
    </x:row>
    <x:row r="4">
      <x:c r="A4" s="18" t="str">
        <x:v>Control</x:v>
      </x:c>
      <x:c r="B4" s="19" t="str">
        <x:v>Evidence</x:v>
      </x:c>
      <x:c r="C4" s="19" t="str">
        <x:v>Timing / permanent lens</x:v>
      </x:c>
      <x:c r="D4" s="19" t="str">
        <x:v>Owner</x:v>
      </x:c>
      <x:c r="E4" s="19" t="str">
        <x:v>Due</x:v>
      </x:c>
      <x:c r="F4" s="20" t="str">
        <x:v>Status</x:v>
      </x:c>
    </x:row>
    <x:row r="5">
      <x:c r="A5" s="71" t="str">
        <x:v>Bank-to-ledger cash tie-out</x:v>
      </x:c>
      <x:c r="B5" s="72" t="str">
        <x:v>Reconciliation bridge</x:v>
      </x:c>
      <x:c r="C5" s="72" t="str">
        <x:v>Timing and correction items separated</x:v>
      </x:c>
      <x:c r="D5" s="72" t="str">
        <x:v>Treasury</x:v>
      </x:c>
      <x:c r="E5" s="72" t="str">
        <x:v>2026-04-06</x:v>
      </x:c>
      <x:c r="F5" s="108" t="str">
        <x:v>Complete</x:v>
      </x:c>
    </x:row>
    <x:row r="6">
      <x:c r="A6" s="74" t="str">
        <x:v>Payment clearing follow-up</x:v>
      </x:c>
      <x:c r="B6" s="75" t="str">
        <x:v>Bank clearing queue</x:v>
      </x:c>
      <x:c r="C6" s="75" t="str">
        <x:v>Timing: settle in next clearing cycle</x:v>
      </x:c>
      <x:c r="D6" s="75" t="str">
        <x:v>Treasury</x:v>
      </x:c>
      <x:c r="E6" s="75" t="str">
        <x:v>2026-04-08</x:v>
      </x:c>
      <x:c r="F6" s="113" t="str">
        <x:v>Open</x:v>
      </x:c>
    </x:row>
    <x:row r="7">
      <x:c r="A7" s="74" t="str">
        <x:v>Posting cut-off correction</x:v>
      </x:c>
      <x:c r="B7" s="75" t="str">
        <x:v>Journal support</x:v>
      </x:c>
      <x:c r="C7" s="75" t="str">
        <x:v>Permanent: correcting entry</x:v>
      </x:c>
      <x:c r="D7" s="75" t="str">
        <x:v>Accounting</x:v>
      </x:c>
      <x:c r="E7" s="75" t="str">
        <x:v>2026-04-07</x:v>
      </x:c>
      <x:c r="F7" s="113" t="str">
        <x:v>Open</x:v>
      </x:c>
    </x:row>
    <x:row r="8">
      <x:c r="A8" s="77" t="str">
        <x:v>Classification reclass</x:v>
      </x:c>
      <x:c r="B8" s="78" t="str">
        <x:v>Mapping review</x:v>
      </x:c>
      <x:c r="C8" s="78" t="str">
        <x:v>Permanent: presentation correction</x:v>
      </x:c>
      <x:c r="D8" s="78" t="str">
        <x:v>FP&amp;A</x:v>
      </x:c>
      <x:c r="E8" s="78" t="str">
        <x:v>2026-04-08</x:v>
      </x:c>
      <x:c r="F8" s="114" t="str">
        <x:v>Open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5" hidden="0" customWidth="1"/>
    <x:col min="4" max="4" width="30" hidden="0" customWidth="1"/>
    <x:col min="5" max="5" width="14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4" t="str">
        <x:v>Anchor &amp; formula checks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Visible control math  •  all checks are formula-driven</x:v>
      </x:c>
      <x:c r="B2" s="7"/>
      <x:c r="C2" s="7"/>
      <x:c r="D2" s="7"/>
      <x:c r="E2" s="7"/>
      <x:c r="F2" s="7"/>
      <x:c r="G2" s="7"/>
      <x:c r="H2" s="7"/>
    </x:row>
    <x:row r="3">
      <x:c r="A3" s="18" t="str">
        <x:v>Input anchor</x:v>
      </x:c>
      <x:c r="B3" s="20" t="str">
        <x:v>Value</x:v>
      </x:c>
      <x:c r="D3" s="18" t="str">
        <x:v>Formula check</x:v>
      </x:c>
      <x:c r="E3" s="20" t="str">
        <x:v>Result</x:v>
      </x:c>
    </x:row>
    <x:row r="4">
      <x:c r="A4" s="71" t="str">
        <x:v>Q1 revenue (JPY m)</x:v>
      </x:c>
      <x:c r="B4" s="116" t="n">
        <x:v>1842</x:v>
      </x:c>
      <x:c r="D4" s="71" t="str">
        <x:v>Q1 revenue = 1,842.0</x:v>
      </x:c>
      <x:c r="E4" s="108" t="str">
        <x:f>IF(B4=1842,"PASS","FAIL")</x:f>
        <x:v>PASS</x:v>
      </x:c>
    </x:row>
    <x:row r="5">
      <x:c r="A5" s="74" t="str">
        <x:v>Q1 EBITDA (JPY m)</x:v>
      </x:c>
      <x:c r="B5" s="117" t="n">
        <x:v>222</x:v>
      </x:c>
      <x:c r="D5" s="74" t="str">
        <x:v>Q1 EBITDA = 222.0</x:v>
      </x:c>
      <x:c r="E5" s="130" t="str">
        <x:f>IF(B5=222,"PASS","FAIL")</x:f>
        <x:v>PASS</x:v>
      </x:c>
    </x:row>
    <x:row r="6">
      <x:c r="A6" s="74" t="str">
        <x:v>Bank cash (JPY m)</x:v>
      </x:c>
      <x:c r="B6" s="117" t="n">
        <x:v>486.2</x:v>
      </x:c>
      <x:c r="D6" s="74" t="str">
        <x:v>Bank cash = 486.2</x:v>
      </x:c>
      <x:c r="E6" s="130" t="str">
        <x:f>IF(B6=486.2,"PASS","FAIL")</x:f>
        <x:v>PASS</x:v>
      </x:c>
    </x:row>
    <x:row r="7">
      <x:c r="A7" s="74" t="str">
        <x:v>Ledger cash (JPY m)</x:v>
      </x:c>
      <x:c r="B7" s="117" t="n">
        <x:v>498.6</x:v>
      </x:c>
      <x:c r="D7" s="74" t="str">
        <x:v>Ledger cash = 498.6</x:v>
      </x:c>
      <x:c r="E7" s="130" t="str">
        <x:f>IF(B7=498.6,"PASS","FAIL")</x:f>
        <x:v>PASS</x:v>
      </x:c>
    </x:row>
    <x:row r="8">
      <x:c r="A8" s="77" t="str">
        <x:v>Variance: bank less ledger (JPY m)</x:v>
      </x:c>
      <x:c r="B8" s="118" t="n">
        <x:f>B6-B7</x:f>
        <x:v>-12.400000000000034</x:v>
      </x:c>
      <x:c r="D8" s="74" t="str">
        <x:v>Cash variance = (12.4)</x:v>
      </x:c>
      <x:c r="E8" s="130" t="str">
        <x:f>IF(B8=-12.4,"PASS","FAIL")</x:f>
        <x:v>PASS</x:v>
      </x:c>
    </x:row>
    <x:row r="9">
      <x:c r="D9" s="77" t="str">
        <x:v>Bridge total = 12.4</x:v>
      </x:c>
      <x:c r="E9" s="131" t="str">
        <x:f>IF(B15=12.4,"PASS","FAIL")</x:f>
        <x:v>PASS</x:v>
      </x:c>
    </x:row>
    <x:row r="10">
      <x:c r="A10" s="18" t="str">
        <x:v>Bridge driver</x:v>
      </x:c>
      <x:c r="B10" s="20" t="str">
        <x:v>Amount (JPY m)</x:v>
      </x:c>
    </x:row>
    <x:row r="11">
      <x:c r="A11" s="71" t="str">
        <x:v>Payment timing</x:v>
      </x:c>
      <x:c r="B11" s="123" t="n">
        <x:v>7.2</x:v>
      </x:c>
    </x:row>
    <x:row r="12">
      <x:c r="A12" s="74" t="str">
        <x:v>Inbound settlement timing</x:v>
      </x:c>
      <x:c r="B12" s="124" t="n">
        <x:v>3.1</x:v>
      </x:c>
    </x:row>
    <x:row r="13">
      <x:c r="A13" s="74" t="str">
        <x:v>Posting cut-off</x:v>
      </x:c>
      <x:c r="B13" s="124" t="n">
        <x:v>1.3</x:v>
      </x:c>
    </x:row>
    <x:row r="14">
      <x:c r="A14" s="74" t="str">
        <x:v>Classification adjustment</x:v>
      </x:c>
      <x:c r="B14" s="124" t="n">
        <x:v>0.8</x:v>
      </x:c>
    </x:row>
    <x:row r="15">
      <x:c r="A15" s="77" t="str">
        <x:v>Bridge total</x:v>
      </x:c>
      <x:c r="B15" s="125" t="n">
        <x:f>SUM(B11:B14)</x:f>
        <x:v>12.400000000000002</x:v>
      </x:c>
    </x:row>
  </x:sheetData>
  <x:mergeCells>
    <x:mergeCell ref="A1:H1"/>
    <x:mergeCell ref="A2:H2"/>
  </x:mergeCells>
  <x:pageMargins left="0.7" right="0.7" top="0.75" bottom="0.75" header="0.3" footer="0.3"/>
</x:worksheet>
</file>