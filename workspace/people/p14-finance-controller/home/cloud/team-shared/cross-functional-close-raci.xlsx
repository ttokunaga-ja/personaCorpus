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899264e50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54a73d0cd24b69"/>
    <x:sheet xmlns:r="http://schemas.openxmlformats.org/officeDocument/2006/relationships" name="RACI" sheetId="2" r:id="Rcfc64bc373d047b4"/>
    <x:sheet xmlns:r="http://schemas.openxmlformats.org/officeDocument/2006/relationships" name="Checks" sheetId="3" r:id="R6ee0513eda4e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i/>
      <x:sz val="11"/>
      <x:color rgb="FF4F5B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3" fillId="2" borderId="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201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2bb1345f344dd" /><Relationship Type="http://schemas.openxmlformats.org/officeDocument/2006/relationships/theme" Target="/xl/theme/theme1.xml" Id="R15b04d0925dc4d7f" /><Relationship Type="http://schemas.openxmlformats.org/officeDocument/2006/relationships/sharedStrings" Target="/xl/sharedStrings.xml" Id="R20845fa4879c4704" /><Relationship Type="http://schemas.openxmlformats.org/officeDocument/2006/relationships/worksheet" Target="/xl/worksheets/sheet1.xml" Id="Rbf54a73d0cd24b69" /><Relationship Type="http://schemas.openxmlformats.org/officeDocument/2006/relationships/worksheet" Target="/xl/worksheets/sheet2.xml" Id="Rcfc64bc373d047b4" /><Relationship Type="http://schemas.openxmlformats.org/officeDocument/2006/relationships/worksheet" Target="/xl/worksheets/sheet3.xml" Id="R6ee0513eda4e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4" max="4" width="23" hidden="0" customWidth="1"/>
    <x:col min="6" max="6" width="23" hidden="0" customWidth="1"/>
    <x:col min="2" max="2" width="17" hidden="0" customWidth="1"/>
    <x:col min="5" max="5" width="17" hidden="0" customWidth="1"/>
    <x:col min="7" max="7" width="17" hidden="0" customWidth="1"/>
    <x:col min="3" max="3" width="22" hidden="0" customWidth="1"/>
    <x:col min="8" max="8" width="22" hidden="0" customWidth="1"/>
  </x:cols>
  <x:sheetData>
    <x:row r="1" ht="28" customHeight="1">
      <x:c r="A1" s="30" t="str">
        <x:v>Cedar Works | Cross-functional March Close RACI</x:v>
      </x:c>
      <x:c r="B1" s="30"/>
      <x:c r="C1" s="30"/>
      <x:c r="D1" s="30"/>
      <x:c r="E1" s="30"/>
      <x:c r="F1" s="30"/>
      <x:c r="G1" s="30"/>
      <x:c r="H1" s="30"/>
    </x:row>
    <x:row r="2">
      <x:c r="A2" s="31" t="str">
        <x:v>Close completed 2026-04-06 | FY2026 Q1 shared operating view | Currency: JPY millions</x:v>
      </x:c>
      <x:c r="B2" s="31"/>
      <x:c r="C2" s="31"/>
      <x:c r="D2" s="31"/>
      <x:c r="E2" s="31"/>
      <x:c r="F2" s="31"/>
      <x:c r="G2" s="31"/>
      <x:c r="H2" s="31"/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15" t="str">
        <x:v>KPI</x:v>
      </x:c>
      <x:c r="B4" s="15" t="str">
        <x:v>Value</x:v>
      </x:c>
      <x:c r="C4" s="32"/>
      <x:c r="D4" s="15" t="str">
        <x:v>Close control</x:v>
      </x:c>
      <x:c r="E4" s="15" t="str">
        <x:v>Status</x:v>
      </x:c>
      <x:c r="F4" s="32"/>
      <x:c r="G4" s="32"/>
      <x:c r="H4" s="32"/>
    </x:row>
    <x:row r="5">
      <x:c r="A5" s="33" t="str">
        <x:v>Q1 Revenue</x:v>
      </x:c>
      <x:c r="B5" s="34" t="n">
        <x:v>1842</x:v>
      </x:c>
      <x:c r="C5" s="32"/>
      <x:c r="D5" s="33" t="str">
        <x:v>Close completion</x:v>
      </x:c>
      <x:c r="E5" s="35" t="str">
        <x:v>2026-04-06</x:v>
      </x:c>
      <x:c r="F5" s="32"/>
      <x:c r="G5" s="32"/>
      <x:c r="H5" s="32"/>
    </x:row>
    <x:row r="6">
      <x:c r="A6" s="33" t="str">
        <x:v>Q1 EBITDA</x:v>
      </x:c>
      <x:c r="B6" s="34" t="n">
        <x:v>222</x:v>
      </x:c>
      <x:c r="C6" s="32"/>
      <x:c r="D6" s="33" t="str">
        <x:v>Bridge check</x:v>
      </x:c>
      <x:c r="E6" s="34" t="n">
        <x:f>SUM(Checks!B5:B8)</x:f>
        <x:v>12.400000000000002</x:v>
      </x:c>
      <x:c r="F6" s="32"/>
      <x:c r="G6" s="32"/>
      <x:c r="H6" s="32"/>
    </x:row>
    <x:row r="7">
      <x:c r="A7" s="33" t="str">
        <x:v>Cash variance</x:v>
      </x:c>
      <x:c r="B7" s="34" t="n">
        <x:v>-12.4</x:v>
      </x:c>
      <x:c r="C7" s="32"/>
      <x:c r="D7" s="33" t="str">
        <x:v>RACI coverage</x:v>
      </x:c>
      <x:c r="E7" s="34" t="n">
        <x:f>COUNTA(RACI!A6:A16)</x:f>
        <x:v>10</x:v>
      </x:c>
      <x:c r="F7" s="32"/>
      <x:c r="G7" s="32"/>
      <x:c r="H7" s="32"/>
    </x:row>
    <x:row r="8">
      <x:c r="A8" s="32"/>
      <x:c r="B8" s="32"/>
      <x:c r="C8" s="32"/>
      <x:c r="D8" s="32"/>
      <x:c r="E8" s="32"/>
      <x:c r="F8" s="32"/>
      <x:c r="G8" s="32"/>
      <x:c r="H8" s="32"/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36" t="str">
        <x:v>Cash variance bridge | unfavorable JPY 12.4m</x:v>
      </x:c>
      <x:c r="B10" s="36"/>
      <x:c r="C10" s="36"/>
      <x:c r="D10" s="36"/>
      <x:c r="E10" s="36"/>
      <x:c r="F10" s="36" t="str">
        <x:v>Close operating rhythm</x:v>
      </x:c>
      <x:c r="G10" s="36"/>
      <x:c r="H10" s="36"/>
    </x:row>
    <x:row r="11">
      <x:c r="A11" s="12" t="str">
        <x:v>Driver</x:v>
      </x:c>
      <x:c r="B11" s="12" t="str">
        <x:v>JPY m</x:v>
      </x:c>
      <x:c r="C11" s="12" t="str">
        <x:v>Owner</x:v>
      </x:c>
      <x:c r="D11" s="12" t="str">
        <x:v>Escalation</x:v>
      </x:c>
      <x:c r="E11" s="32"/>
      <x:c r="F11" s="12" t="str">
        <x:v>Milestone</x:v>
      </x:c>
      <x:c r="G11" s="12" t="str">
        <x:v>Accountable</x:v>
      </x:c>
      <x:c r="H11" s="12" t="str">
        <x:v>Decision rule</x:v>
      </x:c>
    </x:row>
    <x:row r="12">
      <x:c r="A12" s="29" t="str">
        <x:v>Collections timing</x:v>
      </x:c>
      <x:c r="B12" s="34" t="n">
        <x:v>7.2</x:v>
      </x:c>
      <x:c r="C12" s="29" t="str">
        <x:v>Treasury Analyst</x:v>
      </x:c>
      <x:c r="D12" s="29" t="str">
        <x:v>Controller by 12:00</x:v>
      </x:c>
      <x:c r="E12" s="32"/>
      <x:c r="F12" s="29" t="str">
        <x:v>Apr 3: preliminary flash</x:v>
      </x:c>
      <x:c r="G12" s="29" t="str">
        <x:v>Controller</x:v>
      </x:c>
      <x:c r="H12" s="29" t="str">
        <x:v>Escalate cash variance &gt; JPY 10.0m</x:v>
      </x:c>
    </x:row>
    <x:row r="13">
      <x:c r="A13" s="29" t="str">
        <x:v>Vendor settlement timing</x:v>
      </x:c>
      <x:c r="B13" s="34" t="n">
        <x:v>3.1</x:v>
      </x:c>
      <x:c r="C13" s="29" t="str">
        <x:v>AP Lead</x:v>
      </x:c>
      <x:c r="D13" s="29" t="str">
        <x:v>Accounting Lead by 12:00</x:v>
      </x:c>
      <x:c r="E13" s="32"/>
      <x:c r="F13" s="29" t="str">
        <x:v>Apr 4: variance bridge</x:v>
      </x:c>
      <x:c r="G13" s="29" t="str">
        <x:v>FP&amp;A Lead</x:v>
      </x:c>
      <x:c r="H13" s="29" t="str">
        <x:v>Reconcile drivers to cash view</x:v>
      </x:c>
    </x:row>
    <x:row r="14">
      <x:c r="A14" s="29" t="str">
        <x:v>Payroll and benefits timing</x:v>
      </x:c>
      <x:c r="B14" s="34" t="n">
        <x:v>1.3</x:v>
      </x:c>
      <x:c r="C14" s="29" t="str">
        <x:v>Accounting Lead</x:v>
      </x:c>
      <x:c r="D14" s="29" t="str">
        <x:v>Controller by 12:00</x:v>
      </x:c>
      <x:c r="E14" s="32"/>
      <x:c r="F14" s="29" t="str">
        <x:v>Apr 5: review package</x:v>
      </x:c>
      <x:c r="G14" s="29" t="str">
        <x:v>Reviewer</x:v>
      </x:c>
      <x:c r="H14" s="29" t="str">
        <x:v>Evidence gaps resolved</x:v>
      </x:c>
    </x:row>
    <x:row r="15">
      <x:c r="A15" s="29" t="str">
        <x:v>Other working capital</x:v>
      </x:c>
      <x:c r="B15" s="34" t="n">
        <x:v>0.8</x:v>
      </x:c>
      <x:c r="C15" s="29" t="str">
        <x:v>Department Owner</x:v>
      </x:c>
      <x:c r="D15" s="29" t="str">
        <x:v>Controller by 12:00</x:v>
      </x:c>
      <x:c r="E15" s="32"/>
      <x:c r="F15" s="29" t="str">
        <x:v>Apr 6: close complete</x:v>
      </x:c>
      <x:c r="G15" s="29" t="str">
        <x:v>Controller</x:v>
      </x:c>
      <x:c r="H15" s="29" t="str">
        <x:v>Publish shared close pack</x:v>
      </x:c>
    </x:row>
  </x:sheetData>
  <x:mergeCells>
    <x:mergeCell ref="A1:H1"/>
    <x:mergeCell ref="A2:H2"/>
    <x:mergeCell ref="A10:H10"/>
    <x:mergeCell ref="F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5" hidden="0" customWidth="1"/>
    <x:col min="8" max="8" width="16" hidden="0" customWidth="1"/>
    <x:col min="9" max="9" width="12" hidden="0" customWidth="1"/>
    <x:col min="10" max="10" width="37" hidden="0" customWidth="1"/>
  </x:cols>
  <x:sheetData>
    <x:row r="1" ht="28" customHeight="1">
      <x:c r="A1" s="4" t="str">
        <x:v>Cedar Works | March Close RACI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37" t="str">
        <x:v>Roles: Controller (C), Accounting Lead (AL), FP&amp;A Lead (FP), AP Lead (AP), Treasury Analyst (TA), Department Owner (DO), Reviewer (RV)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4">
      <x:c r="A4" s="12" t="str">
        <x:v>Milestone</x:v>
      </x:c>
      <x:c r="B4" s="12" t="str">
        <x:v>Due</x:v>
      </x:c>
      <x:c r="C4" s="12" t="str">
        <x:v>Controller</x:v>
      </x:c>
      <x:c r="D4" s="12" t="str">
        <x:v>Accounting Lead</x:v>
      </x:c>
      <x:c r="E4" s="12" t="str">
        <x:v>FP&amp;A Lead</x:v>
      </x:c>
      <x:c r="F4" s="12" t="str">
        <x:v>AP Lead</x:v>
      </x:c>
      <x:c r="G4" s="12" t="str">
        <x:v>Treasury Analyst</x:v>
      </x:c>
      <x:c r="H4" s="12" t="str">
        <x:v>Department Owner</x:v>
      </x:c>
      <x:c r="I4" s="12" t="str">
        <x:v>Reviewer</x:v>
      </x:c>
      <x:c r="J4" s="12" t="str">
        <x:v>Escalation</x:v>
      </x:c>
    </x:row>
    <x:row r="5" ht="31" customHeight="1">
      <x:c r="A5" s="29" t="str">
        <x:v>Lock subledgers</x:v>
      </x:c>
      <x:c r="B5" s="35" t="str">
        <x:v>2026-04-01</x:v>
      </x:c>
      <x:c r="C5" s="40" t="str">
        <x:v>A</x:v>
      </x:c>
      <x:c r="D5" s="40" t="str">
        <x:v>R</x:v>
      </x:c>
      <x:c r="E5" s="40" t="str">
        <x:v>C</x:v>
      </x:c>
      <x:c r="F5" s="40" t="str">
        <x:v>R</x:v>
      </x:c>
      <x:c r="G5" s="40" t="str">
        <x:v>I</x:v>
      </x:c>
      <x:c r="H5" s="40" t="str">
        <x:v>I</x:v>
      </x:c>
      <x:c r="I5" s="40" t="str">
        <x:v>I</x:v>
      </x:c>
      <x:c r="J5" s="29" t="str">
        <x:v>Escalate missing cut-off evidence by 15:00</x:v>
      </x:c>
    </x:row>
    <x:row r="6" ht="31" customHeight="1">
      <x:c r="A6" s="29" t="str">
        <x:v>Collect department accruals</x:v>
      </x:c>
      <x:c r="B6" s="35" t="str">
        <x:v>2026-04-02</x:v>
      </x:c>
      <x:c r="C6" s="40" t="str">
        <x:v>A</x:v>
      </x:c>
      <x:c r="D6" s="40" t="str">
        <x:v>C</x:v>
      </x:c>
      <x:c r="E6" s="40" t="str">
        <x:v>C</x:v>
      </x:c>
      <x:c r="F6" s="40" t="str">
        <x:v>I</x:v>
      </x:c>
      <x:c r="G6" s="40" t="str">
        <x:v>I</x:v>
      </x:c>
      <x:c r="H6" s="40" t="str">
        <x:v>R</x:v>
      </x:c>
      <x:c r="I6" s="40" t="str">
        <x:v>I</x:v>
      </x:c>
      <x:c r="J6" s="29" t="str">
        <x:v>Escalate unsubmitted accruals by 12:00</x:v>
      </x:c>
    </x:row>
    <x:row r="7" ht="31" customHeight="1">
      <x:c r="A7" s="29" t="str">
        <x:v>Reconcile cash position</x:v>
      </x:c>
      <x:c r="B7" s="35" t="str">
        <x:v>2026-04-02</x:v>
      </x:c>
      <x:c r="C7" s="40" t="str">
        <x:v>A</x:v>
      </x:c>
      <x:c r="D7" s="40" t="str">
        <x:v>C</x:v>
      </x:c>
      <x:c r="E7" s="40" t="str">
        <x:v>I</x:v>
      </x:c>
      <x:c r="F7" s="40" t="str">
        <x:v>I</x:v>
      </x:c>
      <x:c r="G7" s="40" t="str">
        <x:v>R</x:v>
      </x:c>
      <x:c r="H7" s="40" t="str">
        <x:v>I</x:v>
      </x:c>
      <x:c r="I7" s="40" t="str">
        <x:v>I</x:v>
      </x:c>
      <x:c r="J7" s="29" t="str">
        <x:v>Escalate variance &gt; JPY 10.0m by 12:00</x:v>
      </x:c>
    </x:row>
    <x:row r="8" ht="31" customHeight="1">
      <x:c r="A8" s="29" t="str">
        <x:v>Prepare preliminary flash</x:v>
      </x:c>
      <x:c r="B8" s="35" t="str">
        <x:v>2026-04-03</x:v>
      </x:c>
      <x:c r="C8" s="40" t="str">
        <x:v>A</x:v>
      </x:c>
      <x:c r="D8" s="40" t="str">
        <x:v>R</x:v>
      </x:c>
      <x:c r="E8" s="40" t="str">
        <x:v>R</x:v>
      </x:c>
      <x:c r="F8" s="40" t="str">
        <x:v>C</x:v>
      </x:c>
      <x:c r="G8" s="40" t="str">
        <x:v>C</x:v>
      </x:c>
      <x:c r="H8" s="40" t="str">
        <x:v>I</x:v>
      </x:c>
      <x:c r="I8" s="40" t="str">
        <x:v>I</x:v>
      </x:c>
      <x:c r="J8" s="29" t="str">
        <x:v>Controller sign-off by 17:00</x:v>
      </x:c>
    </x:row>
    <x:row r="9" ht="31" customHeight="1">
      <x:c r="A9" s="29" t="str">
        <x:v>Validate variance bridge</x:v>
      </x:c>
      <x:c r="B9" s="35" t="str">
        <x:v>2026-04-04</x:v>
      </x:c>
      <x:c r="C9" s="40" t="str">
        <x:v>A</x:v>
      </x:c>
      <x:c r="D9" s="40" t="str">
        <x:v>C</x:v>
      </x:c>
      <x:c r="E9" s="40" t="str">
        <x:v>R</x:v>
      </x:c>
      <x:c r="F9" s="40" t="str">
        <x:v>C</x:v>
      </x:c>
      <x:c r="G9" s="40" t="str">
        <x:v>R</x:v>
      </x:c>
      <x:c r="H9" s="40" t="str">
        <x:v>C</x:v>
      </x:c>
      <x:c r="I9" s="40" t="str">
        <x:v>I</x:v>
      </x:c>
      <x:c r="J9" s="29" t="str">
        <x:v>Bridge must reconcile to JPY 12.4m</x:v>
      </x:c>
    </x:row>
    <x:row r="10" ht="31" customHeight="1">
      <x:c r="A10" s="29" t="str">
        <x:v>Review close package</x:v>
      </x:c>
      <x:c r="B10" s="35" t="str">
        <x:v>2026-04-05</x:v>
      </x:c>
      <x:c r="C10" s="40" t="str">
        <x:v>A</x:v>
      </x:c>
      <x:c r="D10" s="40" t="str">
        <x:v>R</x:v>
      </x:c>
      <x:c r="E10" s="40" t="str">
        <x:v>R</x:v>
      </x:c>
      <x:c r="F10" s="40" t="str">
        <x:v>C</x:v>
      </x:c>
      <x:c r="G10" s="40" t="str">
        <x:v>C</x:v>
      </x:c>
      <x:c r="H10" s="40" t="str">
        <x:v>I</x:v>
      </x:c>
      <x:c r="I10" s="40" t="str">
        <x:v>R</x:v>
      </x:c>
      <x:c r="J10" s="29" t="str">
        <x:v>Resolve evidence gaps before review close</x:v>
      </x:c>
    </x:row>
    <x:row r="11" ht="31" customHeight="1">
      <x:c r="A11" s="29" t="str">
        <x:v>Publish Q1 close</x:v>
      </x:c>
      <x:c r="B11" s="35" t="str">
        <x:v>2026-04-06</x:v>
      </x:c>
      <x:c r="C11" s="40" t="str">
        <x:v>A</x:v>
      </x:c>
      <x:c r="D11" s="40" t="str">
        <x:v>R</x:v>
      </x:c>
      <x:c r="E11" s="40" t="str">
        <x:v>R</x:v>
      </x:c>
      <x:c r="F11" s="40" t="str">
        <x:v>R</x:v>
      </x:c>
      <x:c r="G11" s="40" t="str">
        <x:v>R</x:v>
      </x:c>
      <x:c r="H11" s="40" t="str">
        <x:v>I</x:v>
      </x:c>
      <x:c r="I11" s="40" t="str">
        <x:v>C</x:v>
      </x:c>
      <x:c r="J11" s="29" t="str">
        <x:v>Close completed; archive shared pack</x:v>
      </x:c>
    </x:row>
    <x:row r="12" ht="31" customHeight="1">
      <x:c r="A12" s="29" t="str">
        <x:v>Hold owner follow-ups</x:v>
      </x:c>
      <x:c r="B12" s="35" t="str">
        <x:v>2026-04-07</x:v>
      </x:c>
      <x:c r="C12" s="40" t="str">
        <x:v>A</x:v>
      </x:c>
      <x:c r="D12" s="40" t="str">
        <x:v>C</x:v>
      </x:c>
      <x:c r="E12" s="40" t="str">
        <x:v>C</x:v>
      </x:c>
      <x:c r="F12" s="40" t="str">
        <x:v>I</x:v>
      </x:c>
      <x:c r="G12" s="40" t="str">
        <x:v>C</x:v>
      </x:c>
      <x:c r="H12" s="40" t="str">
        <x:v>R</x:v>
      </x:c>
      <x:c r="I12" s="40" t="str">
        <x:v>I</x:v>
      </x:c>
      <x:c r="J12" s="29" t="str">
        <x:v>Controller confirms remediation owners</x:v>
      </x:c>
    </x:row>
    <x:row r="13" ht="31" customHeight="1">
      <x:c r="A13" s="29" t="str">
        <x:v>Document control exceptions</x:v>
      </x:c>
      <x:c r="B13" s="35" t="str">
        <x:v>2026-04-08</x:v>
      </x:c>
      <x:c r="C13" s="40" t="str">
        <x:v>A</x:v>
      </x:c>
      <x:c r="D13" s="40" t="str">
        <x:v>R</x:v>
      </x:c>
      <x:c r="E13" s="40" t="str">
        <x:v>C</x:v>
      </x:c>
      <x:c r="F13" s="40" t="str">
        <x:v>C</x:v>
      </x:c>
      <x:c r="G13" s="40" t="str">
        <x:v>C</x:v>
      </x:c>
      <x:c r="H13" s="40" t="str">
        <x:v>C</x:v>
      </x:c>
      <x:c r="I13" s="40" t="str">
        <x:v>R</x:v>
      </x:c>
      <x:c r="J13" s="29" t="str">
        <x:v>Reviewer logs exceptions and due dates</x:v>
      </x:c>
    </x:row>
    <x:row r="14" ht="31" customHeight="1">
      <x:c r="A14" s="29" t="str">
        <x:v>Refresh operating forecast</x:v>
      </x:c>
      <x:c r="B14" s="35" t="str">
        <x:v>2026-04-10</x:v>
      </x:c>
      <x:c r="C14" s="40" t="str">
        <x:v>A</x:v>
      </x:c>
      <x:c r="D14" s="40" t="str">
        <x:v>C</x:v>
      </x:c>
      <x:c r="E14" s="40" t="str">
        <x:v>R</x:v>
      </x:c>
      <x:c r="F14" s="40" t="str">
        <x:v>C</x:v>
      </x:c>
      <x:c r="G14" s="40" t="str">
        <x:v>C</x:v>
      </x:c>
      <x:c r="H14" s="40" t="str">
        <x:v>C</x:v>
      </x:c>
      <x:c r="I14" s="40" t="str">
        <x:v>I</x:v>
      </x:c>
      <x:c r="J14" s="29" t="str">
        <x:v>FP&amp;A Lead escalates material changes</x:v>
      </x:c>
    </x:row>
    <x:row r="15" ht="31" customHeight="1">
      <x:c r="A15" s="29" t="str">
        <x:v>Q1 town hall</x:v>
      </x:c>
      <x:c r="B15" s="35" t="str">
        <x:v>2026-04-13</x:v>
      </x:c>
      <x:c r="C15" s="40" t="str">
        <x:v>A</x:v>
      </x:c>
      <x:c r="D15" s="40" t="str">
        <x:v>C</x:v>
      </x:c>
      <x:c r="E15" s="40" t="str">
        <x:v>R</x:v>
      </x:c>
      <x:c r="F15" s="40" t="str">
        <x:v>C</x:v>
      </x:c>
      <x:c r="G15" s="40" t="str">
        <x:v>C</x:v>
      </x:c>
      <x:c r="H15" s="40" t="str">
        <x:v>I</x:v>
      </x:c>
      <x:c r="I15" s="40" t="str">
        <x:v>I</x:v>
      </x:c>
      <x:c r="J15" s="29" t="str">
        <x:v>Controller facilitates next actions</x:v>
      </x:c>
    </x:row>
  </x:sheetData>
  <x:mergeCells>
    <x:mergeCell ref="A1:J1"/>
    <x:mergeCell ref="A2:J2"/>
  </x:mergeCells>
  <x:conditionalFormatting sqref="C5:I15">
    <x:cfRule type="containsText" dxfId="0" priority="1" operator="containsText" text="A"/>
    <x:cfRule type="containsText" dxfId="1" priority="2" operator="containsText" text="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</x:cols>
  <x:sheetData>
    <x:row r="1" ht="28" customHeight="1">
      <x:c r="A1" s="4" t="str">
        <x:v>Cedar Works | Close Controls</x:v>
      </x:c>
      <x:c r="B1" s="4"/>
      <x:c r="C1" s="4"/>
      <x:c r="D1" s="4"/>
      <x:c r="E1" s="4"/>
    </x:row>
    <x:row r="3">
      <x:c r="A3" s="12" t="str">
        <x:v>Control</x:v>
      </x:c>
      <x:c r="B3" s="12" t="str">
        <x:v>Expected</x:v>
      </x:c>
      <x:c r="C3" s="12" t="str">
        <x:v>Actual</x:v>
      </x:c>
      <x:c r="D3" s="12" t="str">
        <x:v>Delta</x:v>
      </x:c>
      <x:c r="E3" s="12" t="str">
        <x:v>Status</x:v>
      </x:c>
    </x:row>
    <x:row r="4">
      <x:c r="A4" s="16" t="str">
        <x:v>Cash variance bridge total</x:v>
      </x:c>
      <x:c r="B4" s="17" t="n">
        <x:v>12.4</x:v>
      </x:c>
      <x:c r="C4" s="17" t="n">
        <x:f>SUM(C5:C8)</x:f>
        <x:v>12.400000000000002</x:v>
      </x:c>
      <x:c r="D4" s="17" t="n">
        <x:f>C4-B4</x:f>
        <x:v>1.7763568394002505e-15</x:v>
      </x:c>
      <x:c r="E4" s="16" t="str">
        <x:f>IF(ABS(D4)&lt;0.01,"PASS","FAIL")</x:f>
        <x:v>PASS</x:v>
      </x:c>
    </x:row>
    <x:row r="5">
      <x:c r="A5" s="16" t="str">
        <x:v>Collections timing</x:v>
      </x:c>
      <x:c r="B5" s="17" t="n">
        <x:v>7.2</x:v>
      </x:c>
      <x:c r="C5" s="17" t="n">
        <x:v>7.2</x:v>
      </x:c>
      <x:c r="D5" s="17" t="n">
        <x:f>C5-B5</x:f>
        <x:v>0</x:v>
      </x:c>
      <x:c r="E5" s="16" t="str">
        <x:f>IF(ABS(D5)&lt;0.01,"PASS","FAIL")</x:f>
        <x:v>PASS</x:v>
      </x:c>
    </x:row>
    <x:row r="6">
      <x:c r="A6" s="16" t="str">
        <x:v>Vendor settlement timing</x:v>
      </x:c>
      <x:c r="B6" s="17" t="n">
        <x:v>3.1</x:v>
      </x:c>
      <x:c r="C6" s="17" t="n">
        <x:v>3.1</x:v>
      </x:c>
      <x:c r="D6" s="17" t="n">
        <x:f>C6-B6</x:f>
        <x:v>0</x:v>
      </x:c>
      <x:c r="E6" s="16" t="str">
        <x:f>IF(ABS(D6)&lt;0.01,"PASS","FAIL")</x:f>
        <x:v>PASS</x:v>
      </x:c>
    </x:row>
    <x:row r="7">
      <x:c r="A7" s="16" t="str">
        <x:v>Payroll and benefits timing</x:v>
      </x:c>
      <x:c r="B7" s="17" t="n">
        <x:v>1.3</x:v>
      </x:c>
      <x:c r="C7" s="17" t="n">
        <x:v>1.3</x:v>
      </x:c>
      <x:c r="D7" s="17" t="n">
        <x:f>C7-B7</x:f>
        <x:v>0</x:v>
      </x:c>
      <x:c r="E7" s="16" t="str">
        <x:f>IF(ABS(D7)&lt;0.01,"PASS","FAIL")</x:f>
        <x:v>PASS</x:v>
      </x:c>
    </x:row>
    <x:row r="8">
      <x:c r="A8" s="16" t="str">
        <x:v>Other working capital</x:v>
      </x:c>
      <x:c r="B8" s="17" t="n">
        <x:v>0.8</x:v>
      </x:c>
      <x:c r="C8" s="17" t="n">
        <x:v>0.8</x:v>
      </x:c>
      <x:c r="D8" s="17" t="n">
        <x:f>C8-B8</x:f>
        <x:v>0</x:v>
      </x:c>
      <x:c r="E8" s="16" t="str">
        <x:f>IF(ABS(D8)&lt;0.01,"PASS","FAIL")</x:f>
        <x:v>PASS</x:v>
      </x:c>
    </x:row>
    <x:row r="10">
      <x:c r="A10" s="16" t="str">
        <x:v>Close date control</x:v>
      </x:c>
      <x:c r="B10" s="16" t="str">
        <x:v>Expected</x:v>
      </x:c>
      <x:c r="C10" s="16" t="str">
        <x:v>Actual</x:v>
      </x:c>
      <x:c r="D10" s="16" t="str">
        <x:v>Delta / Status</x:v>
      </x:c>
      <x:c r="E10" s="16" t="str">
        <x:v>Status</x:v>
      </x:c>
    </x:row>
    <x:row r="11">
      <x:c r="A11" s="16" t="str">
        <x:v>Close completion</x:v>
      </x:c>
      <x:c r="B11" s="18" t="str">
        <x:v>2026-04-06</x:v>
      </x:c>
      <x:c r="C11" s="18" t="str">
        <x:v>2026-04-06</x:v>
      </x:c>
      <x:c r="D11" s="16" t="n">
        <x:f>IF(C11=B11,0,1)</x:f>
        <x:v>0</x:v>
      </x:c>
      <x:c r="E11" s="16" t="str">
        <x:f>IF(D11=0,"PASS","FAIL")</x:f>
        <x:v>PASS</x:v>
      </x:c>
    </x:row>
    <x:row r="12">
      <x:c r="A12" s="16" t="str">
        <x:v>RACI tasks</x:v>
      </x:c>
      <x:c r="B12" s="16" t="n">
        <x:v>11</x:v>
      </x:c>
      <x:c r="C12" s="16" t="n">
        <x:f>COUNTA(RACI!A5:A15)</x:f>
        <x:v>11</x:v>
      </x:c>
      <x:c r="D12" s="16" t="n">
        <x:f>C12-B12</x:f>
        <x:v>0</x:v>
      </x:c>
      <x:c r="E12" s="16" t="str">
        <x:f>IF(D12=0,"PASS","FAIL")</x:f>
        <x:v>PASS</x:v>
      </x:c>
    </x:row>
  </x:sheetData>
  <x:mergeCells>
    <x:mergeCell ref="A1:E1"/>
  </x:mergeCells>
  <x:conditionalFormatting sqref="E4:E8">
    <x:cfRule type="containsText" dxfId="2" priority="1" operator="containsText" text="PASS"/>
  </x:conditionalFormatting>
  <x:conditionalFormatting sqref="E11:E12">
    <x:cfRule type="containsText" dxfId="3" priority="2" operator="containsText" text="PASS"/>
  </x:conditionalFormatting>
  <x:pageMargins left="0.7" right="0.7" top="0.75" bottom="0.75" header="0.3" footer="0.3"/>
</x:worksheet>
</file>