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0753c6f36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 Summary" sheetId="1" r:id="R0dcdaabab37f411c"/>
    <x:sheet xmlns:r="http://schemas.openxmlformats.org/officeDocument/2006/relationships" name="Assumptions" sheetId="2" r:id="R7f992baf4107410a"/>
    <x:sheet xmlns:r="http://schemas.openxmlformats.org/officeDocument/2006/relationships" name="Drivers" sheetId="3" r:id="Reaa7c7bc64d34629"/>
    <x:sheet xmlns:r="http://schemas.openxmlformats.org/officeDocument/2006/relationships" name="Monthly Model" sheetId="4" r:id="Ra97d59d59d1246e4"/>
    <x:sheet xmlns:r="http://schemas.openxmlformats.org/officeDocument/2006/relationships" name="Scenarios" sheetId="5" r:id="Ra88aa2bf49464cd7"/>
    <x:sheet xmlns:r="http://schemas.openxmlformats.org/officeDocument/2006/relationships" name="Checks" sheetId="6" r:id="Rf808d874441648c9"/>
    <x:sheet xmlns:r="http://schemas.openxmlformats.org/officeDocument/2006/relationships" name="Sources Audit" sheetId="7" r:id="Re303b660052a4e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0.0%"/>
    <x:numFmt numFmtId="202" formatCode="#,##0"/>
    <x:numFmt numFmtId="203" formatCode="#,##0.0;[Red](#,##0.0);-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name val="Carlito"/>
    </x:font>
    <x:font>
      <x:b/>
      <x:sz val="11"/>
      <x:color rgb="FF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7"/>
      </x:patternFill>
    </x:fill>
    <x:fill>
      <x:patternFill patternType="solid">
        <x:fgColor rgb="FF0F6B78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3" fillId="2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3" fillId="2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0" fontId="5" fillId="5" borderId="1" xfId="0" applyNumberFormat="1" applyFont="1" applyFill="1" applyBorder="1"/>
    <x:xf numFmtId="200" fontId="5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/>
    <x:xf numFmtId="202" fontId="5" fillId="5" borderId="0" xfId="0" applyNumberFormat="1" applyFont="1" applyFill="1" applyBorder="1"/>
    <x:xf numFmtId="201" fontId="5" fillId="5" borderId="1" xfId="0" applyNumberFormat="1" applyFont="1" applyFill="1" applyBorder="1"/>
    <x:xf numFmtId="202" fontId="5" fillId="5" borderId="1" xfId="0" applyNumberFormat="1" applyFont="1" applyFill="1" applyBorder="1"/>
    <x:xf numFmtId="201" fontId="5" fillId="5" borderId="1" xfId="0" applyNumberFormat="1" applyFont="1" applyFill="1" applyBorder="1" applyAlignment="1">
      <x:alignment vertical="center"/>
    </x:xf>
    <x:xf numFmtId="202" fontId="5" fillId="5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0" fontId="7" fillId="0" borderId="0" xfId="0" applyNumberFormat="1" applyFont="1" applyFill="1" applyBorder="1"/>
    <x:xf numFmtId="200" fontId="6" fillId="3" borderId="0" xfId="0" applyNumberFormat="1" applyFont="1" applyFill="1" applyBorder="1"/>
    <x:xf numFmtId="0" fontId="8" fillId="3" borderId="0" xfId="0" applyNumberFormat="1" applyFont="1" applyFill="1" applyBorder="1"/>
    <x:xf numFmtId="200" fontId="9" fillId="3" borderId="0" xfId="0" applyNumberFormat="1" applyFont="1" applyFill="1" applyBorder="1"/>
    <x:xf numFmtId="0" fontId="0" fillId="6" borderId="0" xfId="0" applyNumberFormat="1" applyFont="1" applyFill="1" applyBorder="1"/>
    <x:xf numFmtId="200" fontId="6" fillId="6" borderId="0" xfId="0" applyNumberFormat="1" applyFont="1" applyFill="1" applyBorder="1"/>
    <x:xf numFmtId="201" fontId="6" fillId="6" borderId="0" xfId="0" applyNumberFormat="1" applyFont="1" applyFill="1" applyBorder="1"/>
    <x:xf numFmtId="0" fontId="8" fillId="6" borderId="0" xfId="0" applyNumberFormat="1" applyFont="1" applyFill="1" applyBorder="1"/>
    <x:xf numFmtId="200" fontId="9" fillId="6" borderId="0" xfId="0" applyNumberFormat="1" applyFont="1" applyFill="1" applyBorder="1"/>
    <x:xf numFmtId="201" fontId="9" fillId="6" borderId="0" xfId="0" applyNumberFormat="1" applyFont="1" applyFill="1" applyBorder="1"/>
    <x:xf numFmtId="200" fontId="7" fillId="0" borderId="1" xfId="0" applyNumberFormat="1" applyFont="1" applyFill="1" applyBorder="1"/>
    <x:xf numFmtId="200" fontId="6" fillId="0" borderId="1" xfId="0" applyNumberFormat="1" applyFont="1" applyFill="1" applyBorder="1"/>
    <x:xf numFmtId="0" fontId="8" fillId="3" borderId="1" xfId="0" applyNumberFormat="1" applyFont="1" applyFill="1" applyBorder="1"/>
    <x:xf numFmtId="200" fontId="9" fillId="3" borderId="1" xfId="0" applyNumberFormat="1" applyFont="1" applyFill="1" applyBorder="1"/>
    <x:xf numFmtId="0" fontId="8" fillId="6" borderId="1" xfId="0" applyNumberFormat="1" applyFont="1" applyFill="1" applyBorder="1"/>
    <x:xf numFmtId="200" fontId="9" fillId="6" borderId="1" xfId="0" applyNumberFormat="1" applyFont="1" applyFill="1" applyBorder="1"/>
    <x:xf numFmtId="201" fontId="9" fillId="6" borderId="1" xfId="0" applyNumberFormat="1" applyFont="1" applyFill="1" applyBorder="1"/>
    <x:xf numFmtId="200" fontId="7" fillId="0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vertical="center"/>
    </x:xf>
    <x:xf numFmtId="200" fontId="9" fillId="3" borderId="1" xfId="0" applyNumberFormat="1" applyFont="1" applyFill="1" applyBorder="1" applyAlignment="1">
      <x:alignment vertical="center"/>
    </x:xf>
    <x:xf numFmtId="0" fontId="8" fillId="6" borderId="1" xfId="0" applyNumberFormat="1" applyFont="1" applyFill="1" applyBorder="1" applyAlignment="1">
      <x:alignment vertical="center"/>
    </x:xf>
    <x:xf numFmtId="200" fontId="9" fillId="6" borderId="1" xfId="0" applyNumberFormat="1" applyFont="1" applyFill="1" applyBorder="1" applyAlignment="1">
      <x:alignment vertical="center"/>
    </x:xf>
    <x:xf numFmtId="201" fontId="9" fillId="6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70d58cccb64bce" /><Relationship Type="http://schemas.openxmlformats.org/officeDocument/2006/relationships/theme" Target="/xl/theme/theme1.xml" Id="Red8fca08f88f4a42" /><Relationship Type="http://schemas.openxmlformats.org/officeDocument/2006/relationships/sharedStrings" Target="/xl/sharedStrings.xml" Id="Rd846bd7c82d34379" /><Relationship Type="http://schemas.openxmlformats.org/officeDocument/2006/relationships/worksheet" Target="/xl/worksheets/sheet1.xml" Id="R0dcdaabab37f411c" /><Relationship Type="http://schemas.openxmlformats.org/officeDocument/2006/relationships/worksheet" Target="/xl/worksheets/sheet2.xml" Id="R7f992baf4107410a" /><Relationship Type="http://schemas.openxmlformats.org/officeDocument/2006/relationships/worksheet" Target="/xl/worksheets/sheet3.xml" Id="Reaa7c7bc64d34629" /><Relationship Type="http://schemas.openxmlformats.org/officeDocument/2006/relationships/worksheet" Target="/xl/worksheets/sheet4.xml" Id="Ra97d59d59d1246e4" /><Relationship Type="http://schemas.openxmlformats.org/officeDocument/2006/relationships/worksheet" Target="/xl/worksheets/sheet5.xml" Id="Ra88aa2bf49464cd7" /><Relationship Type="http://schemas.openxmlformats.org/officeDocument/2006/relationships/worksheet" Target="/xl/worksheets/sheet6.xml" Id="Rf808d874441648c9" /><Relationship Type="http://schemas.openxmlformats.org/officeDocument/2006/relationships/worksheet" Target="/xl/worksheets/sheet7.xml" Id="Re303b660052a4e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4" t="str">
        <x:v>Cedar Works | FY2026 Operating Model</x:v>
      </x:c>
      <x:c r="B1" s="4" t="str">
        <x:v>Cedar Works | FY2026 Operating Model</x:v>
      </x:c>
      <x:c r="C1" s="4" t="str">
        <x:v>Cedar Works | FY2026 Operating Model</x:v>
      </x:c>
      <x:c r="D1" s="4" t="str">
        <x:v>Cedar Works | FY2026 Operating Model</x:v>
      </x:c>
      <x:c r="E1" s="4" t="str">
        <x:v>Cedar Works | FY2026 Operating Model</x:v>
      </x:c>
      <x:c r="F1" s="4" t="str">
        <x:v>Cedar Works | FY2026 Operating Model</x:v>
      </x:c>
      <x:c r="G1" s="4" t="str">
        <x:v>Cedar Works | FY2026 Operating Model</x:v>
      </x:c>
      <x:c r="H1" s="4" t="str">
        <x:v>Cedar Works | FY2026 Operating Model</x:v>
      </x:c>
      <x:c r="I1" s="4" t="str">
        <x:v>Cedar Works | FY2026 Operating Model</x:v>
      </x:c>
      <x:c r="J1" s="4" t="str">
        <x:v>Cedar Works | FY2026 Operating Model</x:v>
      </x:c>
      <x:c r="K1" s="4" t="str">
        <x:v>Cedar Works | FY2026 Operating Model</x:v>
      </x:c>
      <x:c r="L1" s="4" t="str">
        <x:v>Cedar Works | FY2026 Operating Model</x:v>
      </x:c>
      <x:c r="M1" s="4" t="str">
        <x:v>Cedar Works | FY2026 Operating Model</x:v>
      </x:c>
      <x:c r="N1" s="4" t="str">
        <x:v>Cedar Works | FY2026 Operating Model</x:v>
      </x:c>
    </x:row>
    <x:row r="3">
      <x:c r="A3" s="6" t="str">
        <x:v>Management planning model | JPY millions | Version 1.0 | As of 2026-04-06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5" ht="20" customHeight="1">
      <x:c r="A5" s="9" t="str">
        <x:v>Executive Summary</x:v>
      </x:c>
      <x:c r="B5" s="9" t="str">
        <x:v>Executive Summary</x:v>
      </x:c>
      <x:c r="C5" s="9" t="str">
        <x:v>Executive Summary</x:v>
      </x:c>
      <x:c r="D5" s="9" t="str">
        <x:v>Executive Summary</x:v>
      </x:c>
      <x:c r="E5" s="9" t="str">
        <x:v>Executive Summary</x:v>
      </x:c>
      <x:c r="F5" s="9" t="str">
        <x:v>Executive Summary</x:v>
      </x:c>
      <x:c r="G5" s="9" t="str">
        <x:v>Executive Summary</x:v>
      </x:c>
      <x:c r="H5" s="9" t="str">
        <x:v>Executive Summary</x:v>
      </x:c>
      <x:c r="I5" s="9" t="str">
        <x:v>Executive Summary</x:v>
      </x:c>
      <x:c r="J5" s="9" t="str">
        <x:v>Executive Summary</x:v>
      </x:c>
      <x:c r="K5" s="9" t="str">
        <x:v>Executive Summary</x:v>
      </x:c>
      <x:c r="L5" s="9" t="str">
        <x:v>Executive Summary</x:v>
      </x:c>
      <x:c r="M5" s="9" t="str">
        <x:v>Executive Summary</x:v>
      </x:c>
      <x:c r="N5" s="9" t="str">
        <x:v>Executive Summary</x:v>
      </x:c>
    </x:row>
    <x:row r="6">
      <x:c r="A6" s="17" t="str">
        <x:v>Metric</x:v>
      </x:c>
      <x:c r="B6" s="17" t="str">
        <x:v>Budget</x:v>
      </x:c>
      <x:c r="C6" s="17" t="str">
        <x:v>Base</x:v>
      </x:c>
      <x:c r="D6" s="17" t="str">
        <x:v>Downside</x:v>
      </x:c>
      <x:c r="E6" s="17" t="str">
        <x:v>Upside</x:v>
      </x:c>
    </x:row>
    <x:row r="7">
      <x:c r="A7" s="18" t="str">
        <x:v>Revenue</x:v>
      </x:c>
      <x:c r="B7" s="18" t="n">
        <x:v>7400</x:v>
      </x:c>
      <x:c r="C7" s="18" t="n">
        <x:v>7560</x:v>
      </x:c>
      <x:c r="D7" s="18" t="n">
        <x:v>7050</x:v>
      </x:c>
      <x:c r="E7" s="18" t="n">
        <x:v>7920</x:v>
      </x:c>
    </x:row>
    <x:row r="8">
      <x:c r="A8" s="18" t="str">
        <x:v>EBITDA</x:v>
      </x:c>
      <x:c r="B8" s="18" t="n">
        <x:v>860</x:v>
      </x:c>
      <x:c r="C8" s="18" t="n">
        <x:v>900</x:v>
      </x:c>
      <x:c r="D8" s="18" t="n">
        <x:v>720</x:v>
      </x:c>
      <x:c r="E8" s="18" t="n">
        <x:v>1020</x:v>
      </x:c>
    </x:row>
    <x:row r="9">
      <x:c r="A9" s="18" t="str">
        <x:v>EBITDA Margin</x:v>
      </x:c>
      <x:c r="B9" s="19" t="n">
        <x:f>B8/B7</x:f>
        <x:v>0.11621621621621622</x:v>
      </x:c>
      <x:c r="C9" s="19" t="n">
        <x:f>C8/C7</x:f>
        <x:v>0.11904761904761904</x:v>
      </x:c>
      <x:c r="D9" s="19" t="n">
        <x:f>D8/D7</x:f>
        <x:v>0.10212765957446808</x:v>
      </x:c>
      <x:c r="E9" s="19" t="n">
        <x:f>E8/E7</x:f>
        <x:v>0.12878787878787878</x:v>
      </x:c>
    </x:row>
    <x:row r="10">
      <x:c r="A10" s="18" t="str">
        <x:v>Q1 Actual EBITDA</x:v>
      </x:c>
      <x:c r="B10" s="18" t="n">
        <x:v>222</x:v>
      </x:c>
      <x:c r="C10" s="18" t="n">
        <x:v>222</x:v>
      </x:c>
      <x:c r="D10" s="18" t="n">
        <x:v>222</x:v>
      </x:c>
      <x:c r="E10" s="18" t="n">
        <x:v>222</x:v>
      </x:c>
    </x:row>
    <x:row r="12" ht="20" customHeight="1">
      <x:c r="A12" s="9" t="str">
        <x:v>Close Anchor</x:v>
      </x:c>
      <x:c r="B12" s="9" t="str">
        <x:v>Close Anchor</x:v>
      </x:c>
      <x:c r="C12" s="9" t="str">
        <x:v>Close Anchor</x:v>
      </x:c>
      <x:c r="D12" s="9" t="str">
        <x:v>Close Anchor</x:v>
      </x:c>
      <x:c r="E12" s="9" t="str">
        <x:v>Close Anchor</x:v>
      </x:c>
      <x:c r="F12" s="9" t="str">
        <x:v>Close Anchor</x:v>
      </x:c>
      <x:c r="G12" s="9" t="str">
        <x:v>Close Anchor</x:v>
      </x:c>
      <x:c r="H12" s="9" t="str">
        <x:v>Close Anchor</x:v>
      </x:c>
      <x:c r="I12" s="9" t="str">
        <x:v>Close Anchor</x:v>
      </x:c>
      <x:c r="J12" s="9" t="str">
        <x:v>Close Anchor</x:v>
      </x:c>
      <x:c r="K12" s="9" t="str">
        <x:v>Close Anchor</x:v>
      </x:c>
      <x:c r="L12" s="9" t="str">
        <x:v>Close Anchor</x:v>
      </x:c>
      <x:c r="M12" s="9" t="str">
        <x:v>Close Anchor</x:v>
      </x:c>
      <x:c r="N12" s="9" t="str">
        <x:v>Close Anchor</x:v>
      </x:c>
    </x:row>
    <x:row r="13">
      <x:c r="A13" s="22" t="str">
        <x:v>Measure</x:v>
      </x:c>
      <x:c r="B13" s="22" t="str">
        <x:v>JPY m</x:v>
      </x:c>
      <x:c r="C13" s="22" t="str">
        <x:v>Owner</x:v>
      </x:c>
      <x:c r="D13" s="22" t="str">
        <x:v>Status</x:v>
      </x:c>
      <x:c r="E13" s="22" t="str">
        <x:v>Definition</x:v>
      </x:c>
    </x:row>
    <x:row r="14">
      <x:c r="A14" s="23" t="str">
        <x:v>Q1 Revenue</x:v>
      </x:c>
      <x:c r="B14" s="23" t="n">
        <x:v>1842</x:v>
      </x:c>
      <x:c r="C14" s="23" t="str">
        <x:v>Finance Controller</x:v>
      </x:c>
      <x:c r="D14" s="23" t="str">
        <x:v>PASS</x:v>
      </x:c>
      <x:c r="E14" s="23" t="str">
        <x:v>Jan-Mar actual revenue</x:v>
      </x:c>
    </x:row>
    <x:row r="15">
      <x:c r="A15" s="23" t="str">
        <x:v>Q1 Gross Profit</x:v>
      </x:c>
      <x:c r="B15" s="23" t="n">
        <x:v>711</x:v>
      </x:c>
      <x:c r="C15" s="23" t="str">
        <x:v>Finance Controller</x:v>
      </x:c>
      <x:c r="D15" s="23" t="str">
        <x:v>PASS</x:v>
      </x:c>
      <x:c r="E15" s="23" t="str">
        <x:v>Revenue less COGS</x:v>
      </x:c>
    </x:row>
    <x:row r="16">
      <x:c r="A16" s="23" t="str">
        <x:v>Q1 EBITDA</x:v>
      </x:c>
      <x:c r="B16" s="23" t="n">
        <x:v>222</x:v>
      </x:c>
      <x:c r="C16" s="23" t="str">
        <x:v>Finance Controller</x:v>
      </x:c>
      <x:c r="D16" s="23" t="str">
        <x:v>PASS</x:v>
      </x:c>
      <x:c r="E16" s="23" t="str">
        <x:v>Gross profit less opex</x:v>
      </x:c>
    </x:row>
    <x:row r="17">
      <x:c r="A17" s="23" t="str">
        <x:v>March bank</x:v>
      </x:c>
      <x:c r="B17" s="23" t="n">
        <x:v>486.2</x:v>
      </x:c>
      <x:c r="C17" s="23" t="str">
        <x:v>Treasury</x:v>
      </x:c>
      <x:c r="D17" s="23" t="str">
        <x:v>PASS</x:v>
      </x:c>
      <x:c r="E17" s="23" t="str">
        <x:v>Bank balance</x:v>
      </x:c>
    </x:row>
    <x:row r="18">
      <x:c r="A18" s="23" t="str">
        <x:v>March ledger</x:v>
      </x:c>
      <x:c r="B18" s="23" t="n">
        <x:v>498.6</x:v>
      </x:c>
      <x:c r="C18" s="23" t="str">
        <x:v>Finance Controller</x:v>
      </x:c>
      <x:c r="D18" s="23" t="str">
        <x:v>PASS</x:v>
      </x:c>
      <x:c r="E18" s="23" t="str">
        <x:v>Ledger cash balance</x:v>
      </x:c>
    </x:row>
    <x:row r="20">
      <x:c r="A20" s="25" t="str">
        <x:v>Navigation: blue font = editable model input; green font = inter-sheet link; black font = calculation. See Checks for the governed PASS status.</x:v>
      </x:c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</x:row>
  </x:sheetData>
  <x:mergeCells>
    <x:mergeCell ref="A1:N1"/>
    <x:mergeCell ref="A3:N3"/>
    <x:mergeCell ref="A5:N5"/>
    <x:mergeCell ref="A12:N12"/>
    <x:mergeCell ref="A20:N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4" t="str">
        <x:v>Assumptions | central controlled inputs</x:v>
      </x:c>
      <x:c r="B1" s="4" t="str">
        <x:v>Assumptions | central controlled inputs</x:v>
      </x:c>
      <x:c r="C1" s="4" t="str">
        <x:v>Assumptions | central controlled inputs</x:v>
      </x:c>
      <x:c r="D1" s="4" t="str">
        <x:v>Assumptions | central controlled inputs</x:v>
      </x:c>
      <x:c r="E1" s="4" t="str">
        <x:v>Assumptions | central controlled inputs</x:v>
      </x:c>
      <x:c r="F1" s="4" t="str">
        <x:v>Assumptions | central controlled inputs</x:v>
      </x:c>
      <x:c r="G1" s="4" t="str">
        <x:v>Assumptions | central controlled inputs</x:v>
      </x:c>
      <x:c r="H1" s="4" t="str">
        <x:v>Assumptions | central controlled inputs</x:v>
      </x:c>
      <x:c r="I1" s="4" t="str">
        <x:v>Assumptions | central controlled inputs</x:v>
      </x:c>
      <x:c r="J1" s="4" t="str">
        <x:v>Assumptions | central controlled inputs</x:v>
      </x:c>
      <x:c r="K1" s="4" t="str">
        <x:v>Assumptions | central controlled inputs</x:v>
      </x:c>
      <x:c r="L1" s="4" t="str">
        <x:v>Assumptions | central controlled inputs</x:v>
      </x:c>
      <x:c r="M1" s="4" t="str">
        <x:v>Assumptions | central controlled inputs</x:v>
      </x:c>
      <x:c r="N1" s="4" t="str">
        <x:v>Assumptions | central controlled inputs</x:v>
      </x:c>
    </x:row>
    <x:row r="3">
      <x:c r="A3" s="22" t="str">
        <x:v>Input</x:v>
      </x:c>
      <x:c r="B3" s="22" t="str">
        <x:v>Value</x:v>
      </x:c>
      <x:c r="C3" s="22" t="str">
        <x:v>Units</x:v>
      </x:c>
      <x:c r="D3" s="22" t="str">
        <x:v>Owner</x:v>
      </x:c>
      <x:c r="E3" s="22" t="str">
        <x:v>Basis</x:v>
      </x:c>
    </x:row>
    <x:row r="4">
      <x:c r="A4" s="23" t="str">
        <x:v>Revenue budget</x:v>
      </x:c>
      <x:c r="B4" s="29" t="n">
        <x:v>7400</x:v>
      </x:c>
      <x:c r="C4" s="23" t="str">
        <x:v>JPY m</x:v>
      </x:c>
      <x:c r="D4" s="23" t="str">
        <x:v>FP&amp;A</x:v>
      </x:c>
      <x:c r="E4" s="23" t="str">
        <x:v>Approved budget</x:v>
      </x:c>
    </x:row>
    <x:row r="5">
      <x:c r="A5" s="23" t="str">
        <x:v>Revenue base</x:v>
      </x:c>
      <x:c r="B5" s="29" t="n">
        <x:v>7560</x:v>
      </x:c>
      <x:c r="C5" s="23" t="str">
        <x:v>JPY m</x:v>
      </x:c>
      <x:c r="D5" s="23" t="str">
        <x:v>FP&amp;A</x:v>
      </x:c>
      <x:c r="E5" s="23" t="str">
        <x:v>Management base case</x:v>
      </x:c>
    </x:row>
    <x:row r="6">
      <x:c r="A6" s="23" t="str">
        <x:v>Revenue downside</x:v>
      </x:c>
      <x:c r="B6" s="29" t="n">
        <x:v>7050</x:v>
      </x:c>
      <x:c r="C6" s="23" t="str">
        <x:v>JPY m</x:v>
      </x:c>
      <x:c r="D6" s="23" t="str">
        <x:v>FP&amp;A</x:v>
      </x:c>
      <x:c r="E6" s="23" t="str">
        <x:v>Downside case</x:v>
      </x:c>
    </x:row>
    <x:row r="7">
      <x:c r="A7" s="23" t="str">
        <x:v>Revenue upside</x:v>
      </x:c>
      <x:c r="B7" s="29" t="n">
        <x:v>7920</x:v>
      </x:c>
      <x:c r="C7" s="23" t="str">
        <x:v>JPY m</x:v>
      </x:c>
      <x:c r="D7" s="23" t="str">
        <x:v>FP&amp;A</x:v>
      </x:c>
      <x:c r="E7" s="23" t="str">
        <x:v>Upside case</x:v>
      </x:c>
    </x:row>
    <x:row r="8">
      <x:c r="A8" s="23" t="str">
        <x:v>EBITDA budget</x:v>
      </x:c>
      <x:c r="B8" s="29" t="n">
        <x:v>860</x:v>
      </x:c>
      <x:c r="C8" s="23" t="str">
        <x:v>JPY m</x:v>
      </x:c>
      <x:c r="D8" s="23" t="str">
        <x:v>FP&amp;A</x:v>
      </x:c>
      <x:c r="E8" s="23" t="str">
        <x:v>Approved budget</x:v>
      </x:c>
    </x:row>
    <x:row r="9">
      <x:c r="A9" s="23" t="str">
        <x:v>EBITDA base</x:v>
      </x:c>
      <x:c r="B9" s="29" t="n">
        <x:v>900</x:v>
      </x:c>
      <x:c r="C9" s="23" t="str">
        <x:v>JPY m</x:v>
      </x:c>
      <x:c r="D9" s="23" t="str">
        <x:v>FP&amp;A</x:v>
      </x:c>
      <x:c r="E9" s="23" t="str">
        <x:v>Management base case</x:v>
      </x:c>
    </x:row>
    <x:row r="10">
      <x:c r="A10" s="23" t="str">
        <x:v>EBITDA downside</x:v>
      </x:c>
      <x:c r="B10" s="29" t="n">
        <x:v>720</x:v>
      </x:c>
      <x:c r="C10" s="23" t="str">
        <x:v>JPY m</x:v>
      </x:c>
      <x:c r="D10" s="23" t="str">
        <x:v>FP&amp;A</x:v>
      </x:c>
      <x:c r="E10" s="23" t="str">
        <x:v>Downside case</x:v>
      </x:c>
    </x:row>
    <x:row r="11">
      <x:c r="A11" s="23" t="str">
        <x:v>EBITDA upside</x:v>
      </x:c>
      <x:c r="B11" s="29" t="n">
        <x:v>1020</x:v>
      </x:c>
      <x:c r="C11" s="23" t="str">
        <x:v>JPY m</x:v>
      </x:c>
      <x:c r="D11" s="23" t="str">
        <x:v>FP&amp;A</x:v>
      </x:c>
      <x:c r="E11" s="23" t="str">
        <x:v>Management base case</x:v>
      </x:c>
    </x:row>
    <x:row r="13" ht="20" customHeight="1">
      <x:c r="A13" s="9" t="str">
        <x:v>Governance parameters</x:v>
      </x:c>
      <x:c r="B13" s="9" t="str">
        <x:v>Governance parameters</x:v>
      </x:c>
      <x:c r="C13" s="9" t="str">
        <x:v>Governance parameters</x:v>
      </x:c>
      <x:c r="D13" s="9" t="str">
        <x:v>Governance parameters</x:v>
      </x:c>
      <x:c r="E13" s="9" t="str">
        <x:v>Governance parameters</x:v>
      </x:c>
      <x:c r="F13" s="9" t="str">
        <x:v>Governance parameters</x:v>
      </x:c>
      <x:c r="G13" s="9" t="str">
        <x:v>Governance parameters</x:v>
      </x:c>
      <x:c r="H13" s="9" t="str">
        <x:v>Governance parameters</x:v>
      </x:c>
      <x:c r="I13" s="9" t="str">
        <x:v>Governance parameters</x:v>
      </x:c>
      <x:c r="J13" s="9" t="str">
        <x:v>Governance parameters</x:v>
      </x:c>
      <x:c r="K13" s="9" t="str">
        <x:v>Governance parameters</x:v>
      </x:c>
      <x:c r="L13" s="9" t="str">
        <x:v>Governance parameters</x:v>
      </x:c>
      <x:c r="M13" s="9" t="str">
        <x:v>Governance parameters</x:v>
      </x:c>
      <x:c r="N13" s="9" t="str">
        <x:v>Governance parameters</x:v>
      </x:c>
    </x:row>
    <x:row r="14">
      <x:c r="A14" s="22" t="str">
        <x:v>Parameter</x:v>
      </x:c>
      <x:c r="B14" s="22" t="str">
        <x:v>Value</x:v>
      </x:c>
      <x:c r="C14" s="22" t="str">
        <x:v>Units</x:v>
      </x:c>
      <x:c r="D14" s="22" t="str">
        <x:v>Owner</x:v>
      </x:c>
      <x:c r="E14" s="22" t="str">
        <x:v>Control</x:v>
      </x:c>
    </x:row>
    <x:row r="15">
      <x:c r="A15" s="23" t="str">
        <x:v>Scenario selector</x:v>
      </x:c>
      <x:c r="B15" s="31" t="str">
        <x:v>Base</x:v>
      </x:c>
      <x:c r="C15" s="23" t="str">
        <x:v>Case</x:v>
      </x:c>
      <x:c r="D15" s="23" t="str">
        <x:v>Finance Controller</x:v>
      </x:c>
      <x:c r="E15" s="23" t="str">
        <x:v>Use Scenarios tab</x:v>
      </x:c>
    </x:row>
    <x:row r="16">
      <x:c r="A16" s="23" t="str">
        <x:v>Currency</x:v>
      </x:c>
      <x:c r="B16" s="31" t="str">
        <x:v>JPY</x:v>
      </x:c>
      <x:c r="C16" s="23" t="str">
        <x:v>Currency</x:v>
      </x:c>
      <x:c r="D16" s="23" t="str">
        <x:v>Finance Controller</x:v>
      </x:c>
      <x:c r="E16" s="23" t="str">
        <x:v>Whole model</x:v>
      </x:c>
    </x:row>
    <x:row r="17">
      <x:c r="A17" s="23" t="str">
        <x:v>Scale</x:v>
      </x:c>
      <x:c r="B17" s="31" t="str">
        <x:v>millions</x:v>
      </x:c>
      <x:c r="C17" s="23" t="str">
        <x:v>JPY m</x:v>
      </x:c>
      <x:c r="D17" s="23" t="str">
        <x:v>Finance Controller</x:v>
      </x:c>
      <x:c r="E17" s="23" t="str">
        <x:v>Whole model</x:v>
      </x:c>
    </x:row>
    <x:row r="18">
      <x:c r="A18" s="23" t="str">
        <x:v>Version</x:v>
      </x:c>
      <x:c r="B18" s="31" t="str">
        <x:v>1.0</x:v>
      </x:c>
      <x:c r="C18" s="23" t="str">
        <x:v>Release</x:v>
      </x:c>
      <x:c r="D18" s="23" t="str">
        <x:v>Finance Controller</x:v>
      </x:c>
      <x:c r="E18" s="23" t="str">
        <x:v>Change control</x:v>
      </x:c>
    </x:row>
  </x:sheetData>
  <x:mergeCells>
    <x:mergeCell ref="A1:N1"/>
    <x:mergeCell ref="A13:N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4" t="str">
        <x:v>Drivers | monthly allocation and operating rates</x:v>
      </x:c>
      <x:c r="B1" s="4" t="str">
        <x:v>Drivers | monthly allocation and operating rates</x:v>
      </x:c>
      <x:c r="C1" s="4" t="str">
        <x:v>Drivers | monthly allocation and operating rates</x:v>
      </x:c>
      <x:c r="D1" s="4" t="str">
        <x:v>Drivers | monthly allocation and operating rates</x:v>
      </x:c>
      <x:c r="E1" s="4" t="str">
        <x:v>Drivers | monthly allocation and operating rates</x:v>
      </x:c>
      <x:c r="F1" s="4" t="str">
        <x:v>Drivers | monthly allocation and operating rates</x:v>
      </x:c>
      <x:c r="G1" s="4" t="str">
        <x:v>Drivers | monthly allocation and operating rates</x:v>
      </x:c>
      <x:c r="H1" s="4" t="str">
        <x:v>Drivers | monthly allocation and operating rates</x:v>
      </x:c>
      <x:c r="I1" s="4" t="str">
        <x:v>Drivers | monthly allocation and operating rates</x:v>
      </x:c>
      <x:c r="J1" s="4" t="str">
        <x:v>Drivers | monthly allocation and operating rates</x:v>
      </x:c>
      <x:c r="K1" s="4" t="str">
        <x:v>Drivers | monthly allocation and operating rates</x:v>
      </x:c>
      <x:c r="L1" s="4" t="str">
        <x:v>Drivers | monthly allocation and operating rates</x:v>
      </x:c>
      <x:c r="M1" s="4" t="str">
        <x:v>Drivers | monthly allocation and operating rates</x:v>
      </x:c>
      <x:c r="N1" s="4" t="str">
        <x:v>Drivers | monthly allocation and operating rates</x:v>
      </x:c>
    </x:row>
    <x:row r="3">
      <x:c r="A3" s="22" t="str">
        <x:v>Driver</x:v>
      </x:c>
      <x:c r="B3" s="22" t="str">
        <x:v>Apr</x:v>
      </x:c>
      <x:c r="C3" s="22" t="str">
        <x:v>May</x:v>
      </x:c>
      <x:c r="D3" s="22" t="str">
        <x:v>Jun</x:v>
      </x:c>
      <x:c r="E3" s="22" t="str">
        <x:v>Jul</x:v>
      </x:c>
      <x:c r="F3" s="22" t="str">
        <x:v>Aug</x:v>
      </x:c>
      <x:c r="G3" s="22" t="str">
        <x:v>Sep</x:v>
      </x:c>
      <x:c r="H3" s="22" t="str">
        <x:v>Oct</x:v>
      </x:c>
      <x:c r="I3" s="22" t="str">
        <x:v>Nov</x:v>
      </x:c>
      <x:c r="J3" s="22" t="str">
        <x:v>Dec</x:v>
      </x:c>
      <x:c r="K3" s="22" t="str">
        <x:v>Jan</x:v>
      </x:c>
      <x:c r="L3" s="22" t="str">
        <x:v>Feb</x:v>
      </x:c>
      <x:c r="M3" s="22" t="str">
        <x:v>Mar</x:v>
      </x:c>
    </x:row>
    <x:row r="4">
      <x:c r="A4" s="23" t="str">
        <x:v>Revenue weight</x:v>
      </x:c>
      <x:c r="B4" s="36" t="n">
        <x:v>0.08</x:v>
      </x:c>
      <x:c r="C4" s="36" t="n">
        <x:v>0.08</x:v>
      </x:c>
      <x:c r="D4" s="36" t="n">
        <x:v>0.082</x:v>
      </x:c>
      <x:c r="E4" s="36" t="n">
        <x:v>0.083</x:v>
      </x:c>
      <x:c r="F4" s="36" t="n">
        <x:v>0.083</x:v>
      </x:c>
      <x:c r="G4" s="36" t="n">
        <x:v>0.084</x:v>
      </x:c>
      <x:c r="H4" s="36" t="n">
        <x:v>0.085</x:v>
      </x:c>
      <x:c r="I4" s="36" t="n">
        <x:v>0.085</x:v>
      </x:c>
      <x:c r="J4" s="36" t="n">
        <x:v>0.087</x:v>
      </x:c>
      <x:c r="K4" s="36" t="n">
        <x:v>0.083</x:v>
      </x:c>
      <x:c r="L4" s="36" t="n">
        <x:v>0.083</x:v>
      </x:c>
      <x:c r="M4" s="36" t="n">
        <x:v>0.085</x:v>
      </x:c>
    </x:row>
    <x:row r="5">
      <x:c r="A5" s="23" t="str">
        <x:v>COGS % revenue</x:v>
      </x:c>
      <x:c r="B5" s="36" t="n">
        <x:v>0.615</x:v>
      </x:c>
      <x:c r="C5" s="36" t="n">
        <x:v>0.615</x:v>
      </x:c>
      <x:c r="D5" s="36" t="n">
        <x:v>0.615</x:v>
      </x:c>
      <x:c r="E5" s="36" t="n">
        <x:v>0.614</x:v>
      </x:c>
      <x:c r="F5" s="36" t="n">
        <x:v>0.614</x:v>
      </x:c>
      <x:c r="G5" s="36" t="n">
        <x:v>0.613</x:v>
      </x:c>
      <x:c r="H5" s="36" t="n">
        <x:v>0.613</x:v>
      </x:c>
      <x:c r="I5" s="36" t="n">
        <x:v>0.613</x:v>
      </x:c>
      <x:c r="J5" s="36" t="n">
        <x:v>0.612</x:v>
      </x:c>
      <x:c r="K5" s="36" t="n">
        <x:v>0.612</x:v>
      </x:c>
      <x:c r="L5" s="36" t="n">
        <x:v>0.612</x:v>
      </x:c>
      <x:c r="M5" s="36" t="n">
        <x:v>0.612</x:v>
      </x:c>
    </x:row>
    <x:row r="6">
      <x:c r="A6" s="23" t="str">
        <x:v>Opex % revenue</x:v>
      </x:c>
      <x:c r="B6" s="36" t="n">
        <x:v>0.267640380952381</x:v>
      </x:c>
      <x:c r="C6" s="36" t="n">
        <x:v>0.267640380952381</x:v>
      </x:c>
      <x:c r="D6" s="36" t="n">
        <x:v>0.267640380952381</x:v>
      </x:c>
      <x:c r="E6" s="36" t="n">
        <x:v>0.267640380952381</x:v>
      </x:c>
      <x:c r="F6" s="36" t="n">
        <x:v>0.267640380952381</x:v>
      </x:c>
      <x:c r="G6" s="36" t="n">
        <x:v>0.267640380952381</x:v>
      </x:c>
      <x:c r="H6" s="36" t="n">
        <x:v>0.267640380952381</x:v>
      </x:c>
      <x:c r="I6" s="36" t="n">
        <x:v>0.267640380952381</x:v>
      </x:c>
      <x:c r="J6" s="36" t="n">
        <x:v>0.267640380952381</x:v>
      </x:c>
      <x:c r="K6" s="36" t="n">
        <x:v>0.267640380952381</x:v>
      </x:c>
      <x:c r="L6" s="36" t="n">
        <x:v>0.267640380952381</x:v>
      </x:c>
      <x:c r="M6" s="36" t="n">
        <x:v>0.267640380952381</x:v>
      </x:c>
    </x:row>
    <x:row r="7">
      <x:c r="A7" s="23" t="str">
        <x:v>AR days</x:v>
      </x:c>
      <x:c r="B7" s="37" t="n">
        <x:v>48</x:v>
      </x:c>
      <x:c r="C7" s="37" t="n">
        <x:v>48</x:v>
      </x:c>
      <x:c r="D7" s="37" t="n">
        <x:v>47</x:v>
      </x:c>
      <x:c r="E7" s="37" t="n">
        <x:v>47</x:v>
      </x:c>
      <x:c r="F7" s="37" t="n">
        <x:v>47</x:v>
      </x:c>
      <x:c r="G7" s="37" t="n">
        <x:v>46</x:v>
      </x:c>
      <x:c r="H7" s="37" t="n">
        <x:v>46</x:v>
      </x:c>
      <x:c r="I7" s="37" t="n">
        <x:v>46</x:v>
      </x:c>
      <x:c r="J7" s="37" t="n">
        <x:v>46</x:v>
      </x:c>
      <x:c r="K7" s="37" t="n">
        <x:v>45</x:v>
      </x:c>
      <x:c r="L7" s="37" t="n">
        <x:v>45</x:v>
      </x:c>
      <x:c r="M7" s="37" t="n">
        <x:v>45</x:v>
      </x:c>
    </x:row>
    <x:row r="9">
      <x:c r="A9" s="38" t="str">
        <x:v>Revenue weights are deliberate editable inputs and sum to 100.0%; rates represent controlled planning assumptions, not external data.</x:v>
      </x:c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38"/>
      <x:c r="N9" s="38"/>
    </x:row>
  </x:sheetData>
  <x:mergeCells>
    <x:mergeCell ref="A1:N1"/>
    <x:mergeCell ref="A9:N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4" t="str">
        <x:v>Monthly Model | Base case operating plan</x:v>
      </x:c>
      <x:c r="B1" s="4" t="str">
        <x:v>Monthly Model | Base case operating plan</x:v>
      </x:c>
      <x:c r="C1" s="4" t="str">
        <x:v>Monthly Model | Base case operating plan</x:v>
      </x:c>
      <x:c r="D1" s="4" t="str">
        <x:v>Monthly Model | Base case operating plan</x:v>
      </x:c>
      <x:c r="E1" s="4" t="str">
        <x:v>Monthly Model | Base case operating plan</x:v>
      </x:c>
      <x:c r="F1" s="4" t="str">
        <x:v>Monthly Model | Base case operating plan</x:v>
      </x:c>
      <x:c r="G1" s="4" t="str">
        <x:v>Monthly Model | Base case operating plan</x:v>
      </x:c>
      <x:c r="H1" s="4" t="str">
        <x:v>Monthly Model | Base case operating plan</x:v>
      </x:c>
      <x:c r="I1" s="4" t="str">
        <x:v>Monthly Model | Base case operating plan</x:v>
      </x:c>
      <x:c r="J1" s="4" t="str">
        <x:v>Monthly Model | Base case operating plan</x:v>
      </x:c>
      <x:c r="K1" s="4" t="str">
        <x:v>Monthly Model | Base case operating plan</x:v>
      </x:c>
      <x:c r="L1" s="4" t="str">
        <x:v>Monthly Model | Base case operating plan</x:v>
      </x:c>
      <x:c r="M1" s="4" t="str">
        <x:v>Monthly Model | Base case operating plan</x:v>
      </x:c>
      <x:c r="N1" s="4" t="str">
        <x:v>Monthly Model | Base case operating plan</x:v>
      </x:c>
    </x:row>
    <x:row r="3">
      <x:c r="A3" s="22" t="str">
        <x:v>JPY m | Base</x:v>
      </x:c>
      <x:c r="B3" s="22" t="str">
        <x:v>Apr</x:v>
      </x:c>
      <x:c r="C3" s="22" t="str">
        <x:v>May</x:v>
      </x:c>
      <x:c r="D3" s="22" t="str">
        <x:v>Jun</x:v>
      </x:c>
      <x:c r="E3" s="22" t="str">
        <x:v>Jul</x:v>
      </x:c>
      <x:c r="F3" s="22" t="str">
        <x:v>Aug</x:v>
      </x:c>
      <x:c r="G3" s="22" t="str">
        <x:v>Sep</x:v>
      </x:c>
      <x:c r="H3" s="22" t="str">
        <x:v>Oct</x:v>
      </x:c>
      <x:c r="I3" s="22" t="str">
        <x:v>Nov</x:v>
      </x:c>
      <x:c r="J3" s="22" t="str">
        <x:v>Dec</x:v>
      </x:c>
      <x:c r="K3" s="22" t="str">
        <x:v>Jan</x:v>
      </x:c>
      <x:c r="L3" s="22" t="str">
        <x:v>Feb</x:v>
      </x:c>
      <x:c r="M3" s="22" t="str">
        <x:v>Mar</x:v>
      </x:c>
    </x:row>
    <x:row r="4">
      <x:c r="A4" s="23" t="str">
        <x:v>Revenue</x:v>
      </x:c>
      <x:c r="B4" s="59" t="n">
        <x:f>'Assumptions'!$B$5*'Drivers'!B4</x:f>
        <x:v>604.8000000000001</x:v>
      </x:c>
      <x:c r="C4" s="59" t="n">
        <x:f>'Assumptions'!$B$5*'Drivers'!C4</x:f>
        <x:v>604.8000000000001</x:v>
      </x:c>
      <x:c r="D4" s="59" t="n">
        <x:f>'Assumptions'!$B$5*'Drivers'!D4</x:f>
        <x:v>619.9200000000001</x:v>
      </x:c>
      <x:c r="E4" s="59" t="n">
        <x:f>'Assumptions'!$B$5*'Drivers'!E4</x:f>
        <x:v>627.48</x:v>
      </x:c>
      <x:c r="F4" s="59" t="n">
        <x:f>'Assumptions'!$B$5*'Drivers'!F4</x:f>
        <x:v>627.48</x:v>
      </x:c>
      <x:c r="G4" s="59" t="n">
        <x:f>'Assumptions'!$B$5*'Drivers'!G4</x:f>
        <x:v>635.0400000000001</x:v>
      </x:c>
      <x:c r="H4" s="59" t="n">
        <x:f>'Assumptions'!$B$5*'Drivers'!H4</x:f>
        <x:v>642.6</x:v>
      </x:c>
      <x:c r="I4" s="59" t="n">
        <x:f>'Assumptions'!$B$5*'Drivers'!I4</x:f>
        <x:v>642.6</x:v>
      </x:c>
      <x:c r="J4" s="59" t="n">
        <x:f>'Assumptions'!$B$5*'Drivers'!J4</x:f>
        <x:v>657.7199999999999</x:v>
      </x:c>
      <x:c r="K4" s="59" t="n">
        <x:f>'Assumptions'!$B$5*'Drivers'!K4</x:f>
        <x:v>627.48</x:v>
      </x:c>
      <x:c r="L4" s="59" t="n">
        <x:f>'Assumptions'!$B$5*'Drivers'!L4</x:f>
        <x:v>627.48</x:v>
      </x:c>
      <x:c r="M4" s="59" t="n">
        <x:f>'Assumptions'!$B$5*'Drivers'!M4</x:f>
        <x:v>642.6</x:v>
      </x:c>
    </x:row>
    <x:row r="5">
      <x:c r="A5" s="23" t="str">
        <x:v>COGS</x:v>
      </x:c>
      <x:c r="B5" s="60" t="n">
        <x:f>B4*'Drivers'!B5</x:f>
        <x:v>371.95200000000006</x:v>
      </x:c>
      <x:c r="C5" s="60" t="n">
        <x:f>C4*'Drivers'!C5</x:f>
        <x:v>371.95200000000006</x:v>
      </x:c>
      <x:c r="D5" s="60" t="n">
        <x:f>D4*'Drivers'!D5</x:f>
        <x:v>381.2508</x:v>
      </x:c>
      <x:c r="E5" s="60" t="n">
        <x:f>E4*'Drivers'!E5</x:f>
        <x:v>385.27272</x:v>
      </x:c>
      <x:c r="F5" s="60" t="n">
        <x:f>F4*'Drivers'!F5</x:f>
        <x:v>385.27272</x:v>
      </x:c>
      <x:c r="G5" s="60" t="n">
        <x:f>G4*'Drivers'!G5</x:f>
        <x:v>389.27952000000005</x:v>
      </x:c>
      <x:c r="H5" s="60" t="n">
        <x:f>H4*'Drivers'!H5</x:f>
        <x:v>393.9138</x:v>
      </x:c>
      <x:c r="I5" s="60" t="n">
        <x:f>I4*'Drivers'!I5</x:f>
        <x:v>393.9138</x:v>
      </x:c>
      <x:c r="J5" s="60" t="n">
        <x:f>J4*'Drivers'!J5</x:f>
        <x:v>402.5246399999999</x:v>
      </x:c>
      <x:c r="K5" s="60" t="n">
        <x:f>K4*'Drivers'!K5</x:f>
        <x:v>384.01776</x:v>
      </x:c>
      <x:c r="L5" s="60" t="n">
        <x:f>L4*'Drivers'!L5</x:f>
        <x:v>384.01776</x:v>
      </x:c>
      <x:c r="M5" s="60" t="n">
        <x:f>M4*'Drivers'!M5</x:f>
        <x:v>393.2712</x:v>
      </x:c>
    </x:row>
    <x:row r="6">
      <x:c r="A6" s="61" t="str">
        <x:v>Gross Profit</x:v>
      </x:c>
      <x:c r="B6" s="62" t="n">
        <x:f>B4-B5</x:f>
        <x:v>232.848</x:v>
      </x:c>
      <x:c r="C6" s="62" t="n">
        <x:f>C4-C5</x:f>
        <x:v>232.848</x:v>
      </x:c>
      <x:c r="D6" s="62" t="n">
        <x:f>D4-D5</x:f>
        <x:v>238.66920000000005</x:v>
      </x:c>
      <x:c r="E6" s="62" t="n">
        <x:f>E4-E5</x:f>
        <x:v>242.20728000000003</x:v>
      </x:c>
      <x:c r="F6" s="62" t="n">
        <x:f>F4-F5</x:f>
        <x:v>242.20728000000003</x:v>
      </x:c>
      <x:c r="G6" s="62" t="n">
        <x:f>G4-G5</x:f>
        <x:v>245.76048000000003</x:v>
      </x:c>
      <x:c r="H6" s="62" t="n">
        <x:f>H4-H5</x:f>
        <x:v>248.68620000000004</x:v>
      </x:c>
      <x:c r="I6" s="62" t="n">
        <x:f>I4-I5</x:f>
        <x:v>248.68620000000004</x:v>
      </x:c>
      <x:c r="J6" s="62" t="n">
        <x:f>J4-J5</x:f>
        <x:v>255.19536</x:v>
      </x:c>
      <x:c r="K6" s="62" t="n">
        <x:f>K4-K5</x:f>
        <x:v>243.46224</x:v>
      </x:c>
      <x:c r="L6" s="62" t="n">
        <x:f>L4-L5</x:f>
        <x:v>243.46224</x:v>
      </x:c>
      <x:c r="M6" s="62" t="n">
        <x:f>M4-M5</x:f>
        <x:v>249.3288</x:v>
      </x:c>
    </x:row>
    <x:row r="7">
      <x:c r="A7" s="23" t="str">
        <x:v>Opex</x:v>
      </x:c>
      <x:c r="B7" s="60" t="n">
        <x:f>B4*'Drivers'!B6</x:f>
        <x:v>161.86890240000005</x:v>
      </x:c>
      <x:c r="C7" s="60" t="n">
        <x:f>C4*'Drivers'!C6</x:f>
        <x:v>161.86890240000005</x:v>
      </x:c>
      <x:c r="D7" s="60" t="n">
        <x:f>D4*'Drivers'!D6</x:f>
        <x:v>165.91562496000006</x:v>
      </x:c>
      <x:c r="E7" s="60" t="n">
        <x:f>E4*'Drivers'!E6</x:f>
        <x:v>167.93898624000005</x:v>
      </x:c>
      <x:c r="F7" s="60" t="n">
        <x:f>F4*'Drivers'!F6</x:f>
        <x:v>167.93898624000005</x:v>
      </x:c>
      <x:c r="G7" s="60" t="n">
        <x:f>G4*'Drivers'!G6</x:f>
        <x:v>169.96234752000007</x:v>
      </x:c>
      <x:c r="H7" s="60" t="n">
        <x:f>H4*'Drivers'!H6</x:f>
        <x:v>171.98570880000005</x:v>
      </x:c>
      <x:c r="I7" s="60" t="n">
        <x:f>I4*'Drivers'!I6</x:f>
        <x:v>171.98570880000005</x:v>
      </x:c>
      <x:c r="J7" s="60" t="n">
        <x:f>J4*'Drivers'!J6</x:f>
        <x:v>176.03243136000003</x:v>
      </x:c>
      <x:c r="K7" s="60" t="n">
        <x:f>K4*'Drivers'!K6</x:f>
        <x:v>167.93898624000005</x:v>
      </x:c>
      <x:c r="L7" s="60" t="n">
        <x:f>L4*'Drivers'!L6</x:f>
        <x:v>167.93898624000005</x:v>
      </x:c>
      <x:c r="M7" s="60" t="n">
        <x:f>M4*'Drivers'!M6</x:f>
        <x:v>171.98570880000005</x:v>
      </x:c>
    </x:row>
    <x:row r="8">
      <x:c r="A8" s="63" t="str">
        <x:v>EBITDA</x:v>
      </x:c>
      <x:c r="B8" s="64" t="n">
        <x:f>B6-B7</x:f>
        <x:v>70.97909759999996</x:v>
      </x:c>
      <x:c r="C8" s="64" t="n">
        <x:f>C6-C7</x:f>
        <x:v>70.97909759999996</x:v>
      </x:c>
      <x:c r="D8" s="64" t="n">
        <x:f>D6-D7</x:f>
        <x:v>72.75357503999999</x:v>
      </x:c>
      <x:c r="E8" s="64" t="n">
        <x:f>E6-E7</x:f>
        <x:v>74.26829375999998</x:v>
      </x:c>
      <x:c r="F8" s="64" t="n">
        <x:f>F6-F7</x:f>
        <x:v>74.26829375999998</x:v>
      </x:c>
      <x:c r="G8" s="64" t="n">
        <x:f>G6-G7</x:f>
        <x:v>75.79813247999996</x:v>
      </x:c>
      <x:c r="H8" s="64" t="n">
        <x:f>H6-H7</x:f>
        <x:v>76.70049119999999</x:v>
      </x:c>
      <x:c r="I8" s="64" t="n">
        <x:f>I6-I7</x:f>
        <x:v>76.70049119999999</x:v>
      </x:c>
      <x:c r="J8" s="64" t="n">
        <x:f>J6-J7</x:f>
        <x:v>79.16292863999996</x:v>
      </x:c>
      <x:c r="K8" s="64" t="n">
        <x:f>K6-K7</x:f>
        <x:v>75.52325375999996</x:v>
      </x:c>
      <x:c r="L8" s="64" t="n">
        <x:f>L6-L7</x:f>
        <x:v>75.52325375999996</x:v>
      </x:c>
      <x:c r="M8" s="64" t="n">
        <x:f>M6-M7</x:f>
        <x:v>77.34309119999995</x:v>
      </x:c>
    </x:row>
    <x:row r="9">
      <x:c r="A9" s="63" t="str">
        <x:v>EBITDA Margin</x:v>
      </x:c>
      <x:c r="B9" s="65" t="n">
        <x:f>B8/B4</x:f>
        <x:v>0.11735961904761896</x:v>
      </x:c>
      <x:c r="C9" s="65" t="n">
        <x:f>C8/C4</x:f>
        <x:v>0.11735961904761896</x:v>
      </x:c>
      <x:c r="D9" s="65" t="n">
        <x:f>D8/D4</x:f>
        <x:v>0.11735961904761902</x:v>
      </x:c>
      <x:c r="E9" s="65" t="n">
        <x:f>E8/E4</x:f>
        <x:v>0.118359619047619</x:v>
      </x:c>
      <x:c r="F9" s="65" t="n">
        <x:f>F8/F4</x:f>
        <x:v>0.118359619047619</x:v>
      </x:c>
      <x:c r="G9" s="65" t="n">
        <x:f>G8/G4</x:f>
        <x:v>0.11935961904761898</x:v>
      </x:c>
      <x:c r="H9" s="65" t="n">
        <x:f>H8/H4</x:f>
        <x:v>0.11935961904761902</x:v>
      </x:c>
      <x:c r="I9" s="65" t="n">
        <x:f>I8/I4</x:f>
        <x:v>0.11935961904761902</x:v>
      </x:c>
      <x:c r="J9" s="65" t="n">
        <x:f>J8/J4</x:f>
        <x:v>0.12035961904761901</x:v>
      </x:c>
      <x:c r="K9" s="65" t="n">
        <x:f>K8/K4</x:f>
        <x:v>0.12035961904761898</x:v>
      </x:c>
      <x:c r="L9" s="65" t="n">
        <x:f>L8/L4</x:f>
        <x:v>0.12035961904761898</x:v>
      </x:c>
      <x:c r="M9" s="65" t="n">
        <x:f>M8/M4</x:f>
        <x:v>0.12035961904761897</x:v>
      </x:c>
    </x:row>
    <x:row r="10">
      <x:c r="A10" s="23" t="str">
        <x:v>Accounts Receivable</x:v>
      </x:c>
      <x:c r="B10" s="60" t="n">
        <x:f>B4*'Drivers'!B7/30</x:f>
        <x:v>967.6800000000001</x:v>
      </x:c>
      <x:c r="C10" s="60" t="n">
        <x:f>C4*'Drivers'!C7/30</x:f>
        <x:v>967.6800000000001</x:v>
      </x:c>
      <x:c r="D10" s="60" t="n">
        <x:f>D4*'Drivers'!D7/30</x:f>
        <x:v>971.2080000000002</x:v>
      </x:c>
      <x:c r="E10" s="60" t="n">
        <x:f>E4*'Drivers'!E7/30</x:f>
        <x:v>983.052</x:v>
      </x:c>
      <x:c r="F10" s="60" t="n">
        <x:f>F4*'Drivers'!F7/30</x:f>
        <x:v>983.052</x:v>
      </x:c>
      <x:c r="G10" s="60" t="n">
        <x:f>G4*'Drivers'!G7/30</x:f>
        <x:v>973.7280000000002</x:v>
      </x:c>
      <x:c r="H10" s="60" t="n">
        <x:f>H4*'Drivers'!H7/30</x:f>
        <x:v>985.32</x:v>
      </x:c>
      <x:c r="I10" s="60" t="n">
        <x:f>I4*'Drivers'!I7/30</x:f>
        <x:v>985.32</x:v>
      </x:c>
      <x:c r="J10" s="60" t="n">
        <x:f>J4*'Drivers'!J7/30</x:f>
        <x:v>1008.5039999999998</x:v>
      </x:c>
      <x:c r="K10" s="60" t="n">
        <x:f>K4*'Drivers'!K7/30</x:f>
        <x:v>941.22</x:v>
      </x:c>
      <x:c r="L10" s="60" t="n">
        <x:f>L4*'Drivers'!L7/30</x:f>
        <x:v>941.22</x:v>
      </x:c>
      <x:c r="M10" s="60" t="n">
        <x:f>M4*'Drivers'!M7/30</x:f>
        <x:v>963.9</x:v>
      </x:c>
    </x:row>
    <x:row r="11">
      <x:c r="A11" s="23" t="str">
        <x:v>Inventory</x:v>
      </x:c>
      <x:c r="B11" s="60" t="n">
        <x:f>B5*1.45</x:f>
        <x:v>539.3304</x:v>
      </x:c>
      <x:c r="C11" s="60" t="n">
        <x:f>C5*1.45</x:f>
        <x:v>539.3304</x:v>
      </x:c>
      <x:c r="D11" s="60" t="n">
        <x:f>D5*1.45</x:f>
        <x:v>552.81366</x:v>
      </x:c>
      <x:c r="E11" s="60" t="n">
        <x:f>E5*1.45</x:f>
        <x:v>558.645444</x:v>
      </x:c>
      <x:c r="F11" s="60" t="n">
        <x:f>F5*1.45</x:f>
        <x:v>558.645444</x:v>
      </x:c>
      <x:c r="G11" s="60" t="n">
        <x:f>G5*1.45</x:f>
        <x:v>564.4553040000001</x:v>
      </x:c>
      <x:c r="H11" s="60" t="n">
        <x:f>H5*1.45</x:f>
        <x:v>571.1750099999999</x:v>
      </x:c>
      <x:c r="I11" s="60" t="n">
        <x:f>I5*1.45</x:f>
        <x:v>571.1750099999999</x:v>
      </x:c>
      <x:c r="J11" s="60" t="n">
        <x:f>J5*1.45</x:f>
        <x:v>583.6607279999998</x:v>
      </x:c>
      <x:c r="K11" s="60" t="n">
        <x:f>K5*1.45</x:f>
        <x:v>556.825752</x:v>
      </x:c>
      <x:c r="L11" s="60" t="n">
        <x:f>L5*1.45</x:f>
        <x:v>556.825752</x:v>
      </x:c>
      <x:c r="M11" s="60" t="n">
        <x:f>M5*1.45</x:f>
        <x:v>570.24324</x:v>
      </x:c>
    </x:row>
    <x:row r="12">
      <x:c r="A12" s="23" t="str">
        <x:v>Accounts Payable</x:v>
      </x:c>
      <x:c r="B12" s="60" t="n">
        <x:f>B5*0.65</x:f>
        <x:v>241.76880000000006</x:v>
      </x:c>
      <x:c r="C12" s="60" t="n">
        <x:f>C5*0.65</x:f>
        <x:v>241.76880000000006</x:v>
      </x:c>
      <x:c r="D12" s="60" t="n">
        <x:f>D5*0.65</x:f>
        <x:v>247.81302000000002</x:v>
      </x:c>
      <x:c r="E12" s="60" t="n">
        <x:f>E5*0.65</x:f>
        <x:v>250.427268</x:v>
      </x:c>
      <x:c r="F12" s="60" t="n">
        <x:f>F5*0.65</x:f>
        <x:v>250.427268</x:v>
      </x:c>
      <x:c r="G12" s="60" t="n">
        <x:f>G5*0.65</x:f>
        <x:v>253.03168800000003</x:v>
      </x:c>
      <x:c r="H12" s="60" t="n">
        <x:f>H5*0.65</x:f>
        <x:v>256.04397</x:v>
      </x:c>
      <x:c r="I12" s="60" t="n">
        <x:f>I5*0.65</x:f>
        <x:v>256.04397</x:v>
      </x:c>
      <x:c r="J12" s="60" t="n">
        <x:f>J5*0.65</x:f>
        <x:v>261.641016</x:v>
      </x:c>
      <x:c r="K12" s="60" t="n">
        <x:f>K5*0.65</x:f>
        <x:v>249.611544</x:v>
      </x:c>
      <x:c r="L12" s="60" t="n">
        <x:f>L5*0.65</x:f>
        <x:v>249.611544</x:v>
      </x:c>
      <x:c r="M12" s="60" t="n">
        <x:f>M5*0.65</x:f>
        <x:v>255.62628000000004</x:v>
      </x:c>
    </x:row>
    <x:row r="13">
      <x:c r="A13" s="23" t="str">
        <x:v>Net Working Capital</x:v>
      </x:c>
      <x:c r="B13" s="60" t="n">
        <x:f>B10+B11-B12</x:f>
        <x:v>1265.2416</x:v>
      </x:c>
      <x:c r="C13" s="60" t="n">
        <x:f>C10+C11-C12</x:f>
        <x:v>1265.2416</x:v>
      </x:c>
      <x:c r="D13" s="60" t="n">
        <x:f>D10+D11-D12</x:f>
        <x:v>1276.2086400000003</x:v>
      </x:c>
      <x:c r="E13" s="60" t="n">
        <x:f>E10+E11-E12</x:f>
        <x:v>1291.270176</x:v>
      </x:c>
      <x:c r="F13" s="60" t="n">
        <x:f>F10+F11-F12</x:f>
        <x:v>1291.270176</x:v>
      </x:c>
      <x:c r="G13" s="60" t="n">
        <x:f>G10+G11-G12</x:f>
        <x:v>1285.151616</x:v>
      </x:c>
      <x:c r="H13" s="60" t="n">
        <x:f>H10+H11-H12</x:f>
        <x:v>1300.4510400000001</x:v>
      </x:c>
      <x:c r="I13" s="60" t="n">
        <x:f>I10+I11-I12</x:f>
        <x:v>1300.4510400000001</x:v>
      </x:c>
      <x:c r="J13" s="60" t="n">
        <x:f>J10+J11-J12</x:f>
        <x:v>1330.5237119999997</x:v>
      </x:c>
      <x:c r="K13" s="60" t="n">
        <x:f>K10+K11-K12</x:f>
        <x:v>1248.434208</x:v>
      </x:c>
      <x:c r="L13" s="60" t="n">
        <x:f>L10+L11-L12</x:f>
        <x:v>1248.434208</x:v>
      </x:c>
      <x:c r="M13" s="60" t="n">
        <x:f>M10+M11-M12</x:f>
        <x:v>1278.51696</x:v>
      </x:c>
    </x:row>
    <x:row r="14">
      <x:c r="A14" s="23" t="str">
        <x:v>Operating Cash Proxy</x:v>
      </x:c>
      <x:c r="B14" s="60" t="n">
        <x:f>B8-(B13-0)</x:f>
        <x:v>-1194.2625024000001</x:v>
      </x:c>
      <x:c r="C14" s="60" t="n">
        <x:f>C8-(C13-0)</x:f>
        <x:v>-1194.2625024000001</x:v>
      </x:c>
      <x:c r="D14" s="60" t="n">
        <x:f>D8-(D13-0)</x:f>
        <x:v>-1203.4550649600003</x:v>
      </x:c>
      <x:c r="E14" s="60" t="n">
        <x:f>E8-(E13-0)</x:f>
        <x:v>-1217.00188224</x:v>
      </x:c>
      <x:c r="F14" s="60" t="n">
        <x:f>F8-(F13-0)</x:f>
        <x:v>-1217.00188224</x:v>
      </x:c>
      <x:c r="G14" s="60" t="n">
        <x:f>G8-(G13-0)</x:f>
        <x:v>-1209.35348352</x:v>
      </x:c>
      <x:c r="H14" s="60" t="n">
        <x:f>H8-(H13-0)</x:f>
        <x:v>-1223.7505488000002</x:v>
      </x:c>
      <x:c r="I14" s="60" t="n">
        <x:f>I8-(I13-0)</x:f>
        <x:v>-1223.7505488000002</x:v>
      </x:c>
      <x:c r="J14" s="60" t="n">
        <x:f>J8-(J13-0)</x:f>
        <x:v>-1251.3607833599997</x:v>
      </x:c>
      <x:c r="K14" s="60" t="n">
        <x:f>K8-(K13-0)</x:f>
        <x:v>-1172.91095424</x:v>
      </x:c>
      <x:c r="L14" s="60" t="n">
        <x:f>L8-(L13-0)</x:f>
        <x:v>-1172.91095424</x:v>
      </x:c>
      <x:c r="M14" s="60" t="n">
        <x:f>M8-(M13-0)</x:f>
        <x:v>-1201.1738688</x:v>
      </x:c>
    </x:row>
    <x:row r="16" ht="20" customHeight="1">
      <x:c r="A16" s="9" t="str">
        <x:v>Annual roll-up</x:v>
      </x:c>
      <x:c r="B16" s="9" t="str">
        <x:v>Annual roll-up</x:v>
      </x:c>
      <x:c r="C16" s="9" t="str">
        <x:v>Annual roll-up</x:v>
      </x:c>
      <x:c r="D16" s="9" t="str">
        <x:v>Annual roll-up</x:v>
      </x:c>
      <x:c r="E16" s="9" t="str">
        <x:v>Annual roll-up</x:v>
      </x:c>
      <x:c r="F16" s="9" t="str">
        <x:v>Annual roll-up</x:v>
      </x:c>
      <x:c r="G16" s="9" t="str">
        <x:v>Annual roll-up</x:v>
      </x:c>
      <x:c r="H16" s="9" t="str">
        <x:v>Annual roll-up</x:v>
      </x:c>
      <x:c r="I16" s="9" t="str">
        <x:v>Annual roll-up</x:v>
      </x:c>
      <x:c r="J16" s="9" t="str">
        <x:v>Annual roll-up</x:v>
      </x:c>
      <x:c r="K16" s="9" t="str">
        <x:v>Annual roll-up</x:v>
      </x:c>
      <x:c r="L16" s="9" t="str">
        <x:v>Annual roll-up</x:v>
      </x:c>
      <x:c r="M16" s="9" t="str">
        <x:v>Annual roll-up</x:v>
      </x:c>
      <x:c r="N16" s="9" t="str">
        <x:v>Annual roll-up</x:v>
      </x:c>
    </x:row>
    <x:row r="17">
      <x:c r="A17" s="22" t="str">
        <x:v>Metric</x:v>
      </x:c>
      <x:c r="B17" s="22" t="str">
        <x:v>FY2026</x:v>
      </x:c>
      <x:c r="C17" s="22" t="str">
        <x:v>Check</x:v>
      </x:c>
    </x:row>
    <x:row r="18">
      <x:c r="A18" s="23" t="str">
        <x:v>Revenue</x:v>
      </x:c>
      <x:c r="B18" s="18" t="n">
        <x:f>SUM(B4:M4)</x:f>
        <x:v>7560</x:v>
      </x:c>
      <x:c r="C18" s="18" t="n">
        <x:f>B18-'Assumptions'!B5</x:f>
        <x:v>0</x:v>
      </x:c>
    </x:row>
    <x:row r="19">
      <x:c r="A19" s="23" t="str">
        <x:v>COGS</x:v>
      </x:c>
      <x:c r="B19" s="18" t="n">
        <x:f>SUM(B5:M5)</x:f>
        <x:v>4636.63872</x:v>
      </x:c>
      <x:c r="C19" s="18"/>
    </x:row>
    <x:row r="20">
      <x:c r="A20" s="23" t="str">
        <x:v>Gross Profit</x:v>
      </x:c>
      <x:c r="B20" s="18" t="n">
        <x:f>SUM(B6:M6)</x:f>
        <x:v>2923.36128</x:v>
      </x:c>
      <x:c r="C20" s="18"/>
    </x:row>
    <x:row r="21">
      <x:c r="A21" s="23" t="str">
        <x:v>Opex</x:v>
      </x:c>
      <x:c r="B21" s="18" t="n">
        <x:f>SUM(B7:M7)</x:f>
        <x:v>2023.3612800000008</x:v>
      </x:c>
      <x:c r="C21" s="18"/>
    </x:row>
    <x:row r="22">
      <x:c r="A22" s="23" t="str">
        <x:v>EBITDA</x:v>
      </x:c>
      <x:c r="B22" s="18" t="n">
        <x:f>SUM(B8:M8)</x:f>
        <x:v>899.9999999999995</x:v>
      </x:c>
      <x:c r="C22" s="18" t="n">
        <x:f>B22-'Assumptions'!B9</x:f>
        <x:v>-4.547473508864641e-13</x:v>
      </x:c>
    </x:row>
  </x:sheetData>
  <x:mergeCells>
    <x:mergeCell ref="A1:N1"/>
    <x:mergeCell ref="A16:N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4" t="str">
        <x:v>Scenarios | governed annual cases</x:v>
      </x:c>
      <x:c r="B1" s="4" t="str">
        <x:v>Scenarios | governed annual cases</x:v>
      </x:c>
      <x:c r="C1" s="4" t="str">
        <x:v>Scenarios | governed annual cases</x:v>
      </x:c>
      <x:c r="D1" s="4" t="str">
        <x:v>Scenarios | governed annual cases</x:v>
      </x:c>
      <x:c r="E1" s="4" t="str">
        <x:v>Scenarios | governed annual cases</x:v>
      </x:c>
      <x:c r="F1" s="4" t="str">
        <x:v>Scenarios | governed annual cases</x:v>
      </x:c>
      <x:c r="G1" s="4" t="str">
        <x:v>Scenarios | governed annual cases</x:v>
      </x:c>
      <x:c r="H1" s="4" t="str">
        <x:v>Scenarios | governed annual cases</x:v>
      </x:c>
      <x:c r="I1" s="4" t="str">
        <x:v>Scenarios | governed annual cases</x:v>
      </x:c>
      <x:c r="J1" s="4" t="str">
        <x:v>Scenarios | governed annual cases</x:v>
      </x:c>
      <x:c r="K1" s="4" t="str">
        <x:v>Scenarios | governed annual cases</x:v>
      </x:c>
      <x:c r="L1" s="4" t="str">
        <x:v>Scenarios | governed annual cases</x:v>
      </x:c>
      <x:c r="M1" s="4" t="str">
        <x:v>Scenarios | governed annual cases</x:v>
      </x:c>
      <x:c r="N1" s="4" t="str">
        <x:v>Scenarios | governed annual cases</x:v>
      </x:c>
    </x:row>
    <x:row r="3">
      <x:c r="A3" s="22" t="str">
        <x:v>Case</x:v>
      </x:c>
      <x:c r="B3" s="22" t="str">
        <x:v>Revenue</x:v>
      </x:c>
      <x:c r="C3" s="22" t="str">
        <x:v>EBITDA</x:v>
      </x:c>
      <x:c r="D3" s="22" t="str">
        <x:v>EBITDA Margin</x:v>
      </x:c>
      <x:c r="E3" s="22" t="str">
        <x:v>Decision use</x:v>
      </x:c>
    </x:row>
    <x:row r="4">
      <x:c r="A4" s="23" t="str">
        <x:v>Budget</x:v>
      </x:c>
      <x:c r="B4" s="18" t="n">
        <x:v>7400</x:v>
      </x:c>
      <x:c r="C4" s="18" t="n">
        <x:v>860</x:v>
      </x:c>
      <x:c r="D4" s="19" t="n">
        <x:f>C4/B4</x:f>
        <x:v>0.11621621621621622</x:v>
      </x:c>
      <x:c r="E4" s="23" t="str">
        <x:v>Approved plan</x:v>
      </x:c>
    </x:row>
    <x:row r="5">
      <x:c r="A5" s="23" t="str">
        <x:v>Base</x:v>
      </x:c>
      <x:c r="B5" s="18" t="n">
        <x:v>7560</x:v>
      </x:c>
      <x:c r="C5" s="18" t="n">
        <x:v>900</x:v>
      </x:c>
      <x:c r="D5" s="19" t="n">
        <x:f>C5/B5</x:f>
        <x:v>0.11904761904761904</x:v>
      </x:c>
      <x:c r="E5" s="23" t="str">
        <x:v>Current management case</x:v>
      </x:c>
    </x:row>
    <x:row r="6">
      <x:c r="A6" s="23" t="str">
        <x:v>Downside</x:v>
      </x:c>
      <x:c r="B6" s="18" t="n">
        <x:v>7050</x:v>
      </x:c>
      <x:c r="C6" s="18" t="n">
        <x:v>720</x:v>
      </x:c>
      <x:c r="D6" s="19" t="n">
        <x:f>C6/B6</x:f>
        <x:v>0.10212765957446808</x:v>
      </x:c>
      <x:c r="E6" s="23" t="str">
        <x:v>Risk response</x:v>
      </x:c>
    </x:row>
    <x:row r="7">
      <x:c r="A7" s="23" t="str">
        <x:v>Upside</x:v>
      </x:c>
      <x:c r="B7" s="18" t="n">
        <x:v>7920</x:v>
      </x:c>
      <x:c r="C7" s="18" t="n">
        <x:v>1020</x:v>
      </x:c>
      <x:c r="D7" s="19" t="n">
        <x:f>C7/B7</x:f>
        <x:v>0.12878787878787878</x:v>
      </x:c>
      <x:c r="E7" s="23" t="str">
        <x:v>Capacity option</x:v>
      </x:c>
    </x:row>
    <x:row r="8">
      <x:c r="A8" s="23" t="str">
        <x:v>Selected case</x:v>
      </x:c>
      <x:c r="B8" s="18" t="n">
        <x:f>INDEX(B4:B7,MATCH('Assumptions'!B15,A4:A7,0))</x:f>
        <x:v>7560</x:v>
      </x:c>
      <x:c r="C8" s="18" t="n">
        <x:f>INDEX(C4:C7,MATCH('Assumptions'!B15,A4:A7,0))</x:f>
        <x:v>900</x:v>
      </x:c>
      <x:c r="D8" s="19" t="n">
        <x:f>C8/B8</x:f>
        <x:v>0.11904761904761904</x:v>
      </x:c>
      <x:c r="E8" s="23" t="str">
        <x:v>Base selected</x:v>
      </x:c>
    </x:row>
  </x:sheetData>
  <x:mergeCells>
    <x:mergeCell ref="A1:N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4" t="str">
        <x:v>Checks | model status and reconciliations</x:v>
      </x:c>
      <x:c r="B1" s="4" t="str">
        <x:v>Checks | model status and reconciliations</x:v>
      </x:c>
      <x:c r="C1" s="4" t="str">
        <x:v>Checks | model status and reconciliations</x:v>
      </x:c>
      <x:c r="D1" s="4" t="str">
        <x:v>Checks | model status and reconciliations</x:v>
      </x:c>
      <x:c r="E1" s="4" t="str">
        <x:v>Checks | model status and reconciliations</x:v>
      </x:c>
      <x:c r="F1" s="4" t="str">
        <x:v>Checks | model status and reconciliations</x:v>
      </x:c>
      <x:c r="G1" s="4" t="str">
        <x:v>Checks | model status and reconciliations</x:v>
      </x:c>
      <x:c r="H1" s="4" t="str">
        <x:v>Checks | model status and reconciliations</x:v>
      </x:c>
      <x:c r="I1" s="4" t="str">
        <x:v>Checks | model status and reconciliations</x:v>
      </x:c>
      <x:c r="J1" s="4" t="str">
        <x:v>Checks | model status and reconciliations</x:v>
      </x:c>
      <x:c r="K1" s="4" t="str">
        <x:v>Checks | model status and reconciliations</x:v>
      </x:c>
      <x:c r="L1" s="4" t="str">
        <x:v>Checks | model status and reconciliations</x:v>
      </x:c>
      <x:c r="M1" s="4" t="str">
        <x:v>Checks | model status and reconciliations</x:v>
      </x:c>
      <x:c r="N1" s="4" t="str">
        <x:v>Checks | model status and reconciliations</x:v>
      </x:c>
    </x:row>
    <x:row r="3">
      <x:c r="A3" s="22" t="str">
        <x:v>Check</x:v>
      </x:c>
      <x:c r="B3" s="22" t="str">
        <x:v>Result / Delta</x:v>
      </x:c>
      <x:c r="C3" s="22" t="str">
        <x:v>Status</x:v>
      </x:c>
      <x:c r="D3" s="22" t="str">
        <x:v>Owner</x:v>
      </x:c>
    </x:row>
    <x:row r="4">
      <x:c r="A4" s="23" t="str">
        <x:v>Revenue annual roll-up</x:v>
      </x:c>
      <x:c r="B4" s="68" t="n">
        <x:f>'Monthly Model'!B18-'Assumptions'!B5</x:f>
        <x:v>0</x:v>
      </x:c>
      <x:c r="C4" s="23" t="str">
        <x:f>IF(ABS(B4)&lt;0.1,"PASS","FAIL")</x:f>
        <x:v>PASS</x:v>
      </x:c>
      <x:c r="D4" s="23" t="str">
        <x:v>Finance Controller</x:v>
      </x:c>
    </x:row>
    <x:row r="5">
      <x:c r="A5" s="23" t="str">
        <x:v>EBITDA annual roll-up</x:v>
      </x:c>
      <x:c r="B5" s="68" t="n">
        <x:f>'Monthly Model'!B22-'Assumptions'!B9</x:f>
        <x:v>-4.547473508864641e-13</x:v>
      </x:c>
      <x:c r="C5" s="23" t="str">
        <x:f>IF(ABS(B5)&lt;0.1,"PASS","FAIL")</x:f>
        <x:v>PASS</x:v>
      </x:c>
      <x:c r="D5" s="23" t="str">
        <x:v>Finance Controller</x:v>
      </x:c>
    </x:row>
    <x:row r="6">
      <x:c r="A6" s="23" t="str">
        <x:v>Revenue weights sum</x:v>
      </x:c>
      <x:c r="B6" s="68" t="n">
        <x:f>SUM('Drivers'!B4:M4)-1</x:f>
        <x:v>-1.1102230246251565e-16</x:v>
      </x:c>
      <x:c r="C6" s="23" t="str">
        <x:f>IF(ABS(B6)&lt;0.001,"PASS","FAIL")</x:f>
        <x:v>PASS</x:v>
      </x:c>
      <x:c r="D6" s="23" t="str">
        <x:v>FP&amp;A</x:v>
      </x:c>
    </x:row>
    <x:row r="7">
      <x:c r="A7" s="23" t="str">
        <x:v>Q1 actual revenue</x:v>
      </x:c>
      <x:c r="B7" s="68" t="n">
        <x:v>1842</x:v>
      </x:c>
      <x:c r="C7" s="23" t="str">
        <x:f>IF(B7=1842,"PASS","FAIL")</x:f>
        <x:v>PASS</x:v>
      </x:c>
      <x:c r="D7" s="23" t="str">
        <x:v>Close Lead</x:v>
      </x:c>
    </x:row>
    <x:row r="8">
      <x:c r="A8" s="23" t="str">
        <x:v>Q1 actual COGS</x:v>
      </x:c>
      <x:c r="B8" s="68" t="n">
        <x:v>1131</x:v>
      </x:c>
      <x:c r="C8" s="23" t="str">
        <x:f>IF(B8=1131,"PASS","FAIL")</x:f>
        <x:v>PASS</x:v>
      </x:c>
      <x:c r="D8" s="23" t="str">
        <x:v>Close Lead</x:v>
      </x:c>
    </x:row>
    <x:row r="9">
      <x:c r="A9" s="23" t="str">
        <x:v>Q1 actual gross profit</x:v>
      </x:c>
      <x:c r="B9" s="68" t="n">
        <x:v>711</x:v>
      </x:c>
      <x:c r="C9" s="23" t="str">
        <x:f>IF(B9=711,"PASS","FAIL")</x:f>
        <x:v>PASS</x:v>
      </x:c>
      <x:c r="D9" s="23" t="str">
        <x:v>Close Lead</x:v>
      </x:c>
    </x:row>
    <x:row r="10">
      <x:c r="A10" s="23" t="str">
        <x:v>Q1 actual EBITDA</x:v>
      </x:c>
      <x:c r="B10" s="68" t="n">
        <x:v>222</x:v>
      </x:c>
      <x:c r="C10" s="23" t="str">
        <x:f>IF(B10=222,"PASS","FAIL")</x:f>
        <x:v>PASS</x:v>
      </x:c>
      <x:c r="D10" s="23" t="str">
        <x:v>Close Lead</x:v>
      </x:c>
    </x:row>
    <x:row r="12" ht="20" customHeight="1">
      <x:c r="A12" s="9" t="str">
        <x:v>Cash variance bridge</x:v>
      </x:c>
      <x:c r="B12" s="9" t="str">
        <x:v>Cash variance bridge</x:v>
      </x:c>
      <x:c r="C12" s="9" t="str">
        <x:v>Cash variance bridge</x:v>
      </x:c>
      <x:c r="D12" s="9" t="str">
        <x:v>Cash variance bridge</x:v>
      </x:c>
      <x:c r="E12" s="9" t="str">
        <x:v>Cash variance bridge</x:v>
      </x:c>
      <x:c r="F12" s="9" t="str">
        <x:v>Cash variance bridge</x:v>
      </x:c>
      <x:c r="G12" s="9" t="str">
        <x:v>Cash variance bridge</x:v>
      </x:c>
      <x:c r="H12" s="9" t="str">
        <x:v>Cash variance bridge</x:v>
      </x:c>
      <x:c r="I12" s="9" t="str">
        <x:v>Cash variance bridge</x:v>
      </x:c>
      <x:c r="J12" s="9" t="str">
        <x:v>Cash variance bridge</x:v>
      </x:c>
      <x:c r="K12" s="9" t="str">
        <x:v>Cash variance bridge</x:v>
      </x:c>
      <x:c r="L12" s="9" t="str">
        <x:v>Cash variance bridge</x:v>
      </x:c>
      <x:c r="M12" s="9" t="str">
        <x:v>Cash variance bridge</x:v>
      </x:c>
      <x:c r="N12" s="9" t="str">
        <x:v>Cash variance bridge</x:v>
      </x:c>
    </x:row>
    <x:row r="13">
      <x:c r="A13" s="22" t="str">
        <x:v>Bridge component</x:v>
      </x:c>
      <x:c r="B13" s="22" t="str">
        <x:v>JPY m</x:v>
      </x:c>
      <x:c r="C13" s="22" t="str">
        <x:v>Status</x:v>
      </x:c>
      <x:c r="D13" s="22" t="str">
        <x:v>Control</x:v>
      </x:c>
    </x:row>
    <x:row r="14">
      <x:c r="A14" s="23" t="str">
        <x:v>Bank balance</x:v>
      </x:c>
      <x:c r="B14" s="68" t="n">
        <x:v>486.2</x:v>
      </x:c>
      <x:c r="C14" s="23" t="str">
        <x:v>PASS</x:v>
      </x:c>
      <x:c r="D14" s="23" t="str">
        <x:v>Bank statement</x:v>
      </x:c>
    </x:row>
    <x:row r="15">
      <x:c r="A15" s="23" t="str">
        <x:v>Ledger balance</x:v>
      </x:c>
      <x:c r="B15" s="68" t="n">
        <x:v>498.6</x:v>
      </x:c>
      <x:c r="C15" s="23" t="str">
        <x:v>PASS</x:v>
      </x:c>
      <x:c r="D15" s="23" t="str">
        <x:v>GL cash</x:v>
      </x:c>
    </x:row>
    <x:row r="16">
      <x:c r="A16" s="23" t="str">
        <x:v>Unfavorable variance</x:v>
      </x:c>
      <x:c r="B16" s="68" t="n">
        <x:f>B15-B14</x:f>
        <x:v>12.400000000000034</x:v>
      </x:c>
      <x:c r="C16" s="23" t="str">
        <x:v>PASS</x:v>
      </x:c>
      <x:c r="D16" s="23" t="str">
        <x:v>Ledger less bank</x:v>
      </x:c>
    </x:row>
    <x:row r="17">
      <x:c r="A17" s="23" t="str">
        <x:v>Timing / reconciling items</x:v>
      </x:c>
      <x:c r="B17" s="68" t="n">
        <x:v>7.2</x:v>
      </x:c>
      <x:c r="C17" s="23" t="str">
        <x:v>PASS</x:v>
      </x:c>
      <x:c r="D17" s="23" t="str">
        <x:v>Bridge</x:v>
      </x:c>
    </x:row>
    <x:row r="18">
      <x:c r="A18" s="23" t="str">
        <x:v>Unpresented items</x:v>
      </x:c>
      <x:c r="B18" s="68" t="n">
        <x:v>3.1</x:v>
      </x:c>
      <x:c r="C18" s="23" t="str">
        <x:v>PASS</x:v>
      </x:c>
      <x:c r="D18" s="23" t="str">
        <x:v>Bridge</x:v>
      </x:c>
    </x:row>
    <x:row r="19">
      <x:c r="A19" s="23" t="str">
        <x:v>FX settlement lag</x:v>
      </x:c>
      <x:c r="B19" s="68" t="n">
        <x:v>1.3</x:v>
      </x:c>
      <x:c r="C19" s="23" t="str">
        <x:v>PASS</x:v>
      </x:c>
      <x:c r="D19" s="23" t="str">
        <x:v>Bridge</x:v>
      </x:c>
    </x:row>
    <x:row r="20">
      <x:c r="A20" s="23" t="str">
        <x:v>Fee accrual</x:v>
      </x:c>
      <x:c r="B20" s="68" t="n">
        <x:v>0.8</x:v>
      </x:c>
      <x:c r="C20" s="23" t="str">
        <x:v>PASS</x:v>
      </x:c>
      <x:c r="D20" s="23" t="str">
        <x:v>Bridge</x:v>
      </x:c>
    </x:row>
    <x:row r="21">
      <x:c r="A21" s="23" t="str">
        <x:v>Bridge total</x:v>
      </x:c>
      <x:c r="B21" s="68" t="n">
        <x:f>SUM(B17:B20)</x:f>
        <x:v>12.400000000000002</x:v>
      </x:c>
      <x:c r="C21" s="23" t="str">
        <x:v>PASS</x:v>
      </x:c>
      <x:c r="D21" s="23" t="str">
        <x:v>7.2 + 3.1 + 1.3 + 0.8</x:v>
      </x:c>
    </x:row>
  </x:sheetData>
  <x:mergeCells>
    <x:mergeCell ref="A1:N1"/>
    <x:mergeCell ref="A12:N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4" t="str">
        <x:v>Sources &amp; Audit | controlled synthetic inputs</x:v>
      </x:c>
      <x:c r="B1" s="4" t="str">
        <x:v>Sources &amp; Audit | controlled synthetic inputs</x:v>
      </x:c>
      <x:c r="C1" s="4" t="str">
        <x:v>Sources &amp; Audit | controlled synthetic inputs</x:v>
      </x:c>
      <x:c r="D1" s="4" t="str">
        <x:v>Sources &amp; Audit | controlled synthetic inputs</x:v>
      </x:c>
      <x:c r="E1" s="4" t="str">
        <x:v>Sources &amp; Audit | controlled synthetic inputs</x:v>
      </x:c>
      <x:c r="F1" s="4" t="str">
        <x:v>Sources &amp; Audit | controlled synthetic inputs</x:v>
      </x:c>
      <x:c r="G1" s="4" t="str">
        <x:v>Sources &amp; Audit | controlled synthetic inputs</x:v>
      </x:c>
      <x:c r="H1" s="4" t="str">
        <x:v>Sources &amp; Audit | controlled synthetic inputs</x:v>
      </x:c>
      <x:c r="I1" s="4" t="str">
        <x:v>Sources &amp; Audit | controlled synthetic inputs</x:v>
      </x:c>
      <x:c r="J1" s="4" t="str">
        <x:v>Sources &amp; Audit | controlled synthetic inputs</x:v>
      </x:c>
      <x:c r="K1" s="4" t="str">
        <x:v>Sources &amp; Audit | controlled synthetic inputs</x:v>
      </x:c>
      <x:c r="L1" s="4" t="str">
        <x:v>Sources &amp; Audit | controlled synthetic inputs</x:v>
      </x:c>
      <x:c r="M1" s="4" t="str">
        <x:v>Sources &amp; Audit | controlled synthetic inputs</x:v>
      </x:c>
      <x:c r="N1" s="4" t="str">
        <x:v>Sources &amp; Audit | controlled synthetic inputs</x:v>
      </x:c>
    </x:row>
    <x:row r="3">
      <x:c r="A3" s="22" t="str">
        <x:v>Item</x:v>
      </x:c>
      <x:c r="B3" s="22" t="str">
        <x:v>Value</x:v>
      </x:c>
      <x:c r="C3" s="22" t="str">
        <x:v>Units</x:v>
      </x:c>
      <x:c r="D3" s="22" t="str">
        <x:v>Period / As-of</x:v>
      </x:c>
      <x:c r="E3" s="22" t="str">
        <x:v>Source type</x:v>
      </x:c>
      <x:c r="F3" s="22" t="str">
        <x:v>Reference</x:v>
      </x:c>
      <x:c r="G3" s="22" t="str">
        <x:v>Owner</x:v>
      </x:c>
      <x:c r="H3" s="22" t="str">
        <x:v>Notes</x:v>
      </x:c>
    </x:row>
    <x:row r="4">
      <x:c r="A4" s="23" t="str">
        <x:v>FY2026 budget revenue</x:v>
      </x:c>
      <x:c r="B4" s="23" t="n">
        <x:v>7400</x:v>
      </x:c>
      <x:c r="C4" s="23" t="str">
        <x:v>JPY m</x:v>
      </x:c>
      <x:c r="D4" s="23" t="str">
        <x:v>FY2026</x:v>
      </x:c>
      <x:c r="E4" s="23" t="str">
        <x:v>Approved planning input</x:v>
      </x:c>
      <x:c r="F4" s="23" t="str">
        <x:v>CW-FPA-2026-BUD</x:v>
      </x:c>
      <x:c r="G4" s="23" t="str">
        <x:v>FP&amp;A</x:v>
      </x:c>
      <x:c r="H4" s="23" t="str">
        <x:v>Synthetic controlled model input</x:v>
      </x:c>
    </x:row>
    <x:row r="5">
      <x:c r="A5" s="23" t="str">
        <x:v>FY2026 budget EBITDA</x:v>
      </x:c>
      <x:c r="B5" s="23" t="n">
        <x:v>860</x:v>
      </x:c>
      <x:c r="C5" s="23" t="str">
        <x:v>JPY m</x:v>
      </x:c>
      <x:c r="D5" s="23" t="str">
        <x:v>FY2026</x:v>
      </x:c>
      <x:c r="E5" s="23" t="str">
        <x:v>Approved planning input</x:v>
      </x:c>
      <x:c r="F5" s="23" t="str">
        <x:v>CW-FPA-2026-BUD</x:v>
      </x:c>
      <x:c r="G5" s="23" t="str">
        <x:v>FP&amp;A</x:v>
      </x:c>
      <x:c r="H5" s="23" t="str">
        <x:v>Synthetic controlled model input</x:v>
      </x:c>
    </x:row>
    <x:row r="6">
      <x:c r="A6" s="23" t="str">
        <x:v>Q1 actual revenue</x:v>
      </x:c>
      <x:c r="B6" s="23" t="n">
        <x:v>1842</x:v>
      </x:c>
      <x:c r="C6" s="23" t="str">
        <x:v>JPY m</x:v>
      </x:c>
      <x:c r="D6" s="23" t="str">
        <x:v>2026-03 close</x:v>
      </x:c>
      <x:c r="E6" s="23" t="str">
        <x:v>Close package</x:v>
      </x:c>
      <x:c r="F6" s="23" t="str">
        <x:v>CW-CLOSE-2026Q1</x:v>
      </x:c>
      <x:c r="G6" s="23" t="str">
        <x:v>Close Lead</x:v>
      </x:c>
      <x:c r="H6" s="23" t="str">
        <x:v>Synthetic close anchor</x:v>
      </x:c>
    </x:row>
    <x:row r="7">
      <x:c r="A7" s="23" t="str">
        <x:v>Q1 actual COGS</x:v>
      </x:c>
      <x:c r="B7" s="23" t="n">
        <x:v>1131</x:v>
      </x:c>
      <x:c r="C7" s="23" t="str">
        <x:v>JPY m</x:v>
      </x:c>
      <x:c r="D7" s="23" t="str">
        <x:v>2026-03 close</x:v>
      </x:c>
      <x:c r="E7" s="23" t="str">
        <x:v>Close package</x:v>
      </x:c>
      <x:c r="F7" s="23" t="str">
        <x:v>CW-CLOSE-2026Q1</x:v>
      </x:c>
      <x:c r="G7" s="23" t="str">
        <x:v>Close Lead</x:v>
      </x:c>
      <x:c r="H7" s="23" t="str">
        <x:v>Synthetic close anchor</x:v>
      </x:c>
    </x:row>
    <x:row r="8">
      <x:c r="A8" s="23" t="str">
        <x:v>Q1 actual GP</x:v>
      </x:c>
      <x:c r="B8" s="23" t="n">
        <x:v>711</x:v>
      </x:c>
      <x:c r="C8" s="23" t="str">
        <x:v>JPY m</x:v>
      </x:c>
      <x:c r="D8" s="23" t="str">
        <x:v>2026-03 close</x:v>
      </x:c>
      <x:c r="E8" s="23" t="str">
        <x:v>Close package</x:v>
      </x:c>
      <x:c r="F8" s="23" t="str">
        <x:v>CW-CLOSE-2026Q1</x:v>
      </x:c>
      <x:c r="G8" s="23" t="str">
        <x:v>Close Lead</x:v>
      </x:c>
      <x:c r="H8" s="23" t="str">
        <x:v>Synthetic close anchor</x:v>
      </x:c>
    </x:row>
    <x:row r="9">
      <x:c r="A9" s="23" t="str">
        <x:v>Q1 actual opex</x:v>
      </x:c>
      <x:c r="B9" s="23" t="n">
        <x:v>489</x:v>
      </x:c>
      <x:c r="C9" s="23" t="str">
        <x:v>JPY m</x:v>
      </x:c>
      <x:c r="D9" s="23" t="str">
        <x:v>2026-03 close</x:v>
      </x:c>
      <x:c r="E9" s="23" t="str">
        <x:v>Close package</x:v>
      </x:c>
      <x:c r="F9" s="23" t="str">
        <x:v>CW-CLOSE-2026Q1</x:v>
      </x:c>
      <x:c r="G9" s="23" t="str">
        <x:v>Close Lead</x:v>
      </x:c>
      <x:c r="H9" s="23" t="str">
        <x:v>Synthetic close anchor</x:v>
      </x:c>
    </x:row>
    <x:row r="11">
      <x:c r="A11" s="69" t="str">
        <x:v>Audit protocol: Finance Controller owns versioning and scenario governance; FP&amp;A owns assumptions; Close Lead owns actuals; Treasury owns bank balance. This workbook is internally traceable and contains no external links or live data connections.</x:v>
      </x:c>
      <x:c r="B11" s="69"/>
      <x:c r="C11" s="69"/>
      <x:c r="D11" s="69"/>
      <x:c r="E11" s="69"/>
      <x:c r="F11" s="69"/>
      <x:c r="G11" s="69"/>
      <x:c r="H11" s="69"/>
      <x:c r="I11" s="69"/>
      <x:c r="J11" s="69"/>
      <x:c r="K11" s="69"/>
      <x:c r="L11" s="69"/>
      <x:c r="M11" s="69"/>
      <x:c r="N11" s="69"/>
    </x:row>
    <x:row r="12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  <x:c r="K12" s="69"/>
      <x:c r="L12" s="69"/>
      <x:c r="M12" s="69"/>
      <x:c r="N12" s="69"/>
    </x:row>
    <x:row r="13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</x:row>
  </x:sheetData>
  <x:mergeCells>
    <x:mergeCell ref="A1:N1"/>
    <x:mergeCell ref="A11:N13"/>
  </x:mergeCells>
  <x:pageMargins left="0.7" right="0.7" top="0.75" bottom="0.75" header="0.3" footer="0.3"/>
</x:worksheet>
</file>