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921c7d40f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 Summary" sheetId="1" r:id="R1f241bc2963946bd"/>
    <x:sheet xmlns:r="http://schemas.openxmlformats.org/officeDocument/2006/relationships" name="Inputs" sheetId="2" r:id="R308b302d2d4d477c"/>
    <x:sheet xmlns:r="http://schemas.openxmlformats.org/officeDocument/2006/relationships" name="Checks" sheetId="3" r:id="Rdef3c2e0b1d5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;[Red](¥#,##0.0);-"/>
    <x:numFmt numFmtId="201" formatCode="#,##0.0;[Red](#,##0.0);-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8572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double">
        <x:color rgb="FF17365D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0" fillId="0" borderId="13" xfId="0" applyNumberFormat="1" applyFont="1" applyFill="1" applyBorder="1"/>
    <x:xf numFmtId="200" fontId="5" fillId="4" borderId="13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5" fillId="4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aa3ecf8ba4cac" /><Relationship Type="http://schemas.openxmlformats.org/officeDocument/2006/relationships/theme" Target="/xl/theme/theme1.xml" Id="Ra54c10016ae844c5" /><Relationship Type="http://schemas.openxmlformats.org/officeDocument/2006/relationships/sharedStrings" Target="/xl/sharedStrings.xml" Id="Rb2279b9960674e4b" /><Relationship Type="http://schemas.openxmlformats.org/officeDocument/2006/relationships/worksheet" Target="/xl/worksheets/sheet1.xml" Id="R1f241bc2963946bd" /><Relationship Type="http://schemas.openxmlformats.org/officeDocument/2006/relationships/worksheet" Target="/xl/worksheets/sheet2.xml" Id="R308b302d2d4d477c" /><Relationship Type="http://schemas.openxmlformats.org/officeDocument/2006/relationships/worksheet" Target="/xl/worksheets/sheet3.xml" Id="Rdef3c2e0b1d5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8" hidden="0" customWidth="1"/>
  </x:cols>
  <x:sheetData>
    <x:row r="1" ht="28" customHeight="1">
      <x:c r="A1" s="4" t="str">
        <x:v>Cedar Works | Cash Variance Working Bridge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As of 2026-04-06 | Unfavorable variance = ledger cash less bank cash | JPY millions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Bridge line</x:v>
      </x:c>
      <x:c r="B4" s="19" t="str">
        <x:v>Amount (JPY m)</x:v>
      </x:c>
      <x:c r="C4" s="19" t="str">
        <x:v>Cumulative (JPY m)</x:v>
      </x:c>
      <x:c r="D4" s="20" t="str">
        <x:v>Review status</x:v>
      </x:c>
    </x:row>
    <x:row r="5">
      <x:c r="A5" s="30" t="str">
        <x:v>Bank cash (start)</x:v>
      </x:c>
      <x:c r="B5" s="62" t="n">
        <x:f>'Inputs'!B5</x:f>
        <x:v>486.2</x:v>
      </x:c>
      <x:c r="C5" s="62" t="n">
        <x:f>B5</x:f>
        <x:v>486.2</x:v>
      </x:c>
      <x:c r="D5" s="32" t="str">
        <x:v>Reference</x:v>
      </x:c>
    </x:row>
    <x:row r="6">
      <x:c r="A6" s="33" t="str">
        <x:v>Receipt timing</x:v>
      </x:c>
      <x:c r="B6" s="63" t="n">
        <x:f>'Inputs'!B7</x:f>
        <x:v>7.2</x:v>
      </x:c>
      <x:c r="C6" s="63" t="n">
        <x:f>C5+B6</x:f>
        <x:v>493.4</x:v>
      </x:c>
      <x:c r="D6" s="35" t="str">
        <x:f>IF(B6&gt;=5,"Escalate","Review")</x:f>
        <x:v>Escalate</x:v>
      </x:c>
    </x:row>
    <x:row r="7">
      <x:c r="A7" s="33" t="str">
        <x:v>Vendor timing</x:v>
      </x:c>
      <x:c r="B7" s="63" t="n">
        <x:f>'Inputs'!B8</x:f>
        <x:v>3.1</x:v>
      </x:c>
      <x:c r="C7" s="63" t="n">
        <x:f>C6+B7</x:f>
        <x:v>496.5</x:v>
      </x:c>
      <x:c r="D7" s="35" t="str">
        <x:f>IF(B7&gt;=2.5,"Review","Monitor")</x:f>
        <x:v>Review</x:v>
      </x:c>
    </x:row>
    <x:row r="8">
      <x:c r="A8" s="33" t="str">
        <x:v>Fees</x:v>
      </x:c>
      <x:c r="B8" s="63" t="n">
        <x:f>'Inputs'!B9</x:f>
        <x:v>1.3</x:v>
      </x:c>
      <x:c r="C8" s="63" t="n">
        <x:f>C7+B8</x:f>
        <x:v>497.8</x:v>
      </x:c>
      <x:c r="D8" s="35" t="str">
        <x:f>IF(B8&gt;=1,"Review","Monitor")</x:f>
        <x:v>Review</x:v>
      </x:c>
    </x:row>
    <x:row r="9">
      <x:c r="A9" s="33" t="str">
        <x:v>FX</x:v>
      </x:c>
      <x:c r="B9" s="63" t="n">
        <x:f>'Inputs'!B10</x:f>
        <x:v>0.8</x:v>
      </x:c>
      <x:c r="C9" s="63" t="n">
        <x:f>C8+B9</x:f>
        <x:v>498.6</x:v>
      </x:c>
      <x:c r="D9" s="35" t="str">
        <x:f>IF(B9&gt;=1,"Review","Monitor")</x:f>
        <x:v>Monitor</x:v>
      </x:c>
    </x:row>
    <x:row r="10">
      <x:c r="A10" s="36" t="str">
        <x:v>Ledger cash (end)</x:v>
      </x:c>
      <x:c r="B10" s="64" t="n">
        <x:f>'Inputs'!B6</x:f>
        <x:v>498.6</x:v>
      </x:c>
      <x:c r="C10" s="64" t="n">
        <x:f>C9</x:f>
        <x:v>498.6</x:v>
      </x:c>
      <x:c r="D10" s="38" t="str">
        <x:v>Reference</x:v>
      </x:c>
    </x:row>
    <x:row r="12">
      <x:c r="A12" s="51" t="str">
        <x:v>Reconciled unfavorable variance</x:v>
      </x:c>
      <x:c r="B12" s="65" t="n">
        <x:f>SUM(B6:B9)</x:f>
        <x:v>12.400000000000002</x:v>
      </x:c>
      <x:c r="C12" s="65" t="n">
        <x:f>C10-B10</x:f>
        <x:v>0</x:v>
      </x:c>
      <x:c r="D12" s="51" t="str">
        <x:v>Target: JPY 12.4m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8" hidden="0" customWidth="1"/>
  </x:cols>
  <x:sheetData>
    <x:row r="1" ht="28" customHeight="1">
      <x:c r="A1" s="4" t="str">
        <x:v>Cedar Works | Cash Variance Working Bridge Inputs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As of 2026-04-06 | JPY millions | blue font indicates editable synthetic inputs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Metric</x:v>
      </x:c>
      <x:c r="B4" s="19" t="str">
        <x:v>Amount (JPY m)</x:v>
      </x:c>
      <x:c r="C4" s="20" t="str">
        <x:v>Source / note</x:v>
      </x:c>
    </x:row>
    <x:row r="5">
      <x:c r="A5" s="30" t="str">
        <x:v>Bank cash</x:v>
      </x:c>
      <x:c r="B5" s="42" t="n">
        <x:v>486.2</x:v>
      </x:c>
      <x:c r="C5" s="32" t="str">
        <x:v>Synthetic bank refresh snapshot</x:v>
      </x:c>
    </x:row>
    <x:row r="6">
      <x:c r="A6" s="33" t="str">
        <x:v>Ledger cash</x:v>
      </x:c>
      <x:c r="B6" s="43" t="n">
        <x:v>498.6</x:v>
      </x:c>
      <x:c r="C6" s="35" t="str">
        <x:v>Synthetic ERP ledger refresh</x:v>
      </x:c>
    </x:row>
    <x:row r="7">
      <x:c r="A7" s="33" t="str">
        <x:v>Receipt timing</x:v>
      </x:c>
      <x:c r="B7" s="43" t="n">
        <x:v>7.2</x:v>
      </x:c>
      <x:c r="C7" s="35" t="str">
        <x:v>Pending bank posting</x:v>
      </x:c>
    </x:row>
    <x:row r="8">
      <x:c r="A8" s="33" t="str">
        <x:v>Vendor timing</x:v>
      </x:c>
      <x:c r="B8" s="43" t="n">
        <x:v>3.1</x:v>
      </x:c>
      <x:c r="C8" s="35" t="str">
        <x:v>Payment cutoff timing</x:v>
      </x:c>
    </x:row>
    <x:row r="9">
      <x:c r="A9" s="33" t="str">
        <x:v>Fees</x:v>
      </x:c>
      <x:c r="B9" s="43" t="n">
        <x:v>1.3</x:v>
      </x:c>
      <x:c r="C9" s="35" t="str">
        <x:v>Bank fee accrual</x:v>
      </x:c>
    </x:row>
    <x:row r="10">
      <x:c r="A10" s="36" t="str">
        <x:v>FX</x:v>
      </x:c>
      <x:c r="B10" s="44" t="n">
        <x:v>0.8</x:v>
      </x:c>
      <x:c r="C10" s="38" t="str">
        <x:v>Remeasurement 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8" customHeight="1">
      <x:c r="A1" s="4" t="str">
        <x:v>Cedar Works | Bridge Checks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All checks must pass before controller conclusion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Check</x:v>
      </x:c>
      <x:c r="B4" s="19" t="str">
        <x:v>Actual</x:v>
      </x:c>
      <x:c r="C4" s="19" t="str">
        <x:v>Expected</x:v>
      </x:c>
      <x:c r="D4" s="19" t="str">
        <x:v>Difference</x:v>
      </x:c>
      <x:c r="E4" s="19" t="str">
        <x:v>Tolerance</x:v>
      </x:c>
      <x:c r="F4" s="20" t="str">
        <x:v>Status</x:v>
      </x:c>
    </x:row>
    <x:row r="5">
      <x:c r="A5" s="30" t="str">
        <x:v>Components total</x:v>
      </x:c>
      <x:c r="B5" s="62" t="n">
        <x:f>'Bridge Summary'!B12</x:f>
        <x:v>12.400000000000002</x:v>
      </x:c>
      <x:c r="C5" s="62" t="n">
        <x:v>12.4</x:v>
      </x:c>
      <x:c r="D5" s="62" t="n">
        <x:f>B5-C5</x:f>
        <x:v>1.7763568394002505e-15</x:v>
      </x:c>
      <x:c r="E5" s="62" t="n">
        <x:v>0</x:v>
      </x:c>
      <x:c r="F5" s="59" t="str">
        <x:f>IF(ABS(D5)&lt;=E5,"PASS","FAIL")</x:f>
        <x:v>PASS</x:v>
      </x:c>
    </x:row>
    <x:row r="6">
      <x:c r="A6" s="33" t="str">
        <x:v>Bank-to-ledger variance</x:v>
      </x:c>
      <x:c r="B6" s="63" t="n">
        <x:f>'Inputs'!B6-'Inputs'!B5</x:f>
        <x:v>12.400000000000034</x:v>
      </x:c>
      <x:c r="C6" s="63" t="n">
        <x:v>12.4</x:v>
      </x:c>
      <x:c r="D6" s="63" t="n">
        <x:f>B6-C6</x:f>
        <x:v>3.375077994860476e-14</x:v>
      </x:c>
      <x:c r="E6" s="63" t="n">
        <x:v>0</x:v>
      </x:c>
      <x:c r="F6" s="60" t="str">
        <x:f>IF(ABS(D6)&lt;=E6,"PASS","FAIL")</x:f>
        <x:v>PASS</x:v>
      </x:c>
    </x:row>
    <x:row r="7">
      <x:c r="A7" s="36" t="str">
        <x:v>Working bridge reconciles</x:v>
      </x:c>
      <x:c r="B7" s="64" t="n">
        <x:f>'Bridge Summary'!C12</x:f>
        <x:v>0</x:v>
      </x:c>
      <x:c r="C7" s="64" t="n">
        <x:v>0</x:v>
      </x:c>
      <x:c r="D7" s="64" t="n">
        <x:f>B7-C7</x:f>
        <x:v>0</x:v>
      </x:c>
      <x:c r="E7" s="64" t="n">
        <x:v>0</x:v>
      </x:c>
      <x:c r="F7" s="61" t="str">
        <x:f>IF(ABS(D7)&lt;=E7,"PASS","FAIL")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