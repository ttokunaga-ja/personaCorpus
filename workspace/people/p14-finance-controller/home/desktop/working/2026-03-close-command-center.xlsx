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1bd3d8493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and Center" sheetId="1" r:id="Ra95b6724ef9147b1"/>
    <x:sheet xmlns:r="http://schemas.openxmlformats.org/officeDocument/2006/relationships" name="Open Items" sheetId="2" r:id="Rf18fca6237464a48"/>
    <x:sheet xmlns:r="http://schemas.openxmlformats.org/officeDocument/2006/relationships" name="Checks" sheetId="3" r:id="R37d0660717214c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.0;[Red](¥#,##0.0);-"/>
    <x:numFmt numFmtId="201" formatCode="#,##0.0;[Red](#,##0.0);-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85723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1"/>
      <x:color rgb="FF9C0006"/>
      <x:name val="Carlito"/>
    </x:font>
    <x:font>
      <x:b/>
      <x:sz val="11"/>
      <x:color rgb="FF0061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9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4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/>
    <x:xf numFmtId="0" fontId="6" fillId="5" borderId="6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/>
    <x:xf numFmtId="0" fontId="6" fillId="5" borderId="9" xfId="0" applyNumberFormat="1" applyFont="1" applyFill="1" applyBorder="1" applyAlignment="1">
      <x:alignment horizontal="center"/>
    </x:xf>
    <x:xf numFmtId="0" fontId="6" fillId="5" borderId="12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3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6" borderId="15" xfId="0" applyNumberFormat="1" applyFont="1" applyFill="1" applyBorder="1" applyAlignment="1">
      <x:alignment vertical="center" wrapText="1"/>
    </x:xf>
    <x:xf numFmtId="0" fontId="0" fillId="6" borderId="16" xfId="0" applyNumberFormat="1" applyFont="1" applyFill="1" applyBorder="1" applyAlignment="1">
      <x:alignment vertical="center" wrapText="1"/>
    </x:xf>
    <x:xf numFmtId="0" fontId="0" fillId="6" borderId="17" xfId="0" applyNumberFormat="1" applyFont="1" applyFill="1" applyBorder="1" applyAlignment="1">
      <x:alignment vertical="center" wrapText="1"/>
    </x:xf>
    <x:xf numFmtId="0" fontId="0" fillId="6" borderId="18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1" fontId="4" fillId="0" borderId="0" xfId="0" applyNumberFormat="1" applyFont="1" applyFill="1" applyBorder="1"/>
    <x:xf numFmtId="201" fontId="4" fillId="4" borderId="0" xfId="0" applyNumberFormat="1" applyFont="1" applyFill="1" applyBorder="1"/>
    <x:xf numFmtId="201" fontId="0" fillId="0" borderId="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a5ebb51e94304" /><Relationship Type="http://schemas.openxmlformats.org/officeDocument/2006/relationships/theme" Target="/xl/theme/theme1.xml" Id="R2156879cf9ba4d5e" /><Relationship Type="http://schemas.openxmlformats.org/officeDocument/2006/relationships/sharedStrings" Target="/xl/sharedStrings.xml" Id="Ra131e9bee45649ae" /><Relationship Type="http://schemas.openxmlformats.org/officeDocument/2006/relationships/worksheet" Target="/xl/worksheets/sheet1.xml" Id="Ra95b6724ef9147b1" /><Relationship Type="http://schemas.openxmlformats.org/officeDocument/2006/relationships/worksheet" Target="/xl/worksheets/sheet2.xml" Id="Rf18fca6237464a48" /><Relationship Type="http://schemas.openxmlformats.org/officeDocument/2006/relationships/worksheet" Target="/xl/worksheets/sheet3.xml" Id="R37d0660717214c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38" hidden="0" customWidth="1"/>
  </x:cols>
  <x:sheetData>
    <x:row r="1" ht="28" customHeight="1">
      <x:c r="A1" s="4" t="str">
        <x:v>Cedar Works | March 2026 Close Command Center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As of 2026-04-06 | Controller working view | JPY millions | Synthetic internal draft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Bank cash</x:v>
      </x:c>
      <x:c r="B4" s="19" t="str">
        <x:v>Ledger cash</x:v>
      </x:c>
      <x:c r="C4" s="19" t="str">
        <x:v>Unfavorable variance</x:v>
      </x:c>
      <x:c r="D4" s="19" t="str">
        <x:v>Receipt timing</x:v>
      </x:c>
      <x:c r="E4" s="19" t="str">
        <x:v>Vendor timing</x:v>
      </x:c>
      <x:c r="F4" s="19" t="str">
        <x:v>Fees</x:v>
      </x:c>
      <x:c r="G4" s="19" t="str">
        <x:v>FX</x:v>
      </x:c>
      <x:c r="H4" s="20" t="str">
        <x:v>Close status</x:v>
      </x:c>
    </x:row>
    <x:row r="5">
      <x:c r="A5" s="82" t="n">
        <x:v>486.2</x:v>
      </x:c>
      <x:c r="B5" s="82" t="n">
        <x:v>498.6</x:v>
      </x:c>
      <x:c r="C5" s="83" t="n">
        <x:f>'Command Center'!B5-'Command Center'!A5</x:f>
        <x:v>12.400000000000034</x:v>
      </x:c>
      <x:c r="D5" s="82" t="n">
        <x:v>7.2</x:v>
      </x:c>
      <x:c r="E5" s="82" t="n">
        <x:v>3.1</x:v>
      </x:c>
      <x:c r="F5" s="82" t="n">
        <x:v>1.3</x:v>
      </x:c>
      <x:c r="G5" s="82" t="n">
        <x:v>0.8</x:v>
      </x:c>
      <x:c r="H5" s="26" t="str">
        <x:v>At risk</x:v>
      </x:c>
    </x:row>
    <x:row r="7">
      <x:c r="A7" s="18" t="str">
        <x:v>Priority</x:v>
      </x:c>
      <x:c r="B7" s="19" t="str">
        <x:v>Control / workstream</x:v>
      </x:c>
      <x:c r="C7" s="19" t="str">
        <x:v>Owner role</x:v>
      </x:c>
      <x:c r="D7" s="19" t="str">
        <x:v>Due</x:v>
      </x:c>
      <x:c r="E7" s="19" t="str">
        <x:v>Amount (JPY m)</x:v>
      </x:c>
      <x:c r="F7" s="19" t="str">
        <x:v>Threshold</x:v>
      </x:c>
      <x:c r="G7" s="19" t="str">
        <x:v>Status</x:v>
      </x:c>
      <x:c r="H7" s="20" t="str">
        <x:v>Decision / next step</x:v>
      </x:c>
    </x:row>
    <x:row r="8">
      <x:c r="A8" s="48" t="n">
        <x:v>1</x:v>
      </x:c>
      <x:c r="B8" s="37" t="str">
        <x:v>Receipt timing evidence</x:v>
      </x:c>
      <x:c r="C8" s="37" t="str">
        <x:v>Treasury analyst</x:v>
      </x:c>
      <x:c r="D8" s="37" t="str">
        <x:v>10:00</x:v>
      </x:c>
      <x:c r="E8" s="84" t="n">
        <x:v>7.2</x:v>
      </x:c>
      <x:c r="F8" s="84" t="n">
        <x:v>5</x:v>
      </x:c>
      <x:c r="G8" s="37" t="str">
        <x:v>Open</x:v>
      </x:c>
      <x:c r="H8" s="38" t="str">
        <x:v>Confirm bank posting and clear bridge item</x:v>
      </x:c>
    </x:row>
    <x:row r="9">
      <x:c r="A9" s="49" t="n">
        <x:v>2</x:v>
      </x:c>
      <x:c r="B9" s="40" t="str">
        <x:v>Vendor timing cutoff</x:v>
      </x:c>
      <x:c r="C9" s="40" t="str">
        <x:v>AP lead</x:v>
      </x:c>
      <x:c r="D9" s="40" t="str">
        <x:v>11:30</x:v>
      </x:c>
      <x:c r="E9" s="85" t="n">
        <x:v>3.1</x:v>
      </x:c>
      <x:c r="F9" s="85" t="n">
        <x:v>2.5</x:v>
      </x:c>
      <x:c r="G9" s="40" t="str">
        <x:v>Open</x:v>
      </x:c>
      <x:c r="H9" s="41" t="str">
        <x:v>Obtain cutoff support and payment queue status</x:v>
      </x:c>
    </x:row>
    <x:row r="10">
      <x:c r="A10" s="49" t="n">
        <x:v>3</x:v>
      </x:c>
      <x:c r="B10" s="40" t="str">
        <x:v>Bank fees mapping</x:v>
      </x:c>
      <x:c r="C10" s="40" t="str">
        <x:v>GL accountant</x:v>
      </x:c>
      <x:c r="D10" s="40" t="str">
        <x:v>13:00</x:v>
      </x:c>
      <x:c r="E10" s="85" t="n">
        <x:v>1.3</x:v>
      </x:c>
      <x:c r="F10" s="85" t="n">
        <x:v>1</x:v>
      </x:c>
      <x:c r="G10" s="40" t="str">
        <x:v>Open</x:v>
      </x:c>
      <x:c r="H10" s="41" t="str">
        <x:v>Post or substantiate fee accrual</x:v>
      </x:c>
    </x:row>
    <x:row r="11">
      <x:c r="A11" s="50" t="n">
        <x:v>4</x:v>
      </x:c>
      <x:c r="B11" s="43" t="str">
        <x:v>FX remeasurement</x:v>
      </x:c>
      <x:c r="C11" s="43" t="str">
        <x:v>Controller</x:v>
      </x:c>
      <x:c r="D11" s="43" t="str">
        <x:v>15:00</x:v>
      </x:c>
      <x:c r="E11" s="86" t="n">
        <x:v>0.8</x:v>
      </x:c>
      <x:c r="F11" s="86" t="n">
        <x:v>1</x:v>
      </x:c>
      <x:c r="G11" s="43" t="str">
        <x:v>Monitor</x:v>
      </x:c>
      <x:c r="H11" s="44" t="str">
        <x:v>Revalue only if evidence changes</x:v>
      </x:c>
    </x:row>
    <x:row r="13">
      <x:c r="A13" s="18" t="str">
        <x:v>Model check</x:v>
      </x:c>
      <x:c r="B13" s="19" t="str">
        <x:v>Actual</x:v>
      </x:c>
      <x:c r="C13" s="19" t="str">
        <x:v>Expected</x:v>
      </x:c>
      <x:c r="D13" s="20" t="str">
        <x:v>Status</x:v>
      </x:c>
    </x:row>
    <x:row r="14">
      <x:c r="A14" s="36" t="str">
        <x:v>Bridge component total</x:v>
      </x:c>
      <x:c r="B14" s="84" t="n">
        <x:f>SUM('Command Center'!D5:G5)</x:f>
        <x:v>12.400000000000002</x:v>
      </x:c>
      <x:c r="C14" s="84" t="n">
        <x:v>12.4</x:v>
      </x:c>
      <x:c r="D14" s="59" t="str">
        <x:f>IF(B14=C14,"PASS","FAIL")</x:f>
        <x:v>PASS</x:v>
      </x:c>
    </x:row>
    <x:row r="15">
      <x:c r="A15" s="39" t="str">
        <x:v>Bank-to-ledger variance</x:v>
      </x:c>
      <x:c r="B15" s="85" t="n">
        <x:f>'Command Center'!C5</x:f>
        <x:v>12.400000000000034</x:v>
      </x:c>
      <x:c r="C15" s="85" t="n">
        <x:v>12.4</x:v>
      </x:c>
      <x:c r="D15" s="60" t="str">
        <x:f>IF(B15=C15,"PASS","FAIL")</x:f>
        <x:v>PASS</x:v>
      </x:c>
    </x:row>
    <x:row r="16">
      <x:c r="A16" s="42" t="str">
        <x:v>Model status</x:v>
      </x:c>
      <x:c r="B16" s="43"/>
      <x:c r="C16" s="43"/>
      <x:c r="D16" s="61" t="str">
        <x:f>IF(AND(D14="PASS",D15="PASS"),"MODEL STATUS: PASS","MODEL STATUS: FAIL")</x:f>
        <x:v>MODEL STATUS: PASS</x:v>
      </x:c>
    </x:row>
    <x:row r="18">
      <x:c r="A18" s="75" t="str">
        <x:v>Working convention: unfavorable variance = ledger cash less bank cash. Escalate any component at or above JPY 1.0m; immediate controller escalation at or above JPY 5.0m. Source: synthetic bank and ledger refresh snapshot, 2026-04-06.</x:v>
      </x:c>
      <x:c r="B18" s="76"/>
      <x:c r="C18" s="76"/>
      <x:c r="D18" s="76"/>
      <x:c r="E18" s="76"/>
      <x:c r="F18" s="76"/>
      <x:c r="G18" s="76"/>
      <x:c r="H18" s="77"/>
    </x:row>
    <x:row r="19">
      <x:c r="A19" s="78"/>
      <x:c r="B19" s="79"/>
      <x:c r="C19" s="79"/>
      <x:c r="D19" s="79"/>
      <x:c r="E19" s="79"/>
      <x:c r="F19" s="79"/>
      <x:c r="G19" s="79"/>
      <x:c r="H19" s="80"/>
    </x:row>
  </x:sheetData>
  <x:mergeCells>
    <x:mergeCell ref="A1:H1"/>
    <x:mergeCell ref="A2:H2"/>
    <x:mergeCell ref="A18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8" hidden="0" customWidth="1"/>
    <x:col min="4" max="4" width="18" hidden="0" customWidth="1"/>
    <x:col min="5" max="5" width="18" hidden="0" customWidth="1"/>
    <x:col min="6" max="6" width="12" hidden="0" customWidth="1"/>
    <x:col min="7" max="7" width="20" hidden="0" customWidth="1"/>
    <x:col min="8" max="8" width="20" hidden="0" customWidth="1"/>
  </x:cols>
  <x:sheetData>
    <x:row r="1" ht="28" customHeight="1">
      <x:c r="A1" s="81" t="str">
        <x:v>Cedar Works | Open Close Items</x:v>
      </x:c>
      <x:c r="B1" s="81"/>
      <x:c r="C1" s="81"/>
      <x:c r="D1" s="81"/>
      <x:c r="E1" s="81"/>
      <x:c r="F1" s="81"/>
      <x:c r="G1" s="81"/>
      <x:c r="H1" s="81"/>
    </x:row>
    <x:row r="2" ht="22" customHeight="1">
      <x:c r="A2" s="7" t="str">
        <x:v>As of 2026-04-06 | Source detail for command-center dashboard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Item ID</x:v>
      </x:c>
      <x:c r="B4" s="19" t="str">
        <x:v>Workstream</x:v>
      </x:c>
      <x:c r="C4" s="19" t="str">
        <x:v>Description</x:v>
      </x:c>
      <x:c r="D4" s="19" t="str">
        <x:v>Amount (JPY m)</x:v>
      </x:c>
      <x:c r="E4" s="19" t="str">
        <x:v>Threshold (JPY m)</x:v>
      </x:c>
      <x:c r="F4" s="19" t="str">
        <x:v>Status</x:v>
      </x:c>
      <x:c r="G4" s="19" t="str">
        <x:v>Due</x:v>
      </x:c>
      <x:c r="H4" s="20" t="str">
        <x:v>Owner role</x:v>
      </x:c>
    </x:row>
    <x:row r="5">
      <x:c r="A5" s="36" t="str">
        <x:v>CW-001</x:v>
      </x:c>
      <x:c r="B5" s="37" t="str">
        <x:v>Cash receipt timing</x:v>
      </x:c>
      <x:c r="C5" s="37" t="str">
        <x:v>Unmatched receipt pending bank posting</x:v>
      </x:c>
      <x:c r="D5" s="45" t="n">
        <x:v>7.2</x:v>
      </x:c>
      <x:c r="E5" s="45" t="n">
        <x:v>5</x:v>
      </x:c>
      <x:c r="F5" s="37" t="str">
        <x:v>Open</x:v>
      </x:c>
      <x:c r="G5" s="37" t="str">
        <x:v>2026-04-06 10:00</x:v>
      </x:c>
      <x:c r="H5" s="38" t="str">
        <x:v>Treasury analyst</x:v>
      </x:c>
    </x:row>
    <x:row r="6">
      <x:c r="A6" s="39" t="str">
        <x:v>CW-002</x:v>
      </x:c>
      <x:c r="B6" s="40" t="str">
        <x:v>Vendor timing</x:v>
      </x:c>
      <x:c r="C6" s="40" t="str">
        <x:v>Payment cutoff support pending</x:v>
      </x:c>
      <x:c r="D6" s="46" t="n">
        <x:v>3.1</x:v>
      </x:c>
      <x:c r="E6" s="46" t="n">
        <x:v>2.5</x:v>
      </x:c>
      <x:c r="F6" s="40" t="str">
        <x:v>Open</x:v>
      </x:c>
      <x:c r="G6" s="40" t="str">
        <x:v>2026-04-06 11:30</x:v>
      </x:c>
      <x:c r="H6" s="41" t="str">
        <x:v>AP lead</x:v>
      </x:c>
    </x:row>
    <x:row r="7">
      <x:c r="A7" s="39" t="str">
        <x:v>CW-003</x:v>
      </x:c>
      <x:c r="B7" s="40" t="str">
        <x:v>Fees</x:v>
      </x:c>
      <x:c r="C7" s="40" t="str">
        <x:v>Bank fee accrual support pending</x:v>
      </x:c>
      <x:c r="D7" s="46" t="n">
        <x:v>1.3</x:v>
      </x:c>
      <x:c r="E7" s="46" t="n">
        <x:v>1</x:v>
      </x:c>
      <x:c r="F7" s="40" t="str">
        <x:v>Open</x:v>
      </x:c>
      <x:c r="G7" s="40" t="str">
        <x:v>2026-04-06 13:00</x:v>
      </x:c>
      <x:c r="H7" s="41" t="str">
        <x:v>GL accountant</x:v>
      </x:c>
    </x:row>
    <x:row r="8">
      <x:c r="A8" s="42" t="str">
        <x:v>CW-004</x:v>
      </x:c>
      <x:c r="B8" s="43" t="str">
        <x:v>FX</x:v>
      </x:c>
      <x:c r="C8" s="43" t="str">
        <x:v>Remeasurement evidence review</x:v>
      </x:c>
      <x:c r="D8" s="47" t="n">
        <x:v>0.8</x:v>
      </x:c>
      <x:c r="E8" s="47" t="n">
        <x:v>1</x:v>
      </x:c>
      <x:c r="F8" s="43" t="str">
        <x:v>Monitor</x:v>
      </x:c>
      <x:c r="G8" s="43" t="str">
        <x:v>2026-04-06 15:00</x:v>
      </x:c>
      <x:c r="H8" s="44" t="str">
        <x:v>Controller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8" customHeight="1">
      <x:c r="A1" s="4" t="str">
        <x:v>Cedar Works | Workbook Controls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7" t="str">
        <x:v>Formula-driven close command center | 2026-04-06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Check</x:v>
      </x:c>
      <x:c r="B4" s="19" t="str">
        <x:v>Actual</x:v>
      </x:c>
      <x:c r="C4" s="19" t="str">
        <x:v>Expected</x:v>
      </x:c>
      <x:c r="D4" s="19" t="str">
        <x:v>Difference</x:v>
      </x:c>
      <x:c r="E4" s="19" t="str">
        <x:v>Tolerance</x:v>
      </x:c>
      <x:c r="F4" s="20" t="str">
        <x:v>Status</x:v>
      </x:c>
    </x:row>
    <x:row r="5">
      <x:c r="A5" s="36" t="str">
        <x:v>Bridge total</x:v>
      </x:c>
      <x:c r="B5" s="45" t="n">
        <x:f>'Command Center'!B14</x:f>
        <x:v>12.400000000000002</x:v>
      </x:c>
      <x:c r="C5" s="45" t="n">
        <x:v>12.4</x:v>
      </x:c>
      <x:c r="D5" s="45" t="n">
        <x:f>B5-C5</x:f>
        <x:v>1.7763568394002505e-15</x:v>
      </x:c>
      <x:c r="E5" s="45" t="n">
        <x:v>0</x:v>
      </x:c>
      <x:c r="F5" s="59" t="str">
        <x:f>IF(ABS(D5)&lt;=E5,"PASS","FAIL")</x:f>
        <x:v>PASS</x:v>
      </x:c>
    </x:row>
    <x:row r="6">
      <x:c r="A6" s="39" t="str">
        <x:v>Ledger less bank</x:v>
      </x:c>
      <x:c r="B6" s="46" t="n">
        <x:f>'Command Center'!B15</x:f>
        <x:v>12.400000000000034</x:v>
      </x:c>
      <x:c r="C6" s="46" t="n">
        <x:v>12.4</x:v>
      </x:c>
      <x:c r="D6" s="46" t="n">
        <x:f>B6-C6</x:f>
        <x:v>3.375077994860476e-14</x:v>
      </x:c>
      <x:c r="E6" s="46" t="n">
        <x:v>0</x:v>
      </x:c>
      <x:c r="F6" s="60" t="str">
        <x:f>IF(ABS(D6)&lt;=E6,"PASS","FAIL")</x:f>
        <x:v>PASS</x:v>
      </x:c>
    </x:row>
    <x:row r="7">
      <x:c r="A7" s="42" t="str">
        <x:v>All controls</x:v>
      </x:c>
      <x:c r="B7" s="43"/>
      <x:c r="C7" s="43"/>
      <x:c r="D7" s="43"/>
      <x:c r="E7" s="43"/>
      <x:c r="F7" s="61" t="str">
        <x:f>IF(AND(F5="PASS",F6="PASS"),"PASS","FAIL")</x:f>
        <x:v>PASS</x:v>
      </x:c>
    </x:row>
  </x:sheetData>
  <x:mergeCells>
    <x:mergeCell ref="A1:H1"/>
    <x:mergeCell ref="A2:H2"/>
  </x:mergeCells>
  <x:pageMargins left="0.7" right="0.7" top="0.75" bottom="0.75" header="0.3" footer="0.3"/>
</x:worksheet>
</file>