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02f44d709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09b3ac9c4741c5"/>
    <x:sheet xmlns:r="http://schemas.openxmlformats.org/officeDocument/2006/relationships" name="AP Aging" sheetId="2" r:id="Rc436e0bdedda4625"/>
    <x:sheet xmlns:r="http://schemas.openxmlformats.org/officeDocument/2006/relationships" name="Trial Balance" sheetId="3" r:id="Rdac06148284e4d9e"/>
    <x:sheet xmlns:r="http://schemas.openxmlformats.org/officeDocument/2006/relationships" name="Journal Batch" sheetId="4" r:id="Rdc95138103e3454e"/>
    <x:sheet xmlns:r="http://schemas.openxmlformats.org/officeDocument/2006/relationships" name="Cash Bridge" sheetId="5" r:id="R2281159b7890446b"/>
    <x:sheet xmlns:r="http://schemas.openxmlformats.org/officeDocument/2006/relationships" name="Checks" sheetId="6" r:id="Rdaad307d2edf4975"/>
    <x:sheet xmlns:r="http://schemas.openxmlformats.org/officeDocument/2006/relationships" name="Sources" sheetId="7" r:id="Re1f5df8775a6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9EADBA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  <x:right style="thin">
        <x:color rgb="FF9EADBA"/>
      </x:right>
    </x:border>
    <x:border>
      <x:left style="thin">
        <x:color rgb="FF9EADBA"/>
      </x:left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200" fontId="2" fillId="3" borderId="6" xfId="0" applyNumberFormat="1" applyFont="1" applyFill="1" applyBorder="1" applyAlignment="1">
      <x:alignment horizontal="center" wrapText="1"/>
    </x:xf>
    <x:xf numFmtId="200" fontId="2" fillId="3" borderId="5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0ee843c164df6" /><Relationship Type="http://schemas.openxmlformats.org/officeDocument/2006/relationships/theme" Target="/xl/theme/theme1.xml" Id="Re9e8d44ee27546d5" /><Relationship Type="http://schemas.openxmlformats.org/officeDocument/2006/relationships/sharedStrings" Target="/xl/sharedStrings.xml" Id="R99f902a0c0fc43a1" /><Relationship Type="http://schemas.openxmlformats.org/officeDocument/2006/relationships/worksheet" Target="/xl/worksheets/sheet1.xml" Id="R9209b3ac9c4741c5" /><Relationship Type="http://schemas.openxmlformats.org/officeDocument/2006/relationships/worksheet" Target="/xl/worksheets/sheet2.xml" Id="Rc436e0bdedda4625" /><Relationship Type="http://schemas.openxmlformats.org/officeDocument/2006/relationships/worksheet" Target="/xl/worksheets/sheet3.xml" Id="Rdac06148284e4d9e" /><Relationship Type="http://schemas.openxmlformats.org/officeDocument/2006/relationships/worksheet" Target="/xl/worksheets/sheet4.xml" Id="Rdc95138103e3454e" /><Relationship Type="http://schemas.openxmlformats.org/officeDocument/2006/relationships/worksheet" Target="/xl/worksheets/sheet5.xml" Id="R2281159b7890446b" /><Relationship Type="http://schemas.openxmlformats.org/officeDocument/2006/relationships/worksheet" Target="/xl/worksheets/sheet6.xml" Id="Rdaad307d2edf4975" /><Relationship Type="http://schemas.openxmlformats.org/officeDocument/2006/relationships/worksheet" Target="/xl/worksheets/sheet7.xml" Id="Re1f5df8775a642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4" max="4" width="22" hidden="0" customWidth="1"/>
    <x:col min="5" max="5" width="18" hidden="0" customWidth="1"/>
  </x:cols>
  <x:sheetData>
    <x:row r="1" ht="28" customHeight="1">
      <x:c r="A1" s="26" t="str">
        <x:v>Cedar Works | 2026-03 ERP Close Export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12" t="str">
        <x:v>Reporting period</x:v>
      </x:c>
      <x:c r="B3" s="27" t="str">
        <x:v>2026-03</x:v>
      </x:c>
      <x:c r="C3" s="27"/>
      <x:c r="D3" s="19" t="str">
        <x:v>Key measure</x:v>
      </x:c>
      <x:c r="E3" s="20" t="str">
        <x:v>JPY</x:v>
      </x:c>
      <x:c r="F3" s="27"/>
    </x:row>
    <x:row r="4">
      <x:c r="A4" s="13" t="str">
        <x:v>Currency</x:v>
      </x:c>
      <x:c r="B4" s="27" t="str">
        <x:v>JPY</x:v>
      </x:c>
      <x:c r="C4" s="27"/>
      <x:c r="D4" s="27" t="str">
        <x:v>AP aging total</x:v>
      </x:c>
      <x:c r="E4" s="28" t="n">
        <x:f>'AP Aging'!F10</x:f>
        <x:v>226000000</x:v>
      </x:c>
      <x:c r="F4" s="27"/>
    </x:row>
    <x:row r="5">
      <x:c r="A5" s="13" t="str">
        <x:v>Source system</x:v>
      </x:c>
      <x:c r="B5" s="27" t="str">
        <x:v>Synthetic ERP close export</x:v>
      </x:c>
      <x:c r="C5" s="27"/>
      <x:c r="D5" s="27" t="str">
        <x:v>AR balance</x:v>
      </x:c>
      <x:c r="E5" s="28" t="n">
        <x:f>'Trial Balance'!D5</x:f>
        <x:v>312000000</x:v>
      </x:c>
      <x:c r="F5" s="27"/>
    </x:row>
    <x:row r="6">
      <x:c r="A6" s="13" t="str">
        <x:v>Owner role</x:v>
      </x:c>
      <x:c r="B6" s="27" t="str">
        <x:v>Finance Controller</x:v>
      </x:c>
      <x:c r="C6" s="27"/>
      <x:c r="D6" s="27" t="str">
        <x:v>Inventory balance</x:v>
      </x:c>
      <x:c r="E6" s="28" t="n">
        <x:f>'Trial Balance'!D7</x:f>
        <x:v>418000000</x:v>
      </x:c>
      <x:c r="F6" s="27"/>
    </x:row>
    <x:row r="7">
      <x:c r="A7" s="13" t="str">
        <x:v>Workbook status</x:v>
      </x:c>
      <x:c r="B7" s="29" t="str">
        <x:f>'Checks'!F9</x:f>
        <x:v>PASS</x:v>
      </x:c>
      <x:c r="C7" s="27"/>
      <x:c r="D7" s="27" t="str">
        <x:v>Ledger cash</x:v>
      </x:c>
      <x:c r="E7" s="28" t="n">
        <x:f>'Trial Balance'!D4</x:f>
        <x:v>498600000</x:v>
      </x:c>
      <x:c r="F7" s="27"/>
    </x:row>
    <x:row r="8">
      <x:c r="A8" s="13" t="str">
        <x:v>Control objective</x:v>
      </x:c>
      <x:c r="B8" s="27" t="str">
        <x:v>Source exports reconcile; close entry is balanced</x:v>
      </x:c>
      <x:c r="C8" s="27"/>
      <x:c r="D8" s="27" t="str">
        <x:v>Bank cash</x:v>
      </x:c>
      <x:c r="E8" s="28" t="n">
        <x:f>'Cash Bridge'!B5</x:f>
        <x:v>486200000</x:v>
      </x:c>
      <x:c r="F8" s="27"/>
    </x:row>
    <x:row r="9">
      <x:c r="A9" s="13" t="str">
        <x:v>Cash convention</x:v>
      </x:c>
      <x:c r="B9" s="27" t="str">
        <x:v>Bank versus ledger reconciliation</x:v>
      </x:c>
      <x:c r="C9" s="27"/>
      <x:c r="D9" s="27"/>
      <x:c r="E9" s="27"/>
      <x:c r="F9" s="27"/>
    </x:row>
    <x:row r="10">
      <x:c r="A10" s="14" t="str">
        <x:v>Prepared date</x:v>
      </x:c>
      <x:c r="B10" s="27" t="str">
        <x:v>2026-03-31</x:v>
      </x:c>
      <x:c r="C10" s="27"/>
      <x:c r="D10" s="19" t="str">
        <x:v>Cash bridge</x:v>
      </x:c>
      <x:c r="E10" s="20" t="str">
        <x:v>JPY</x:v>
      </x:c>
      <x:c r="F10" s="27"/>
    </x:row>
    <x:row r="11">
      <x:c r="A11" s="27"/>
      <x:c r="B11" s="27"/>
      <x:c r="C11" s="27"/>
      <x:c r="D11" s="27" t="str">
        <x:v>Bank cash</x:v>
      </x:c>
      <x:c r="E11" s="28" t="n">
        <x:f>'Cash Bridge'!B5</x:f>
        <x:v>486200000</x:v>
      </x:c>
      <x:c r="F11" s="27"/>
    </x:row>
    <x:row r="12">
      <x:c r="A12" s="27"/>
      <x:c r="B12" s="27"/>
      <x:c r="C12" s="27"/>
      <x:c r="D12" s="27" t="str">
        <x:v>Ledger cash</x:v>
      </x:c>
      <x:c r="E12" s="28" t="n">
        <x:f>'Cash Bridge'!B4</x:f>
        <x:v>498600000</x:v>
      </x:c>
      <x:c r="F12" s="27"/>
    </x:row>
    <x:row r="13">
      <x:c r="A13" s="27"/>
      <x:c r="B13" s="27"/>
      <x:c r="C13" s="27"/>
      <x:c r="D13" s="27" t="str">
        <x:v>Unfavorable bridge</x:v>
      </x:c>
      <x:c r="E13" s="28" t="n">
        <x:f>'Cash Bridge'!B12</x:f>
        <x:v>-12400000</x:v>
      </x:c>
      <x:c r="F13" s="27"/>
    </x:row>
    <x:row r="14">
      <x:c r="A14" s="27"/>
      <x:c r="B14" s="27"/>
      <x:c r="C14" s="27"/>
      <x:c r="D14" s="27" t="str">
        <x:v>Bridge status</x:v>
      </x:c>
      <x:c r="E14" s="30" t="str">
        <x:f>'Checks'!F7</x:f>
        <x:v>OK</x:v>
      </x:c>
      <x:c r="F14" s="27"/>
    </x:row>
    <x:row r="15">
      <x:c r="A15" s="27"/>
      <x:c r="B15" s="27"/>
      <x:c r="C15" s="27"/>
      <x:c r="D15" s="27" t="str">
        <x:v>Close entry status</x:v>
      </x:c>
      <x:c r="E15" s="29" t="str">
        <x:f>'Checks'!F4</x:f>
        <x:v>OK</x:v>
      </x:c>
      <x:c r="F15" s="2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2" hidden="0" customWidth="1"/>
  </x:cols>
  <x:sheetData>
    <x:row r="1" ht="28" customHeight="1">
      <x:c r="A1" s="3" t="str">
        <x:v>AP Aging Source Export | 2026-03</x:v>
      </x:c>
      <x:c r="B1" s="3"/>
      <x:c r="C1" s="3"/>
      <x:c r="D1" s="3"/>
      <x:c r="E1" s="3"/>
      <x:c r="F1" s="3"/>
      <x:c r="G1" s="3"/>
      <x:c r="H1" s="3"/>
    </x:row>
    <x:row r="3">
      <x:c r="A3" s="19" t="str">
        <x:v>Invoice ID</x:v>
      </x:c>
      <x:c r="B3" s="33" t="str">
        <x:v>Vendor</x:v>
      </x:c>
      <x:c r="C3" s="33" t="str">
        <x:v>Invoice Date</x:v>
      </x:c>
      <x:c r="D3" s="33" t="str">
        <x:v>Due Date</x:v>
      </x:c>
      <x:c r="E3" s="33" t="str">
        <x:v>Cost Center</x:v>
      </x:c>
      <x:c r="F3" s="33" t="str">
        <x:v>Open Amount (JPY)</x:v>
      </x:c>
      <x:c r="G3" s="20" t="str">
        <x:v>Age Bucket</x:v>
      </x:c>
    </x:row>
    <x:row r="4">
      <x:c r="A4" t="str">
        <x:v>AP-2603-041</x:v>
      </x:c>
      <x:c r="B4" t="str">
        <x:v>Northline Components</x:v>
      </x:c>
      <x:c r="C4" t="str">
        <x:v>2026-03-02</x:v>
      </x:c>
      <x:c r="D4" t="str">
        <x:v>2026-04-01</x:v>
      </x:c>
      <x:c r="E4" t="str">
        <x:v>OPS-210</x:v>
      </x:c>
      <x:c r="F4" s="21" t="n">
        <x:v>72000000</x:v>
      </x:c>
      <x:c r="G4" t="str">
        <x:v>0-30</x:v>
      </x:c>
    </x:row>
    <x:row r="5">
      <x:c r="A5" t="str">
        <x:v>AP-2602-118</x:v>
      </x:c>
      <x:c r="B5" t="str">
        <x:v>Cedar Forge Supply</x:v>
      </x:c>
      <x:c r="C5" t="str">
        <x:v>2026-02-14</x:v>
      </x:c>
      <x:c r="D5" t="str">
        <x:v>2026-03-16</x:v>
      </x:c>
      <x:c r="E5" t="str">
        <x:v>FAC-510</x:v>
      </x:c>
      <x:c r="F5" s="21" t="n">
        <x:v>54000000</x:v>
      </x:c>
      <x:c r="G5" t="str">
        <x:v>31-60</x:v>
      </x:c>
    </x:row>
    <x:row r="6">
      <x:c r="A6" t="str">
        <x:v>AP-2601-077</x:v>
      </x:c>
      <x:c r="B6" t="str">
        <x:v>Harborline Materials</x:v>
      </x:c>
      <x:c r="C6" t="str">
        <x:v>2026-01-20</x:v>
      </x:c>
      <x:c r="D6" t="str">
        <x:v>2026-02-19</x:v>
      </x:c>
      <x:c r="E6" t="str">
        <x:v>OPS-210</x:v>
      </x:c>
      <x:c r="F6" s="21" t="n">
        <x:v>61000000</x:v>
      </x:c>
      <x:c r="G6" t="str">
        <x:v>61-90</x:v>
      </x:c>
    </x:row>
    <x:row r="7">
      <x:c r="A7" t="str">
        <x:v>AP-2512-019</x:v>
      </x:c>
      <x:c r="B7" t="str">
        <x:v>Signal Ridge Services</x:v>
      </x:c>
      <x:c r="C7" t="str">
        <x:v>2025-12-18</x:v>
      </x:c>
      <x:c r="D7" t="str">
        <x:v>2026-01-17</x:v>
      </x:c>
      <x:c r="E7" t="str">
        <x:v>ENG-310</x:v>
      </x:c>
      <x:c r="F7" s="21" t="n">
        <x:v>39000000</x:v>
      </x:c>
      <x:c r="G7" t="str">
        <x:v>91+</x:v>
      </x:c>
    </x:row>
    <x:row r="8">
      <x:c r="F8" s="21"/>
    </x:row>
    <x:row r="9">
      <x:c r="A9" s="19" t="str">
        <x:v>Control</x:v>
      </x:c>
      <x:c r="B9" s="33" t="str"/>
      <x:c r="C9" s="33" t="str"/>
      <x:c r="D9" s="33" t="str"/>
      <x:c r="E9" s="33" t="str"/>
      <x:c r="F9" s="34" t="str">
        <x:v>Amount (JPY)</x:v>
      </x:c>
      <x:c r="G9" s="20" t="str">
        <x:v>Status</x:v>
      </x:c>
    </x:row>
    <x:row r="10">
      <x:c r="A10" t="str">
        <x:v>AP aging total</x:v>
      </x:c>
      <x:c r="B10" t="str"/>
      <x:c r="C10" t="str"/>
      <x:c r="D10" t="str"/>
      <x:c r="E10" t="str"/>
      <x:c r="F10" s="21" t="n">
        <x:f>SUM(F4:F7)</x:f>
        <x:v>226000000</x:v>
      </x:c>
      <x:c r="G10" s="23" t="str">
        <x:f>IF(F10=226000000,"OK","REVIEW")</x:f>
        <x:v>OK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8" hidden="0" customWidth="1"/>
    <x:col min="5" max="5" width="18" hidden="0" customWidth="1"/>
  </x:cols>
  <x:sheetData>
    <x:row r="1" ht="28" customHeight="1">
      <x:c r="A1" s="3" t="str">
        <x:v>Trial Balance Source Export | 2026-03</x:v>
      </x:c>
      <x:c r="B1" s="3"/>
      <x:c r="C1" s="3"/>
      <x:c r="D1" s="3"/>
      <x:c r="E1" s="3"/>
      <x:c r="F1" s="3"/>
    </x:row>
    <x:row r="3">
      <x:c r="A3" s="19" t="str">
        <x:v>Account</x:v>
      </x:c>
      <x:c r="B3" s="33" t="str">
        <x:v>Account Name</x:v>
      </x:c>
      <x:c r="C3" s="33" t="str">
        <x:v>Cost Center</x:v>
      </x:c>
      <x:c r="D3" s="33" t="str">
        <x:v>Debit (JPY)</x:v>
      </x:c>
      <x:c r="E3" s="20" t="str">
        <x:v>Credit (JPY)</x:v>
      </x:c>
    </x:row>
    <x:row r="4">
      <x:c r="A4" t="str">
        <x:v>1000</x:v>
      </x:c>
      <x:c r="B4" t="str">
        <x:v>Cash</x:v>
      </x:c>
      <x:c r="C4" t="str">
        <x:v>FIN-100</x:v>
      </x:c>
      <x:c r="D4" s="21" t="n">
        <x:v>498600000</x:v>
      </x:c>
      <x:c r="E4" s="21" t="n">
        <x:v>0</x:v>
      </x:c>
    </x:row>
    <x:row r="5">
      <x:c r="A5" t="str">
        <x:v>1100</x:v>
      </x:c>
      <x:c r="B5" t="str">
        <x:v>Accounts Receivable</x:v>
      </x:c>
      <x:c r="C5" t="str">
        <x:v>SALES-410</x:v>
      </x:c>
      <x:c r="D5" s="21" t="n">
        <x:v>312000000</x:v>
      </x:c>
      <x:c r="E5" s="21" t="n">
        <x:v>0</x:v>
      </x:c>
    </x:row>
    <x:row r="6">
      <x:c r="A6" t="str">
        <x:v>1200</x:v>
      </x:c>
      <x:c r="B6" t="str">
        <x:v>Prepaid Expenses</x:v>
      </x:c>
      <x:c r="C6" t="str">
        <x:v>FIN-100</x:v>
      </x:c>
      <x:c r="D6" s="21" t="n">
        <x:v>40000000</x:v>
      </x:c>
      <x:c r="E6" s="21" t="n">
        <x:v>0</x:v>
      </x:c>
    </x:row>
    <x:row r="7">
      <x:c r="A7" t="str">
        <x:v>1300</x:v>
      </x:c>
      <x:c r="B7" t="str">
        <x:v>Inventory</x:v>
      </x:c>
      <x:c r="C7" t="str">
        <x:v>OPS-210</x:v>
      </x:c>
      <x:c r="D7" s="21" t="n">
        <x:v>418000000</x:v>
      </x:c>
      <x:c r="E7" s="21" t="n">
        <x:v>0</x:v>
      </x:c>
    </x:row>
    <x:row r="8">
      <x:c r="A8" t="str">
        <x:v>1500</x:v>
      </x:c>
      <x:c r="B8" t="str">
        <x:v>Fixed Assets</x:v>
      </x:c>
      <x:c r="C8" t="str">
        <x:v>FAC-510</x:v>
      </x:c>
      <x:c r="D8" s="21" t="n">
        <x:v>190000000</x:v>
      </x:c>
      <x:c r="E8" s="21" t="n">
        <x:v>0</x:v>
      </x:c>
    </x:row>
    <x:row r="9">
      <x:c r="A9" t="str">
        <x:v>2000</x:v>
      </x:c>
      <x:c r="B9" t="str">
        <x:v>Accounts Payable</x:v>
      </x:c>
      <x:c r="C9" t="str">
        <x:v>OPS-210</x:v>
      </x:c>
      <x:c r="D9" s="21" t="n">
        <x:v>0</x:v>
      </x:c>
      <x:c r="E9" s="21" t="n">
        <x:v>226000000</x:v>
      </x:c>
    </x:row>
    <x:row r="10">
      <x:c r="A10" t="str">
        <x:v>2100</x:v>
      </x:c>
      <x:c r="B10" t="str">
        <x:v>Accrued Payroll</x:v>
      </x:c>
      <x:c r="C10" t="str">
        <x:v>ENG-310</x:v>
      </x:c>
      <x:c r="D10" s="21" t="n">
        <x:v>0</x:v>
      </x:c>
      <x:c r="E10" s="21" t="n">
        <x:v>58000000</x:v>
      </x:c>
    </x:row>
    <x:row r="11">
      <x:c r="A11" t="str">
        <x:v>2200</x:v>
      </x:c>
      <x:c r="B11" t="str">
        <x:v>Deferred Revenue</x:v>
      </x:c>
      <x:c r="C11" t="str">
        <x:v>SALES-410</x:v>
      </x:c>
      <x:c r="D11" s="21" t="n">
        <x:v>0</x:v>
      </x:c>
      <x:c r="E11" s="21" t="n">
        <x:v>77000000</x:v>
      </x:c>
    </x:row>
    <x:row r="12">
      <x:c r="A12" t="str">
        <x:v>3000</x:v>
      </x:c>
      <x:c r="B12" t="str">
        <x:v>Retained Earnings</x:v>
      </x:c>
      <x:c r="C12" t="str">
        <x:v>FIN-100</x:v>
      </x:c>
      <x:c r="D12" s="21" t="n">
        <x:v>0</x:v>
      </x:c>
      <x:c r="E12" s="21" t="n">
        <x:v>807600000</x:v>
      </x:c>
    </x:row>
    <x:row r="13">
      <x:c r="A13" t="str">
        <x:v>4000</x:v>
      </x:c>
      <x:c r="B13" t="str">
        <x:v>Revenue</x:v>
      </x:c>
      <x:c r="C13" t="str">
        <x:v>SALES-410</x:v>
      </x:c>
      <x:c r="D13" s="21" t="n">
        <x:v>0</x:v>
      </x:c>
      <x:c r="E13" s="21" t="n">
        <x:v>680000000</x:v>
      </x:c>
    </x:row>
    <x:row r="14">
      <x:c r="A14" t="str">
        <x:v>5000</x:v>
      </x:c>
      <x:c r="B14" t="str">
        <x:v>COGS</x:v>
      </x:c>
      <x:c r="C14" t="str">
        <x:v>OPS-210</x:v>
      </x:c>
      <x:c r="D14" s="21" t="n">
        <x:v>272000000</x:v>
      </x:c>
      <x:c r="E14" s="21" t="n">
        <x:v>0</x:v>
      </x:c>
    </x:row>
    <x:row r="15">
      <x:c r="A15" t="str">
        <x:v>6100</x:v>
      </x:c>
      <x:c r="B15" t="str">
        <x:v>Operating Expense</x:v>
      </x:c>
      <x:c r="C15" t="str">
        <x:v>ENG-310</x:v>
      </x:c>
      <x:c r="D15" s="21" t="n">
        <x:v>118000000</x:v>
      </x:c>
      <x:c r="E15" s="21" t="n">
        <x:v>0</x:v>
      </x:c>
    </x:row>
    <x:row r="16">
      <x:c r="D16" s="21"/>
      <x:c r="E16" s="21"/>
    </x:row>
    <x:row r="17">
      <x:c r="A17" s="19" t="str">
        <x:v>Control</x:v>
      </x:c>
      <x:c r="B17" s="33" t="str"/>
      <x:c r="C17" s="33" t="str"/>
      <x:c r="D17" s="34" t="str">
        <x:v>Debit (JPY)</x:v>
      </x:c>
      <x:c r="E17" s="35" t="str">
        <x:v>Credit (JPY)</x:v>
      </x:c>
    </x:row>
    <x:row r="18">
      <x:c r="A18" t="str">
        <x:v>Trial balance total</x:v>
      </x:c>
      <x:c r="B18" t="str"/>
      <x:c r="C18" t="str"/>
      <x:c r="D18" s="21" t="n">
        <x:f>SUM(D4:D15)</x:f>
        <x:v>1848600000</x:v>
      </x:c>
      <x:c r="E18" s="21" t="n">
        <x:f>SUM(E4:E15)</x:f>
        <x:v>1848600000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28" customHeight="1">
      <x:c r="A1" s="3" t="str">
        <x:v>Approved Journal Batch | 2026-03 Close</x:v>
      </x:c>
      <x:c r="B1" s="3"/>
      <x:c r="C1" s="3"/>
      <x:c r="D1" s="3"/>
      <x:c r="E1" s="3"/>
      <x:c r="F1" s="3"/>
      <x:c r="G1" s="3"/>
      <x:c r="H1" s="3"/>
    </x:row>
    <x:row r="3">
      <x:c r="A3" t="str">
        <x:v>Batch ID</x:v>
      </x:c>
      <x:c r="B3" t="str">
        <x:v>CW-2026-03-CLOSE-01</x:v>
      </x:c>
    </x:row>
    <x:row r="4">
      <x:c r="A4" t="str">
        <x:v>Approval</x:v>
      </x:c>
      <x:c r="B4" t="str">
        <x:v>Finance Controller | approved</x:v>
      </x:c>
    </x:row>
    <x:row r="5">
      <x:c r="A5" t="str">
        <x:v>Control</x:v>
      </x:c>
      <x:c r="B5" t="str">
        <x:v>Debit equals credit</x:v>
      </x:c>
    </x:row>
    <x:row r="7">
      <x:c r="A7" s="19" t="str">
        <x:v>Line</x:v>
      </x:c>
      <x:c r="B7" s="33" t="str">
        <x:v>Account</x:v>
      </x:c>
      <x:c r="C7" s="33" t="str">
        <x:v>Account Name</x:v>
      </x:c>
      <x:c r="D7" s="33" t="str">
        <x:v>Cost Center</x:v>
      </x:c>
      <x:c r="E7" s="33" t="str">
        <x:v>Debit (JPY)</x:v>
      </x:c>
      <x:c r="F7" s="33" t="str">
        <x:v>Credit (JPY)</x:v>
      </x:c>
      <x:c r="G7" s="20" t="str">
        <x:v>Memo</x:v>
      </x:c>
    </x:row>
    <x:row r="8">
      <x:c r="A8" t="str">
        <x:v>1</x:v>
      </x:c>
      <x:c r="B8" t="str">
        <x:v>4000</x:v>
      </x:c>
      <x:c r="C8" t="str">
        <x:v>Revenue</x:v>
      </x:c>
      <x:c r="D8" t="str">
        <x:v>SALES-410</x:v>
      </x:c>
      <x:c r="E8" s="21" t="n">
        <x:v>680000000</x:v>
      </x:c>
      <x:c r="F8" s="21" t="n">
        <x:v>0</x:v>
      </x:c>
      <x:c r="G8" t="str">
        <x:v>Close revenue to retained earnings</x:v>
      </x:c>
    </x:row>
    <x:row r="9">
      <x:c r="A9" t="str">
        <x:v>2</x:v>
      </x:c>
      <x:c r="B9" t="str">
        <x:v>5000</x:v>
      </x:c>
      <x:c r="C9" t="str">
        <x:v>COGS</x:v>
      </x:c>
      <x:c r="D9" t="str">
        <x:v>OPS-210</x:v>
      </x:c>
      <x:c r="E9" s="21" t="n">
        <x:v>0</x:v>
      </x:c>
      <x:c r="F9" s="21" t="n">
        <x:v>272000000</x:v>
      </x:c>
      <x:c r="G9" t="str">
        <x:v>Close cost of goods sold</x:v>
      </x:c>
    </x:row>
    <x:row r="10">
      <x:c r="A10" t="str">
        <x:v>3</x:v>
      </x:c>
      <x:c r="B10" t="str">
        <x:v>6100</x:v>
      </x:c>
      <x:c r="C10" t="str">
        <x:v>Operating Expense</x:v>
      </x:c>
      <x:c r="D10" t="str">
        <x:v>ENG-310</x:v>
      </x:c>
      <x:c r="E10" s="21" t="n">
        <x:v>0</x:v>
      </x:c>
      <x:c r="F10" s="21" t="n">
        <x:v>118000000</x:v>
      </x:c>
      <x:c r="G10" t="str">
        <x:v>Close operating expense</x:v>
      </x:c>
    </x:row>
    <x:row r="11">
      <x:c r="A11" t="str">
        <x:v>4</x:v>
      </x:c>
      <x:c r="B11" t="str">
        <x:v>3000</x:v>
      </x:c>
      <x:c r="C11" t="str">
        <x:v>Retained Earnings</x:v>
      </x:c>
      <x:c r="D11" t="str">
        <x:v>FIN-100</x:v>
      </x:c>
      <x:c r="E11" s="21" t="n">
        <x:v>0</x:v>
      </x:c>
      <x:c r="F11" s="21" t="n">
        <x:v>290000000</x:v>
      </x:c>
      <x:c r="G11" t="str">
        <x:v>Post March net result</x:v>
      </x:c>
    </x:row>
    <x:row r="12">
      <x:c r="E12" s="21"/>
      <x:c r="F12" s="21"/>
    </x:row>
    <x:row r="13">
      <x:c r="A13" s="19" t="str">
        <x:v>Control</x:v>
      </x:c>
      <x:c r="B13" s="33" t="str"/>
      <x:c r="C13" s="33" t="str"/>
      <x:c r="D13" s="33" t="str"/>
      <x:c r="E13" s="34" t="str">
        <x:v>Debit (JPY)</x:v>
      </x:c>
      <x:c r="F13" s="34" t="str">
        <x:v>Credit (JPY)</x:v>
      </x:c>
      <x:c r="G13" s="20" t="str">
        <x:v>Status</x:v>
      </x:c>
    </x:row>
    <x:row r="14">
      <x:c r="A14" t="str">
        <x:v>Journal batch total</x:v>
      </x:c>
      <x:c r="B14" t="str"/>
      <x:c r="C14" t="str"/>
      <x:c r="D14" t="str"/>
      <x:c r="E14" s="21" t="n">
        <x:f>SUM(E8:E11)</x:f>
        <x:v>680000000</x:v>
      </x:c>
      <x:c r="F14" s="21" t="n">
        <x:f>SUM(F8:F11)</x:f>
        <x:v>680000000</x:v>
      </x:c>
      <x:c r="G14" s="23" t="str">
        <x:f>IF(E14=F14,"OK","REVIEW")</x:f>
        <x:v>OK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</x:cols>
  <x:sheetData>
    <x:row r="1" ht="28" customHeight="1">
      <x:c r="A1" s="3" t="str">
        <x:v>Cash Reconciliation Bridge | 2026-03</x:v>
      </x:c>
      <x:c r="B1" s="3"/>
      <x:c r="C1" s="3"/>
      <x:c r="D1" s="3"/>
    </x:row>
    <x:row r="3">
      <x:c r="A3" s="19" t="str">
        <x:v>Measure</x:v>
      </x:c>
      <x:c r="B3" s="20" t="str">
        <x:v>JPY</x:v>
      </x:c>
    </x:row>
    <x:row r="4">
      <x:c r="A4" t="str">
        <x:v>Ledger cash</x:v>
      </x:c>
      <x:c r="B4" s="21" t="n">
        <x:v>498600000</x:v>
      </x:c>
    </x:row>
    <x:row r="5">
      <x:c r="A5" t="str">
        <x:v>Bank cash</x:v>
      </x:c>
      <x:c r="B5" s="21" t="n">
        <x:v>486200000</x:v>
      </x:c>
    </x:row>
    <x:row r="6">
      <x:c r="B6" s="21"/>
    </x:row>
    <x:row r="7">
      <x:c r="A7" s="19" t="str">
        <x:v>Unfavorable bridge component</x:v>
      </x:c>
      <x:c r="B7" s="35" t="str">
        <x:v>JPY</x:v>
      </x:c>
    </x:row>
    <x:row r="8">
      <x:c r="A8" t="str">
        <x:v>Unposted cash receipts</x:v>
      </x:c>
      <x:c r="B8" s="21" t="n">
        <x:v>-7200000</x:v>
      </x:c>
    </x:row>
    <x:row r="9">
      <x:c r="A9" t="str">
        <x:v>Outstanding disbursements</x:v>
      </x:c>
      <x:c r="B9" s="21" t="n">
        <x:v>-3100000</x:v>
      </x:c>
    </x:row>
    <x:row r="10">
      <x:c r="A10" t="str">
        <x:v>Timing cut-off</x:v>
      </x:c>
      <x:c r="B10" s="21" t="n">
        <x:v>-1300000</x:v>
      </x:c>
    </x:row>
    <x:row r="11">
      <x:c r="A11" t="str">
        <x:v>ERP settlement queue</x:v>
      </x:c>
      <x:c r="B11" s="21" t="n">
        <x:v>-800000</x:v>
      </x:c>
    </x:row>
    <x:row r="12">
      <x:c r="A12" t="str">
        <x:v>Bridge total</x:v>
      </x:c>
      <x:c r="B12" s="21" t="n">
        <x:f>SUM(B8:B11)</x:f>
        <x:v>-12400000</x:v>
      </x:c>
    </x:row>
    <x:row r="14">
      <x:c r="A14" s="19" t="str">
        <x:v>Control</x:v>
      </x:c>
      <x:c r="B14" s="20" t="str">
        <x:v>Status</x:v>
      </x:c>
    </x:row>
    <x:row r="15">
      <x:c r="A15" t="str">
        <x:v>Bank cash plus bridge equals ledger cash</x:v>
      </x:c>
      <x:c r="B15" s="23" t="str">
        <x:f>IF(B5-B4=B12,"OK","REVIEW")</x:f>
        <x:v>OK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21" hidden="0" customWidth="1"/>
  </x:cols>
  <x:sheetData>
    <x:row r="1" ht="28" customHeight="1">
      <x:c r="A1" s="3" t="str">
        <x:v>Close Export Controls</x:v>
      </x:c>
      <x:c r="B1" s="3"/>
      <x:c r="C1" s="3"/>
      <x:c r="D1" s="3"/>
      <x:c r="E1" s="3"/>
      <x:c r="F1" s="3"/>
      <x:c r="G1" s="3"/>
    </x:row>
    <x:row r="3">
      <x:c r="A3" s="19" t="str">
        <x:v>Check</x:v>
      </x:c>
      <x:c r="B3" s="33" t="str">
        <x:v>Actual</x:v>
      </x:c>
      <x:c r="C3" s="33" t="str">
        <x:v>Expected</x:v>
      </x:c>
      <x:c r="D3" s="33" t="str">
        <x:v>Difference</x:v>
      </x:c>
      <x:c r="E3" s="33" t="str">
        <x:v>Tolerance</x:v>
      </x:c>
      <x:c r="F3" s="33" t="str">
        <x:v>Status</x:v>
      </x:c>
      <x:c r="G3" s="20" t="str">
        <x:v>Where to fix</x:v>
      </x:c>
    </x:row>
    <x:row r="4">
      <x:c r="A4" t="str">
        <x:v>Journal debits equal credits</x:v>
      </x:c>
      <x:c r="B4" s="21" t="n">
        <x:f>'Journal Batch'!E14</x:f>
        <x:v>680000000</x:v>
      </x:c>
      <x:c r="C4" s="21" t="n">
        <x:f>'Journal Batch'!F14</x:f>
        <x:v>680000000</x:v>
      </x:c>
      <x:c r="D4" s="21" t="n">
        <x:f>B4-C4</x:f>
        <x:v>0</x:v>
      </x:c>
      <x:c r="E4" s="21" t="n">
        <x:v>0</x:v>
      </x:c>
      <x:c r="F4" s="23" t="str">
        <x:f>IF(ABS(D4)&lt;=E4,"OK","REVIEW")</x:f>
        <x:v>OK</x:v>
      </x:c>
      <x:c r="G4" t="str">
        <x:v>Journal Batch</x:v>
      </x:c>
    </x:row>
    <x:row r="5">
      <x:c r="A5" t="str">
        <x:v>Trial balance debits equal credits</x:v>
      </x:c>
      <x:c r="B5" s="21" t="n">
        <x:f>'Trial Balance'!D18</x:f>
        <x:v>1848600000</x:v>
      </x:c>
      <x:c r="C5" s="21" t="n">
        <x:f>'Trial Balance'!E18</x:f>
        <x:v>1848600000</x:v>
      </x:c>
      <x:c r="D5" s="21" t="n">
        <x:f>B5-C5</x:f>
        <x:v>0</x:v>
      </x:c>
      <x:c r="E5" s="21" t="n">
        <x:v>0</x:v>
      </x:c>
      <x:c r="F5" s="23" t="str">
        <x:f>IF(ABS(D5)&lt;=E5,"OK","REVIEW")</x:f>
        <x:v>OK</x:v>
      </x:c>
      <x:c r="G5" t="str">
        <x:v>Trial Balance</x:v>
      </x:c>
    </x:row>
    <x:row r="6">
      <x:c r="A6" t="str">
        <x:v>AP aging total</x:v>
      </x:c>
      <x:c r="B6" s="21" t="n">
        <x:f>'AP Aging'!F10</x:f>
        <x:v>226000000</x:v>
      </x:c>
      <x:c r="C6" s="21" t="n">
        <x:v>226000000</x:v>
      </x:c>
      <x:c r="D6" s="21" t="n">
        <x:f>B6-C6</x:f>
        <x:v>0</x:v>
      </x:c>
      <x:c r="E6" s="21" t="n">
        <x:v>0</x:v>
      </x:c>
      <x:c r="F6" s="23" t="str">
        <x:f>IF(ABS(D6)&lt;=E6,"OK","REVIEW")</x:f>
        <x:v>OK</x:v>
      </x:c>
      <x:c r="G6" t="str">
        <x:v>AP Aging</x:v>
      </x:c>
    </x:row>
    <x:row r="7">
      <x:c r="A7" t="str">
        <x:v>Cash bridge total</x:v>
      </x:c>
      <x:c r="B7" s="21" t="n">
        <x:f>'Cash Bridge'!B12</x:f>
        <x:v>-12400000</x:v>
      </x:c>
      <x:c r="C7" s="21" t="n">
        <x:v>-12400000</x:v>
      </x:c>
      <x:c r="D7" s="21" t="n">
        <x:f>B7-C7</x:f>
        <x:v>0</x:v>
      </x:c>
      <x:c r="E7" s="21" t="n">
        <x:v>0</x:v>
      </x:c>
      <x:c r="F7" s="23" t="str">
        <x:f>IF(ABS(D7)&lt;=E7,"OK","REVIEW")</x:f>
        <x:v>OK</x:v>
      </x:c>
      <x:c r="G7" t="str">
        <x:v>Cash Bridge</x:v>
      </x:c>
    </x:row>
    <x:row r="8">
      <x:c r="A8" t="str">
        <x:v>Cash bridge reconciliation</x:v>
      </x:c>
      <x:c r="B8" s="21" t="n">
        <x:f>('Cash Bridge'!B5-'Cash Bridge'!B4)-'Cash Bridge'!B12</x:f>
        <x:v>0</x:v>
      </x:c>
      <x:c r="C8" s="21" t="n">
        <x:v>0</x:v>
      </x:c>
      <x:c r="D8" s="21" t="n">
        <x:f>B8-C8</x:f>
        <x:v>0</x:v>
      </x:c>
      <x:c r="E8" s="21" t="n">
        <x:v>0</x:v>
      </x:c>
      <x:c r="F8" s="23" t="str">
        <x:f>IF(ABS(D8)&lt;=E8,"OK","REVIEW")</x:f>
        <x:v>OK</x:v>
      </x:c>
      <x:c r="G8" t="str">
        <x:v>Cash Bridge</x:v>
      </x:c>
    </x:row>
    <x:row r="9">
      <x:c r="A9" t="str">
        <x:v>All close controls</x:v>
      </x:c>
      <x:c r="B9" t="n">
        <x:f>SUMPRODUCT(--(F4:F8="OK"))</x:f>
        <x:v>5</x:v>
      </x:c>
      <x:c r="C9" t="n">
        <x:v>5</x:v>
      </x:c>
      <x:c r="D9" t="n">
        <x:f>B9-C9</x:f>
        <x:v>0</x:v>
      </x:c>
      <x:c r="E9" t="n">
        <x:v>0</x:v>
      </x:c>
      <x:c r="F9" s="23" t="str">
        <x:f>IF(B9=C9,"PASS","FAIL")</x:f>
        <x:v>PASS</x:v>
      </x:c>
      <x:c r="G9" t="str">
        <x:v>Review checks above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3" max="3" width="14" hidden="0" customWidth="1"/>
    <x:col min="4" max="4" width="20" hidden="0" customWidth="1"/>
    <x:col min="5" max="5" width="25" hidden="0" customWidth="1"/>
    <x:col min="6" max="6" width="30" hidden="0" customWidth="1"/>
  </x:cols>
  <x:sheetData>
    <x:row r="1" ht="28" customHeight="1">
      <x:c r="A1" s="26" t="str">
        <x:v>Source Register | Synthetic ERP Close Export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19" t="str">
        <x:v>Artifact</x:v>
      </x:c>
      <x:c r="B3" s="33" t="str">
        <x:v>Role</x:v>
      </x:c>
      <x:c r="C3" s="33" t="str">
        <x:v>As of</x:v>
      </x:c>
      <x:c r="D3" s="33" t="str">
        <x:v>Owner Role</x:v>
      </x:c>
      <x:c r="E3" s="33" t="str">
        <x:v>Reconciliation Use</x:v>
      </x:c>
      <x:c r="F3" s="20" t="str">
        <x:v>Note</x:v>
      </x:c>
    </x:row>
    <x:row r="4">
      <x:c r="A4" s="27" t="str">
        <x:v>2026-03-ap-aging.csv</x:v>
      </x:c>
      <x:c r="B4" s="27" t="str">
        <x:v>AP source export</x:v>
      </x:c>
      <x:c r="C4" s="27" t="str">
        <x:v>2026-03-31</x:v>
      </x:c>
      <x:c r="D4" s="27" t="str">
        <x:v>Finance Controller</x:v>
      </x:c>
      <x:c r="E4" s="27" t="str">
        <x:v>AP aging total</x:v>
      </x:c>
      <x:c r="F4" s="27" t="str">
        <x:v>Synthetic operational export</x:v>
      </x:c>
    </x:row>
    <x:row r="5">
      <x:c r="A5" s="27" t="str">
        <x:v>2026-03-gl-balance.csv</x:v>
      </x:c>
      <x:c r="B5" s="27" t="str">
        <x:v>GL balance export</x:v>
      </x:c>
      <x:c r="C5" s="27" t="str">
        <x:v>2026-03-31</x:v>
      </x:c>
      <x:c r="D5" s="27" t="str">
        <x:v>Finance Controller</x:v>
      </x:c>
      <x:c r="E5" s="27" t="str">
        <x:v>Account balances</x:v>
      </x:c>
      <x:c r="F5" s="27" t="str">
        <x:v>Synthetic operational export</x:v>
      </x:c>
    </x:row>
    <x:row r="6">
      <x:c r="A6" s="27" t="str">
        <x:v>2026-03-trial-balance.tsv</x:v>
      </x:c>
      <x:c r="B6" s="27" t="str">
        <x:v>Trial balance source</x:v>
      </x:c>
      <x:c r="C6" s="27" t="str">
        <x:v>2026-03-31</x:v>
      </x:c>
      <x:c r="D6" s="27" t="str">
        <x:v>Finance Controller</x:v>
      </x:c>
      <x:c r="E6" s="27" t="str">
        <x:v>Debit and credit tie-out</x:v>
      </x:c>
      <x:c r="F6" s="27" t="str">
        <x:v>Synthetic operational export</x:v>
      </x:c>
    </x:row>
    <x:row r="7">
      <x:c r="A7" s="27" t="str">
        <x:v>2026-03-journal-batch.xml</x:v>
      </x:c>
      <x:c r="B7" s="27" t="str">
        <x:v>Journal approval export</x:v>
      </x:c>
      <x:c r="C7" s="27" t="str">
        <x:v>2026-03-31</x:v>
      </x:c>
      <x:c r="D7" s="27" t="str">
        <x:v>Finance Controller</x:v>
      </x:c>
      <x:c r="E7" s="27" t="str">
        <x:v>Close entry balance</x:v>
      </x:c>
      <x:c r="F7" s="27" t="str">
        <x:v>No bank or tax data</x:v>
      </x:c>
    </x:row>
    <x:row r="8">
      <x:c r="A8" s="27" t="str">
        <x:v>erp-close-export-capture.pcap</x:v>
      </x:c>
      <x:c r="B8" s="27" t="str">
        <x:v>Sanitized handshake diagnostic</x:v>
      </x:c>
      <x:c r="C8" s="27" t="str">
        <x:v>2026-03-31</x:v>
      </x:c>
      <x:c r="D8" s="27" t="str">
        <x:v>Finance Controller</x:v>
      </x:c>
      <x:c r="E8" s="27" t="str">
        <x:v>Format evidence only</x:v>
      </x:c>
      <x:c r="F8" s="27" t="str">
        <x:v>RFC5737 endpoints; no payload</x:v>
      </x:c>
    </x:row>
  </x:sheetData>
  <x:mergeCells>
    <x:mergeCell ref="A1:F1"/>
  </x:mergeCells>
  <x:pageMargins left="0.7" right="0.7" top="0.75" bottom="0.75" header="0.3" footer="0.3"/>
</x:worksheet>
</file>