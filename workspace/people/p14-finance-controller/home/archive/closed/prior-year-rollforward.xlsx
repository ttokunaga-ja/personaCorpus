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9fc6682d3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f5c8c13eeef404d"/>
    <x:sheet xmlns:r="http://schemas.openxmlformats.org/officeDocument/2006/relationships" name="Rollforward" sheetId="2" r:id="Rf7ddd380a7114ddd"/>
    <x:sheet xmlns:r="http://schemas.openxmlformats.org/officeDocument/2006/relationships" name="FY2026 Handoff" sheetId="3" r:id="R0cc7c96c4f6545b9"/>
    <x:sheet xmlns:r="http://schemas.openxmlformats.org/officeDocument/2006/relationships" name="Checks" sheetId="4" r:id="R89d4331dbab7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555555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6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0" fontId="6" fillId="0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201" fontId="6" fillId="5" borderId="0" xfId="0" applyNumberFormat="1" applyFont="1" applyFill="1" applyBorder="1" applyAlignment="1">
      <x:alignment horizontal="right"/>
    </x:xf>
    <x:xf numFmtId="200" fontId="6" fillId="4" borderId="0" xfId="0" applyNumberFormat="1" applyFont="1" applyFill="1" applyBorder="1" applyAlignment="1">
      <x:alignment horizontal="right"/>
    </x:xf>
    <x:xf numFmtId="0" fontId="7" fillId="4" borderId="0" xfId="0" applyNumberFormat="1" applyFont="1" applyFill="1" applyBorder="1"/>
    <x:xf numFmtId="200" fontId="8" fillId="4" borderId="0" xfId="0" applyNumberFormat="1" applyFont="1" applyFill="1" applyBorder="1" applyAlignment="1">
      <x:alignment horizontal="right"/>
    </x:xf>
    <x:xf numFmtId="0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32a47dec64711" /><Relationship Type="http://schemas.openxmlformats.org/officeDocument/2006/relationships/theme" Target="/xl/theme/theme1.xml" Id="Rc3bfff879ac14d19" /><Relationship Type="http://schemas.openxmlformats.org/officeDocument/2006/relationships/sharedStrings" Target="/xl/sharedStrings.xml" Id="R03aac8e23fb343d6" /><Relationship Type="http://schemas.openxmlformats.org/officeDocument/2006/relationships/worksheet" Target="/xl/worksheets/sheet1.xml" Id="R9f5c8c13eeef404d" /><Relationship Type="http://schemas.openxmlformats.org/officeDocument/2006/relationships/worksheet" Target="/xl/worksheets/sheet2.xml" Id="Rf7ddd380a7114ddd" /><Relationship Type="http://schemas.openxmlformats.org/officeDocument/2006/relationships/worksheet" Target="/xl/worksheets/sheet3.xml" Id="R0cc7c96c4f6545b9" /><Relationship Type="http://schemas.openxmlformats.org/officeDocument/2006/relationships/worksheet" Target="/xl/worksheets/sheet4.xml" Id="R89d4331dbab749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4" t="str">
        <x:v>Cedar Works | FY2025 Prior-Year Rollforward Archive</x:v>
      </x:c>
      <x:c r="B1" s="4"/>
      <x:c r="C1" s="4"/>
      <x:c r="D1" s="4"/>
      <x:c r="E1" s="4"/>
      <x:c r="F1" s="4"/>
    </x:row>
    <x:row r="3" ht="30" customHeight="1">
      <x:c r="A3" s="8" t="str">
        <x:v>Archive status</x:v>
      </x:c>
      <x:c r="B3" s="9" t="str">
        <x:v>Historical synthetic record - closed</x:v>
      </x:c>
    </x:row>
    <x:row r="4" ht="30" customHeight="1">
      <x:c r="A4" s="8" t="str">
        <x:v>Purpose</x:v>
      </x:c>
      <x:c r="B4" s="9" t="str">
        <x:v>Internal handoff of FY2025 cash balances to FY2026 opening balances</x:v>
      </x:c>
    </x:row>
    <x:row r="5" ht="30" customHeight="1">
      <x:c r="A5" s="8" t="str">
        <x:v>Entity</x:v>
      </x:c>
      <x:c r="B5" s="9" t="str">
        <x:v>Cedar Works (synthetic)</x:v>
      </x:c>
    </x:row>
    <x:row r="6" ht="30" customHeight="1">
      <x:c r="A6" s="8" t="str">
        <x:v>Period</x:v>
      </x:c>
      <x:c r="B6" s="9" t="str">
        <x:v>FY2025 actual monthly rollforward</x:v>
      </x:c>
    </x:row>
    <x:row r="7" ht="30" customHeight="1">
      <x:c r="A7" s="8" t="str">
        <x:v>Currency / unit</x:v>
      </x:c>
      <x:c r="B7" s="9" t="str">
        <x:v>JPY, whole yen</x:v>
      </x:c>
    </x:row>
    <x:row r="8" ht="30" customHeight="1">
      <x:c r="A8" s="8" t="str">
        <x:v>Prepared for</x:v>
      </x:c>
      <x:c r="B8" s="9" t="str">
        <x:v>Internal training archive</x:v>
      </x:c>
    </x:row>
    <x:row r="9" ht="30" customHeight="1">
      <x:c r="A9" s="8" t="str">
        <x:v>Successor context</x:v>
      </x:c>
      <x:c r="B9" s="9" t="str">
        <x:v>FY2026 Q1 close uses a JPY 12,400,000 cash variance as context only</x:v>
      </x:c>
    </x:row>
    <x:row r="10" ht="30" customHeight="1">
      <x:c r="A10" s="8" t="str">
        <x:v>Use limitation</x:v>
      </x:c>
      <x:c r="B10" s="9" t="str">
        <x:v>Synthetic planning record; not a bank statement, filing, or legal record</x:v>
      </x:c>
    </x:row>
    <x:row r="12">
      <x:c r="A12" s="10" t="str">
        <x:v>Workbook guide</x:v>
      </x:c>
      <x:c r="B12" s="10" t="str"/>
      <x:c r="C12" s="10" t="str"/>
      <x:c r="D12" s="10" t="str"/>
      <x:c r="E12" s="10" t="str"/>
      <x:c r="F12" s="10" t="str"/>
    </x:row>
    <x:row r="13">
      <x:c r="A13" s="8" t="str">
        <x:v>Sheet</x:v>
      </x:c>
      <x:c r="B13" s="8" t="str">
        <x:v>Purpose</x:v>
      </x:c>
      <x:c r="C13" t="str"/>
      <x:c r="D13" t="str"/>
      <x:c r="E13" t="str"/>
      <x:c r="F13" t="str"/>
    </x:row>
    <x:row r="14">
      <x:c r="A14" t="str">
        <x:v>Rollforward</x:v>
      </x:c>
      <x:c r="B14" t="str">
        <x:v>Monthly opening cash, movements, and formula-driven ending balances</x:v>
      </x:c>
      <x:c r="C14" t="str"/>
      <x:c r="D14" t="str"/>
      <x:c r="E14" t="str"/>
      <x:c r="F14" t="str"/>
    </x:row>
    <x:row r="15">
      <x:c r="A15" t="str">
        <x:v>FY2026 Handoff</x:v>
      </x:c>
      <x:c r="B15" t="str">
        <x:v>Controlled opening balance supplied to the successor fiscal year</x:v>
      </x:c>
      <x:c r="C15" t="str"/>
      <x:c r="D15" t="str"/>
      <x:c r="E15" t="str"/>
      <x:c r="F15" t="str"/>
    </x:row>
    <x:row r="16">
      <x:c r="A16" t="str">
        <x:v>Checks</x:v>
      </x:c>
      <x:c r="B16" t="str">
        <x:v>Visible reconciliation and formula-status controls</x:v>
      </x:c>
      <x:c r="C16" t="str"/>
      <x:c r="D16" t="str"/>
      <x:c r="E16" t="str"/>
      <x:c r="F16" t="str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4" t="str">
        <x:v>FY2025 Monthly Cash Rollforward | Historical Actuals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3" t="str">
        <x:v>All values are synthetic JPY. Blue font indicates historical input. Green font indicates cross-sheet formula. Historical record only.</x:v>
      </x:c>
      <x:c r="B3" s="13" t="str"/>
      <x:c r="C3" s="13" t="str"/>
      <x:c r="D3" s="13" t="str"/>
      <x:c r="E3" s="13" t="str"/>
      <x:c r="F3" s="13" t="str"/>
      <x:c r="G3" s="13" t="str"/>
      <x:c r="H3" s="13" t="str"/>
      <x:c r="I3" s="13" t="str"/>
      <x:c r="J3" s="13" t="str"/>
      <x:c r="K3" s="13" t="str"/>
      <x:c r="L3" s="13" t="str"/>
      <x:c r="M3" s="13" t="str"/>
      <x:c r="N3" s="13" t="str"/>
    </x:row>
    <x:row r="4">
      <x:c r="A4" s="8" t="str">
        <x:v>Line item</x:v>
      </x:c>
      <x:c r="B4" s="8" t="str">
        <x:v>Jan</x:v>
      </x:c>
      <x:c r="C4" s="8" t="str">
        <x:v>Feb</x:v>
      </x:c>
      <x:c r="D4" s="8" t="str">
        <x:v>Mar</x:v>
      </x:c>
      <x:c r="E4" s="8" t="str">
        <x:v>Apr</x:v>
      </x:c>
      <x:c r="F4" s="8" t="str">
        <x:v>May</x:v>
      </x:c>
      <x:c r="G4" s="8" t="str">
        <x:v>Jun</x:v>
      </x:c>
      <x:c r="H4" s="8" t="str">
        <x:v>Jul</x:v>
      </x:c>
      <x:c r="I4" s="8" t="str">
        <x:v>Aug</x:v>
      </x:c>
      <x:c r="J4" s="8" t="str">
        <x:v>Sep</x:v>
      </x:c>
      <x:c r="K4" s="8" t="str">
        <x:v>Oct</x:v>
      </x:c>
      <x:c r="L4" s="8" t="str">
        <x:v>Nov</x:v>
      </x:c>
      <x:c r="M4" s="8" t="str">
        <x:v>Dec</x:v>
      </x:c>
      <x:c r="N4" s="8" t="str">
        <x:v>FY2025</x:v>
      </x:c>
    </x:row>
    <x:row r="6">
      <x:c r="A6" s="10" t="str">
        <x:v>Monthly cash flow</x:v>
      </x:c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</x:row>
    <x:row r="7">
      <x:c r="A7" t="str">
        <x:v>Opening cash</x:v>
      </x:c>
      <x:c r="B7" s="19" t="n">
        <x:v>96800000</x:v>
      </x:c>
      <x:c r="C7" s="20" t="n">
        <x:f>B13</x:f>
        <x:v>97500000</x:v>
      </x:c>
      <x:c r="D7" s="20" t="n">
        <x:f>C13</x:f>
        <x:v>98800000</x:v>
      </x:c>
      <x:c r="E7" s="20" t="n">
        <x:f>D13</x:f>
        <x:v>100300000</x:v>
      </x:c>
      <x:c r="F7" s="20" t="n">
        <x:f>E13</x:f>
        <x:v>102100000</x:v>
      </x:c>
      <x:c r="G7" s="20" t="n">
        <x:f>F13</x:f>
        <x:v>103600000</x:v>
      </x:c>
      <x:c r="H7" s="20" t="n">
        <x:f>G13</x:f>
        <x:v>105600000</x:v>
      </x:c>
      <x:c r="I7" s="20" t="n">
        <x:f>H13</x:f>
        <x:v>107000000</x:v>
      </x:c>
      <x:c r="J7" s="20" t="n">
        <x:f>I13</x:f>
        <x:v>109300000</x:v>
      </x:c>
      <x:c r="K7" s="20" t="n">
        <x:f>J13</x:f>
        <x:v>110700000</x:v>
      </x:c>
      <x:c r="L7" s="20" t="n">
        <x:f>K13</x:f>
        <x:v>112400000</x:v>
      </x:c>
      <x:c r="M7" s="20" t="n">
        <x:f>L13</x:f>
        <x:v>114500000</x:v>
      </x:c>
      <x:c r="N7" s="20" t="n">
        <x:f>B7</x:f>
        <x:v>96800000</x:v>
      </x:c>
    </x:row>
    <x:row r="8">
      <x:c r="A8" t="str">
        <x:v>Operating receipts</x:v>
      </x:c>
      <x:c r="B8" s="19" t="n">
        <x:v>21400000</x:v>
      </x:c>
      <x:c r="C8" s="19" t="n">
        <x:v>22100000</x:v>
      </x:c>
      <x:c r="D8" s="19" t="n">
        <x:v>23700000</x:v>
      </x:c>
      <x:c r="E8" s="19" t="n">
        <x:v>22800000</x:v>
      </x:c>
      <x:c r="F8" s="19" t="n">
        <x:v>24100000</x:v>
      </x:c>
      <x:c r="G8" s="19" t="n">
        <x:v>23600000</x:v>
      </x:c>
      <x:c r="H8" s="19" t="n">
        <x:v>24900000</x:v>
      </x:c>
      <x:c r="I8" s="19" t="n">
        <x:v>25200000</x:v>
      </x:c>
      <x:c r="J8" s="19" t="n">
        <x:v>24700000</x:v>
      </x:c>
      <x:c r="K8" s="19" t="n">
        <x:v>25800000</x:v>
      </x:c>
      <x:c r="L8" s="19" t="n">
        <x:v>26300000</x:v>
      </x:c>
      <x:c r="M8" s="19" t="n">
        <x:v>27600000</x:v>
      </x:c>
      <x:c r="N8" s="20" t="n">
        <x:f>SUM(B8:M8)</x:f>
        <x:v>292200000</x:v>
      </x:c>
    </x:row>
    <x:row r="9">
      <x:c r="A9" t="str">
        <x:v>Payroll and benefits</x:v>
      </x:c>
      <x:c r="B9" s="19" t="n">
        <x:v>-8200000</x:v>
      </x:c>
      <x:c r="C9" s="19" t="n">
        <x:v>-8300000</x:v>
      </x:c>
      <x:c r="D9" s="19" t="n">
        <x:v>-8500000</x:v>
      </x:c>
      <x:c r="E9" s="19" t="n">
        <x:v>-8400000</x:v>
      </x:c>
      <x:c r="F9" s="19" t="n">
        <x:v>-8600000</x:v>
      </x:c>
      <x:c r="G9" s="19" t="n">
        <x:v>-8700000</x:v>
      </x:c>
      <x:c r="H9" s="19" t="n">
        <x:v>-8800000</x:v>
      </x:c>
      <x:c r="I9" s="19" t="n">
        <x:v>-8900000</x:v>
      </x:c>
      <x:c r="J9" s="19" t="n">
        <x:v>-9000000</x:v>
      </x:c>
      <x:c r="K9" s="19" t="n">
        <x:v>-9100000</x:v>
      </x:c>
      <x:c r="L9" s="19" t="n">
        <x:v>-9200000</x:v>
      </x:c>
      <x:c r="M9" s="19" t="n">
        <x:v>-9400000</x:v>
      </x:c>
      <x:c r="N9" s="20" t="n">
        <x:f>SUM(B9:M9)</x:f>
        <x:v>-105100000</x:v>
      </x:c>
    </x:row>
    <x:row r="10">
      <x:c r="A10" t="str">
        <x:v>Vendor and operating payments</x:v>
      </x:c>
      <x:c r="B10" s="19" t="n">
        <x:v>-10600000</x:v>
      </x:c>
      <x:c r="C10" s="19" t="n">
        <x:v>-11100000</x:v>
      </x:c>
      <x:c r="D10" s="19" t="n">
        <x:v>-11600000</x:v>
      </x:c>
      <x:c r="E10" s="19" t="n">
        <x:v>-10800000</x:v>
      </x:c>
      <x:c r="F10" s="19" t="n">
        <x:v>-11700000</x:v>
      </x:c>
      <x:c r="G10" s="19" t="n">
        <x:v>-11200000</x:v>
      </x:c>
      <x:c r="H10" s="19" t="n">
        <x:v>-12100000</x:v>
      </x:c>
      <x:c r="I10" s="19" t="n">
        <x:v>-11800000</x:v>
      </x:c>
      <x:c r="J10" s="19" t="n">
        <x:v>-11900000</x:v>
      </x:c>
      <x:c r="K10" s="19" t="n">
        <x:v>-12300000</x:v>
      </x:c>
      <x:c r="L10" s="19" t="n">
        <x:v>-12500000</x:v>
      </x:c>
      <x:c r="M10" s="19" t="n">
        <x:v>-12900000</x:v>
      </x:c>
      <x:c r="N10" s="20" t="n">
        <x:f>SUM(B10:M10)</x:f>
        <x:v>-140500000</x:v>
      </x:c>
    </x:row>
    <x:row r="11">
      <x:c r="A11" t="str">
        <x:v>Other cash movements</x:v>
      </x:c>
      <x:c r="B11" s="19" t="n">
        <x:v>-1900000</x:v>
      </x:c>
      <x:c r="C11" s="19" t="n">
        <x:v>-1400000</x:v>
      </x:c>
      <x:c r="D11" s="19" t="n">
        <x:v>-2100000</x:v>
      </x:c>
      <x:c r="E11" s="19" t="n">
        <x:v>-1800000</x:v>
      </x:c>
      <x:c r="F11" s="19" t="n">
        <x:v>-2300000</x:v>
      </x:c>
      <x:c r="G11" s="19" t="n">
        <x:v>-1700000</x:v>
      </x:c>
      <x:c r="H11" s="19" t="n">
        <x:v>-2600000</x:v>
      </x:c>
      <x:c r="I11" s="19" t="n">
        <x:v>-2200000</x:v>
      </x:c>
      <x:c r="J11" s="19" t="n">
        <x:v>-2400000</x:v>
      </x:c>
      <x:c r="K11" s="19" t="n">
        <x:v>-2700000</x:v>
      </x:c>
      <x:c r="L11" s="19" t="n">
        <x:v>-2500000</x:v>
      </x:c>
      <x:c r="M11" s="19" t="n">
        <x:v>-3100000</x:v>
      </x:c>
      <x:c r="N11" s="20" t="n">
        <x:f>SUM(B11:M11)</x:f>
        <x:v>-26700000</x:v>
      </x:c>
    </x:row>
    <x:row r="12">
      <x:c r="A12" t="str">
        <x:v>Net cash movement</x:v>
      </x:c>
      <x:c r="B12" s="21" t="n">
        <x:f>SUM(B8:B11)</x:f>
        <x:v>700000</x:v>
      </x:c>
      <x:c r="C12" s="21" t="n">
        <x:f>SUM(C8:C11)</x:f>
        <x:v>1300000</x:v>
      </x:c>
      <x:c r="D12" s="21" t="n">
        <x:f>SUM(D8:D11)</x:f>
        <x:v>1500000</x:v>
      </x:c>
      <x:c r="E12" s="21" t="n">
        <x:f>SUM(E8:E11)</x:f>
        <x:v>1800000</x:v>
      </x:c>
      <x:c r="F12" s="21" t="n">
        <x:f>SUM(F8:F11)</x:f>
        <x:v>1500000</x:v>
      </x:c>
      <x:c r="G12" s="21" t="n">
        <x:f>SUM(G8:G11)</x:f>
        <x:v>2000000</x:v>
      </x:c>
      <x:c r="H12" s="21" t="n">
        <x:f>SUM(H8:H11)</x:f>
        <x:v>1400000</x:v>
      </x:c>
      <x:c r="I12" s="21" t="n">
        <x:f>SUM(I8:I11)</x:f>
        <x:v>2300000</x:v>
      </x:c>
      <x:c r="J12" s="21" t="n">
        <x:f>SUM(J8:J11)</x:f>
        <x:v>1400000</x:v>
      </x:c>
      <x:c r="K12" s="21" t="n">
        <x:f>SUM(K8:K11)</x:f>
        <x:v>1700000</x:v>
      </x:c>
      <x:c r="L12" s="21" t="n">
        <x:f>SUM(L8:L11)</x:f>
        <x:v>2100000</x:v>
      </x:c>
      <x:c r="M12" s="21" t="n">
        <x:f>SUM(M8:M11)</x:f>
        <x:v>2200000</x:v>
      </x:c>
      <x:c r="N12" s="21" t="n">
        <x:f>SUM(B12:M12)</x:f>
        <x:v>19900000</x:v>
      </x:c>
    </x:row>
    <x:row r="13">
      <x:c r="A13" s="26" t="str">
        <x:v>Ending cash</x:v>
      </x:c>
      <x:c r="B13" s="27" t="n">
        <x:f>B7+B12</x:f>
        <x:v>97500000</x:v>
      </x:c>
      <x:c r="C13" s="27" t="n">
        <x:f>C7+C12</x:f>
        <x:v>98800000</x:v>
      </x:c>
      <x:c r="D13" s="27" t="n">
        <x:f>D7+D12</x:f>
        <x:v>100300000</x:v>
      </x:c>
      <x:c r="E13" s="27" t="n">
        <x:f>E7+E12</x:f>
        <x:v>102100000</x:v>
      </x:c>
      <x:c r="F13" s="27" t="n">
        <x:f>F7+F12</x:f>
        <x:v>103600000</x:v>
      </x:c>
      <x:c r="G13" s="27" t="n">
        <x:f>G7+G12</x:f>
        <x:v>105600000</x:v>
      </x:c>
      <x:c r="H13" s="27" t="n">
        <x:f>H7+H12</x:f>
        <x:v>107000000</x:v>
      </x:c>
      <x:c r="I13" s="27" t="n">
        <x:f>I7+I12</x:f>
        <x:v>109300000</x:v>
      </x:c>
      <x:c r="J13" s="27" t="n">
        <x:f>J7+J12</x:f>
        <x:v>110700000</x:v>
      </x:c>
      <x:c r="K13" s="27" t="n">
        <x:f>K7+K12</x:f>
        <x:v>112400000</x:v>
      </x:c>
      <x:c r="L13" s="27" t="n">
        <x:f>L7+L12</x:f>
        <x:v>114500000</x:v>
      </x:c>
      <x:c r="M13" s="27" t="n">
        <x:f>M7+M12</x:f>
        <x:v>116700000</x:v>
      </x:c>
      <x:c r="N13" s="27" t="n">
        <x:f>M13</x:f>
        <x:v>116700000</x:v>
      </x:c>
    </x:row>
    <x:row r="14">
      <x:c r="A14" t="str">
        <x:v>Control: opening-to-ending tie</x:v>
      </x:c>
      <x:c r="B14" s="24" t="n">
        <x:f>IF(ABS(B13-B7-B12)&lt;1,0,1)</x:f>
        <x:v>0</x:v>
      </x:c>
      <x:c r="C14" s="24" t="n">
        <x:f>IF(ABS(C13-C7-C12)&lt;1,0,1)</x:f>
        <x:v>0</x:v>
      </x:c>
      <x:c r="D14" s="24" t="n">
        <x:f>IF(ABS(D13-D7-D12)&lt;1,0,1)</x:f>
        <x:v>0</x:v>
      </x:c>
      <x:c r="E14" s="24" t="n">
        <x:f>IF(ABS(E13-E7-E12)&lt;1,0,1)</x:f>
        <x:v>0</x:v>
      </x:c>
      <x:c r="F14" s="24" t="n">
        <x:f>IF(ABS(F13-F7-F12)&lt;1,0,1)</x:f>
        <x:v>0</x:v>
      </x:c>
      <x:c r="G14" s="24" t="n">
        <x:f>IF(ABS(G13-G7-G12)&lt;1,0,1)</x:f>
        <x:v>0</x:v>
      </x:c>
      <x:c r="H14" s="24" t="n">
        <x:f>IF(ABS(H13-H7-H12)&lt;1,0,1)</x:f>
        <x:v>0</x:v>
      </x:c>
      <x:c r="I14" s="24" t="n">
        <x:f>IF(ABS(I13-I7-I12)&lt;1,0,1)</x:f>
        <x:v>0</x:v>
      </x:c>
      <x:c r="J14" s="24" t="n">
        <x:f>IF(ABS(J13-J7-J12)&lt;1,0,1)</x:f>
        <x:v>0</x:v>
      </x:c>
      <x:c r="K14" s="24" t="n">
        <x:f>IF(ABS(K13-K7-K12)&lt;1,0,1)</x:f>
        <x:v>0</x:v>
      </x:c>
      <x:c r="L14" s="24" t="n">
        <x:f>IF(ABS(L13-L7-L12)&lt;1,0,1)</x:f>
        <x:v>0</x:v>
      </x:c>
      <x:c r="M14" s="24" t="n">
        <x:f>IF(ABS(M13-M7-M12)&lt;1,0,1)</x:f>
        <x:v>0</x:v>
      </x:c>
      <x:c r="N14" s="24" t="n">
        <x:f>SUM(B14:M14)</x:f>
        <x:v>0</x:v>
      </x:c>
    </x:row>
  </x:sheetData>
  <x:mergeCells>
    <x:mergeCell ref="A1:N1"/>
    <x:mergeCell ref="A3:N3"/>
    <x:mergeCell ref="A6:N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82" hidden="0" customWidth="1"/>
  </x:cols>
  <x:sheetData>
    <x:row r="1" ht="28" customHeight="1">
      <x:c r="A1" s="4" t="str">
        <x:v>FY2026 Opening Balance Handoff</x:v>
      </x:c>
      <x:c r="B1" s="4"/>
      <x:c r="C1" s="4"/>
      <x:c r="D1" s="4"/>
      <x:c r="E1" s="4"/>
      <x:c r="F1" s="4"/>
    </x:row>
    <x:row r="3">
      <x:c r="A3" s="8" t="str">
        <x:v>Handoff status</x:v>
      </x:c>
      <x:c r="B3" s="9" t="str">
        <x:v>Closed FY2025 archive to FY2026 opening balance</x:v>
      </x:c>
    </x:row>
    <x:row r="4">
      <x:c r="A4" s="8" t="str">
        <x:v>Source period</x:v>
      </x:c>
      <x:c r="B4" s="9" t="str">
        <x:v>FY2025 December ending cash</x:v>
      </x:c>
    </x:row>
    <x:row r="5">
      <x:c r="A5" s="8" t="str">
        <x:v>Opening balance (JPY)</x:v>
      </x:c>
      <x:c r="B5" s="29" t="n">
        <x:f>'Rollforward'!M13</x:f>
        <x:v>116700000</x:v>
      </x:c>
    </x:row>
    <x:row r="6">
      <x:c r="A6" s="8" t="str">
        <x:v>Successor-period context</x:v>
      </x:c>
      <x:c r="B6" s="9" t="str">
        <x:v>FY2026 Q1 close includes a JPY 12,400,000 cash variance for review context</x:v>
      </x:c>
    </x:row>
    <x:row r="7">
      <x:c r="A7" s="8" t="str">
        <x:v>Instruction</x:v>
      </x:c>
      <x:c r="B7" s="9" t="str">
        <x:v>Use the opening balance as the starting point; investigate successor-period variance separately</x:v>
      </x:c>
    </x:row>
    <x:row r="8">
      <x:c r="A8" s="8" t="str">
        <x:v>Limitation</x:v>
      </x:c>
      <x:c r="B8" s="9" t="str">
        <x:v>Synthetic internal archive only; not an external confirmation or statutory record</x:v>
      </x:c>
    </x:row>
    <x:row r="9">
      <x:c r="A9" s="8" t="str">
        <x:v>Control status</x:v>
      </x:c>
      <x:c r="B9" s="31" t="str">
        <x:f>IF(ABS(B5-'Rollforward'!M13)&lt;1,"PASS","FAIL")</x:f>
        <x:v>PASS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62" hidden="0" customWidth="1"/>
  </x:cols>
  <x:sheetData>
    <x:row r="1" ht="28" customHeight="1">
      <x:c r="A1" s="4" t="str">
        <x:v>Model Checks | FY2025 Archive</x:v>
      </x:c>
      <x:c r="B1" s="4"/>
      <x:c r="C1" s="4"/>
      <x:c r="D1" s="4"/>
      <x:c r="E1" s="4"/>
      <x:c r="F1" s="4"/>
    </x:row>
    <x:row r="3">
      <x:c r="A3" s="8" t="str">
        <x:v>Check</x:v>
      </x:c>
      <x:c r="B3" s="8" t="str">
        <x:v>Actual</x:v>
      </x:c>
      <x:c r="C3" s="8" t="str">
        <x:v>Expected</x:v>
      </x:c>
      <x:c r="D3" s="8" t="str">
        <x:v>Difference</x:v>
      </x:c>
      <x:c r="E3" s="8" t="str">
        <x:v>Status</x:v>
      </x:c>
      <x:c r="F3" s="8" t="str">
        <x:v>Where to fix / note</x:v>
      </x:c>
    </x:row>
    <x:row r="4">
      <x:c r="A4" t="str">
        <x:v>Monthly cash rollforward</x:v>
      </x:c>
      <x:c r="B4" s="20" t="n">
        <x:f>SUM('Rollforward'!B14:M14)</x:f>
        <x:v>0</x:v>
      </x:c>
      <x:c r="C4" s="20" t="n">
        <x:v>0</x:v>
      </x:c>
      <x:c r="D4" s="20" t="n">
        <x:f>B4-C4</x:f>
        <x:v>0</x:v>
      </x:c>
      <x:c r="E4" s="34" t="str">
        <x:f>IF(D4=0,"PASS","FAIL")</x:f>
        <x:v>PASS</x:v>
      </x:c>
      <x:c r="F4" t="str">
        <x:v>Review Rollforward monthly formulas if non-zero</x:v>
      </x:c>
    </x:row>
    <x:row r="5">
      <x:c r="A5" t="str">
        <x:v>Year-end handoff</x:v>
      </x:c>
      <x:c r="B5" s="20" t="n">
        <x:f>'FY2026 Handoff'!B5</x:f>
        <x:v>116700000</x:v>
      </x:c>
      <x:c r="C5" s="20" t="n">
        <x:f>'Rollforward'!M13</x:f>
        <x:v>116700000</x:v>
      </x:c>
      <x:c r="D5" s="20" t="n">
        <x:f>B5-C5</x:f>
        <x:v>0</x:v>
      </x:c>
      <x:c r="E5" s="34" t="str">
        <x:f>IF(D5=0,"PASS","FAIL")</x:f>
        <x:v>PASS</x:v>
      </x:c>
      <x:c r="F5" t="str">
        <x:v>Handoff must equal FY2025 December ending cash</x:v>
      </x:c>
    </x:row>
    <x:row r="6">
      <x:c r="A6" t="str">
        <x:v>All monthly control flags</x:v>
      </x:c>
      <x:c r="B6" s="20" t="n">
        <x:f>SUM('Rollforward'!B14:M14)</x:f>
        <x:v>0</x:v>
      </x:c>
      <x:c r="C6" s="20" t="n">
        <x:v>0</x:v>
      </x:c>
      <x:c r="D6" s="20" t="n">
        <x:f>B6-C6</x:f>
        <x:v>0</x:v>
      </x:c>
      <x:c r="E6" s="34" t="str">
        <x:f>IF(D6=0,"PASS","FAIL")</x:f>
        <x:v>PASS</x:v>
      </x:c>
      <x:c r="F6" t="str">
        <x:v>Zero means each monthly opening-to-ending tie passed</x:v>
      </x:c>
    </x:row>
    <x:row r="7">
      <x:c r="A7" t="str">
        <x:v>Model status</x:v>
      </x:c>
      <x:c r="B7" s="20" t="n">
        <x:f>COUNTIF(E4:E6,"FAIL")</x:f>
        <x:v>0</x:v>
      </x:c>
      <x:c r="C7" s="20" t="n">
        <x:v>0</x:v>
      </x:c>
      <x:c r="D7" s="20" t="n">
        <x:f>B7-C7</x:f>
        <x:v>0</x:v>
      </x:c>
      <x:c r="E7" s="34" t="str">
        <x:f>IF(B7=0,"PASS","FAIL")</x:f>
        <x:v>PASS</x:v>
      </x:c>
      <x:c r="F7" t="str">
        <x:v>PASS means all listed archive controls pass</x:v>
      </x:c>
    </x:row>
  </x:sheetData>
  <x:mergeCells>
    <x:mergeCell ref="A1:F1"/>
  </x:mergeCells>
  <x:pageMargins left="0.7" right="0.7" top="0.75" bottom="0.75" header="0.3" footer="0.3"/>
</x:worksheet>
</file>