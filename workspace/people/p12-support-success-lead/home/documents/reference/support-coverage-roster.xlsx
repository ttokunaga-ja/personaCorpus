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ccf58a1db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1b009c6a2fb04522"/>
    <x:sheet xmlns:r="http://schemas.openxmlformats.org/officeDocument/2006/relationships" name="Escalation Paths" sheetId="2" r:id="Rc437484c66ea4d51"/>
    <x:sheet xmlns:r="http://schemas.openxmlformats.org/officeDocument/2006/relationships" name="On-call Handoffs" sheetId="3" r:id="R61abe3f4b2ec4111"/>
    <x:sheet xmlns:r="http://schemas.openxmlformats.org/officeDocument/2006/relationships" name="Reference Notes" sheetId="4" r:id="R646bacd84c3f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324A"/>
      <x:name val="Carlito"/>
    </x:font>
    <x:font>
      <x:b/>
      <x:sz val="11"/>
      <x:color rgb="FFFFFFFF"/>
      <x:name val="Carlito"/>
    </x:font>
    <x:font>
      <x:sz val="11"/>
      <x:color rgb="FF00897B"/>
      <x:name val="Carlito"/>
    </x:font>
    <x:font>
      <x:b/>
      <x:sz val="11"/>
      <x:color rgb="FF815700"/>
      <x:name val="Carlito"/>
    </x:font>
    <x:font>
      <x:sz val="11"/>
      <x:color rgb="FFA61B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324A"/>
      </x:patternFill>
    </x:fill>
    <x:fill>
      <x:patternFill patternType="solid">
        <x:fgColor rgb="FFEAF3F8"/>
      </x:patternFill>
    </x:fill>
    <x:fill>
      <x:patternFill patternType="solid">
        <x:fgColor rgb="FF1769AA"/>
      </x:patternFill>
    </x:fill>
    <x:fill>
      <x:patternFill patternType="solid">
        <x:fgColor rgb="FFFFF4D6"/>
      </x:patternFill>
    </x:fill>
    <x:fill>
      <x:patternFill patternType="solid">
        <x:fgColor rgb="FFFDECEA"/>
      </x:patternFill>
    </x:fill>
  </x:fills>
  <x:borders count="15">
    <x:border/>
    <x:border>
      <x:left style="thin">
        <x:color rgb="FFC9D6DE"/>
      </x:left>
      <x:top style="thin">
        <x:color rgb="FFC9D6DE"/>
      </x:top>
    </x:border>
    <x:border>
      <x:top style="thin">
        <x:color rgb="FFC9D6DE"/>
      </x:top>
    </x:border>
    <x:border>
      <x:right style="thin">
        <x:color rgb="FFC9D6DE"/>
      </x:right>
      <x:top style="thin">
        <x:color rgb="FFC9D6DE"/>
      </x:top>
    </x:border>
    <x:border>
      <x:left style="thin">
        <x:color rgb="FFC9D6DE"/>
      </x:left>
    </x:border>
    <x:border>
      <x:right style="thin">
        <x:color rgb="FFC9D6DE"/>
      </x:right>
    </x:border>
    <x:border>
      <x:left style="thin">
        <x:color rgb="FFC9D6DE"/>
      </x:left>
      <x:bottom style="thin">
        <x:color rgb="FFC9D6DE"/>
      </x:bottom>
    </x:border>
    <x:border>
      <x:bottom style="thin">
        <x:color rgb="FFC9D6DE"/>
      </x:bottom>
    </x:border>
    <x:border>
      <x:right style="thin">
        <x:color rgb="FFC9D6DE"/>
      </x:right>
      <x:bottom style="thin">
        <x:color rgb="FFC9D6DE"/>
      </x:bottom>
    </x:border>
    <x:border>
      <x:left style="thin">
        <x:color rgb="FFC9D6DE"/>
      </x:left>
      <x:top style="thin">
        <x:color rgb="FFC9D6DE"/>
      </x:top>
      <x:bottom style="thin">
        <x:color rgb="FFC9D6DE"/>
      </x:bottom>
    </x:border>
    <x:border>
      <x:top style="thin">
        <x:color rgb="FFC9D6DE"/>
      </x:top>
      <x:bottom style="thin">
        <x:color rgb="FFC9D6DE"/>
      </x:bottom>
    </x:border>
    <x:border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thin">
        <x:color rgb="FFC9D6DE"/>
      </x:left>
      <x:right style="thin">
        <x:color rgb="FFC9D6DE"/>
      </x:right>
      <x:bottom style="thin">
        <x:color rgb="FFC9D6DE"/>
      </x:bottom>
    </x:border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thin">
        <x:color rgb="FFC9D6DE"/>
      </x:left>
      <x:right style="thin">
        <x:color rgb="FFC9D6DE"/>
      </x:right>
      <x:top style="thin">
        <x:color rgb="FFC9D6DE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9" xfId="0" applyNumberFormat="1" applyFont="1" applyFill="1" applyBorder="1"/>
    <x:xf numFmtId="0" fontId="0" fillId="0" borderId="14" xfId="0" applyNumberFormat="1" applyFont="1" applyFill="1" applyBorder="1"/>
    <x:xf numFmtId="0" fontId="0" fillId="0" borderId="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0" fillId="0" borderId="12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14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56029"/>
      </x:font>
      <x:fill>
        <x:patternFill patternType="solid">
          <x:bgColor rgb="FFE8F5E9"/>
        </x:patternFill>
      </x:fill>
    </x:dxf>
    <x:dxf>
      <x:font>
        <x:b/>
        <x:color rgb="FFA61B1B"/>
      </x:font>
      <x:fill>
        <x:patternFill patternType="solid">
          <x:bgColor rgb="FFFDECEA"/>
        </x:patternFill>
      </x:fill>
    </x:dxf>
    <x:dxf>
      <x:font>
        <x:b/>
        <x:color rgb="FFA61B1B"/>
      </x:font>
      <x:fill>
        <x:patternFill patternType="solid">
          <x:bgColor rgb="FFFDECEA"/>
        </x:patternFill>
      </x:fill>
    </x:dxf>
    <x:dxf>
      <x:font>
        <x:b/>
        <x:color rgb="FF256029"/>
      </x:font>
      <x:fill>
        <x:patternFill patternType="solid">
          <x:bgColor rgb="FFE8F5E9"/>
        </x:patternFill>
      </x:fill>
    </x:dxf>
    <x:dxf>
      <x:font>
        <x:b/>
        <x:color rgb="FFA61B1B"/>
      </x:font>
      <x:fill>
        <x:patternFill patternType="solid">
          <x:bgColor rgb="FFFDECEA"/>
        </x:patternFill>
      </x:fill>
    </x:dxf>
    <x:dxf>
      <x:font>
        <x:b/>
        <x:color rgb="FFA61B1B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82b1183934623" /><Relationship Type="http://schemas.openxmlformats.org/officeDocument/2006/relationships/theme" Target="/xl/theme/theme1.xml" Id="R74470cc31069420e" /><Relationship Type="http://schemas.openxmlformats.org/officeDocument/2006/relationships/sharedStrings" Target="/xl/sharedStrings.xml" Id="R663b3f586d2e4ba8" /><Relationship Type="http://schemas.openxmlformats.org/officeDocument/2006/relationships/worksheet" Target="/xl/worksheets/sheet1.xml" Id="R1b009c6a2fb04522" /><Relationship Type="http://schemas.openxmlformats.org/officeDocument/2006/relationships/worksheet" Target="/xl/worksheets/sheet2.xml" Id="Rc437484c66ea4d51" /><Relationship Type="http://schemas.openxmlformats.org/officeDocument/2006/relationships/worksheet" Target="/xl/worksheets/sheet3.xml" Id="R61abe3f4b2ec4111" /><Relationship Type="http://schemas.openxmlformats.org/officeDocument/2006/relationships/worksheet" Target="/xl/worksheets/sheet4.xml" Id="R646bacd84c3f4c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31" hidden="0" customWidth="1"/>
    <x:col min="5" max="5" width="31" hidden="0" customWidth="1"/>
    <x:col min="6" max="6" width="25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</x:cols>
  <x:sheetData>
    <x:row r="1" ht="30" customHeight="1">
      <x:c r="A1" s="4" t="str">
        <x:v>HELIODESK SUPPORT — COVERAGE ROSTER</x:v>
      </x:c>
      <x:c r="B1" s="4" t="str">
        <x:v>HELIODESK SUPPORT — COVERAGE ROSTER</x:v>
      </x:c>
      <x:c r="C1" s="4" t="str">
        <x:v>HELIODESK SUPPORT — COVERAGE ROSTER</x:v>
      </x:c>
      <x:c r="D1" s="4" t="str">
        <x:v>HELIODESK SUPPORT — COVERAGE ROSTER</x:v>
      </x:c>
      <x:c r="E1" s="4" t="str">
        <x:v>HELIODESK SUPPORT — COVERAGE ROSTER</x:v>
      </x:c>
      <x:c r="F1" s="4" t="str">
        <x:v>HELIODESK SUPPORT — COVERAGE ROSTER</x:v>
      </x:c>
      <x:c r="G1" s="4" t="str">
        <x:v>HELIODESK SUPPORT — COVERAGE ROSTER</x:v>
      </x:c>
      <x:c r="H1" s="4" t="str">
        <x:v>HELIODESK SUPPORT — COVERAGE ROSTER</x:v>
      </x:c>
      <x:c r="I1" s="4" t="str">
        <x:v>HELIODESK SUPPORT — COVERAGE ROSTER</x:v>
      </x:c>
      <x:c r="J1" s="4" t="str">
        <x:v>HELIODESK SUPPORT — COVERAGE ROSTER</x:v>
      </x:c>
    </x:row>
    <x:row r="3">
      <x:c r="A3" s="7" t="str">
        <x:v>Snapshot</x:v>
      </x:c>
      <x:c r="B3" s="8" t="str">
        <x:v>2026-08-04 (synthetic)</x:v>
      </x:c>
      <x:c r="C3" s="9" t="str">
        <x:v>Acknowledgement SLA</x:v>
      </x:c>
      <x:c r="D3" s="10" t="str">
        <x:v>4 elapsed hours</x:v>
      </x:c>
    </x:row>
    <x:row r="4">
      <x:c r="A4" s="11" t="str">
        <x:v>Worked example</x:v>
      </x:c>
      <x:c r="B4" s="12" t="str">
        <x:v>17 unresolved cases</x:v>
      </x:c>
      <x:c r="C4" s="6" t="str">
        <x:v>Sev mix</x:v>
      </x:c>
      <x:c r="D4" s="13" t="str">
        <x:v>1 / 4 / 8 / 4 (Sev 1–4)</x:v>
      </x:c>
    </x:row>
    <x:row r="5">
      <x:c r="A5" s="11" t="str">
        <x:v>Scope</x:v>
      </x:c>
      <x:c r="B5" s="12" t="str">
        <x:v>Role-based coverage only</x:v>
      </x:c>
      <x:c r="C5" s="6" t="str">
        <x:v>Names / contacts</x:v>
      </x:c>
      <x:c r="D5" s="13" t="str">
        <x:v>Synthetic .invalid only</x:v>
      </x:c>
    </x:row>
    <x:row r="6">
      <x:c r="A6" s="14" t="str">
        <x:v>Operating note</x:v>
      </x:c>
      <x:c r="B6" s="15" t="str">
        <x:v>17 is training data only</x:v>
      </x:c>
      <x:c r="C6" s="16" t="str">
        <x:v>Coverage rule</x:v>
      </x:c>
      <x:c r="D6" s="17" t="str">
        <x:v>Primary + Backup must be assigned</x:v>
      </x:c>
    </x:row>
    <x:row r="8" ht="22" customHeight="1">
      <x:c r="A8" s="18" t="str">
        <x:v>Coverage windows — edit Primary / Backup role assignments to test formula checks</x:v>
      </x:c>
      <x:c r="B8" s="18" t="str">
        <x:v>Coverage windows — edit Primary / Backup role assignments to test formula checks</x:v>
      </x:c>
      <x:c r="C8" s="18" t="str">
        <x:v>Coverage windows — edit Primary / Backup role assignments to test formula checks</x:v>
      </x:c>
      <x:c r="D8" s="18" t="str">
        <x:v>Coverage windows — edit Primary / Backup role assignments to test formula checks</x:v>
      </x:c>
      <x:c r="E8" s="18" t="str">
        <x:v>Coverage windows — edit Primary / Backup role assignments to test formula checks</x:v>
      </x:c>
      <x:c r="F8" s="18" t="str">
        <x:v>Coverage windows — edit Primary / Backup role assignments to test formula checks</x:v>
      </x:c>
      <x:c r="G8" s="18" t="str">
        <x:v>Coverage windows — edit Primary / Backup role assignments to test formula checks</x:v>
      </x:c>
      <x:c r="H8" s="18" t="str">
        <x:v>Coverage windows — edit Primary / Backup role assignments to test formula checks</x:v>
      </x:c>
      <x:c r="I8" s="18" t="str">
        <x:v>Coverage windows — edit Primary / Backup role assignments to test formula checks</x:v>
      </x:c>
      <x:c r="J8" s="18" t="str">
        <x:v>Coverage windows — edit Primary / Backup role assignments to test formula checks</x:v>
      </x:c>
    </x:row>
    <x:row r="9" ht="28" customHeight="1">
      <x:c r="A9" s="30" t="str">
        <x:v>Window (UTC)</x:v>
      </x:c>
      <x:c r="B9" s="31" t="str">
        <x:v>Primary Role</x:v>
      </x:c>
      <x:c r="C9" s="31" t="str">
        <x:v>Backup Role</x:v>
      </x:c>
      <x:c r="D9" s="31" t="str">
        <x:v>Primary Contact</x:v>
      </x:c>
      <x:c r="E9" s="31" t="str">
        <x:v>Backup Contact</x:v>
      </x:c>
      <x:c r="F9" s="31" t="str">
        <x:v>Queue Focus</x:v>
      </x:c>
      <x:c r="G9" s="31" t="str">
        <x:v>Sev 1 Ready</x:v>
      </x:c>
      <x:c r="H9" s="31" t="str">
        <x:v>Primary Set?</x:v>
      </x:c>
      <x:c r="I9" s="31" t="str">
        <x:v>Backup Set?</x:v>
      </x:c>
      <x:c r="J9" s="32" t="str">
        <x:v>Coverage Check</x:v>
      </x:c>
    </x:row>
    <x:row r="10">
      <x:c r="A10" s="17" t="str">
        <x:v>00:00–06:00</x:v>
      </x:c>
      <x:c r="B10" s="33" t="str">
        <x:v>Support Duty Lead</x:v>
      </x:c>
      <x:c r="C10" s="33" t="str">
        <x:v>Technical Escalation Lead</x:v>
      </x:c>
      <x:c r="D10" s="40" t="str">
        <x:v>duty-lead@heliodesk.invalid</x:v>
      </x:c>
      <x:c r="E10" s="40" t="str">
        <x:v>tech-escalation@heliodesk.invalid</x:v>
      </x:c>
      <x:c r="F10" s="33" t="str">
        <x:v>Intake + triage</x:v>
      </x:c>
      <x:c r="G10" s="33" t="str">
        <x:v>Yes</x:v>
      </x:c>
      <x:c r="H10" s="43" t="str">
        <x:f>IF(B10&lt;&gt;"","Yes","No")</x:f>
        <x:v>Yes</x:v>
      </x:c>
      <x:c r="I10" s="43" t="str">
        <x:f>IF(C10&lt;&gt;"","Yes","No")</x:f>
        <x:v>Yes</x:v>
      </x:c>
      <x:c r="J10" s="44" t="str">
        <x:f>IF(AND(H10="Yes",I10="Yes",G10="Yes"),"COVERED","GAP")</x:f>
        <x:v>COVERED</x:v>
      </x:c>
    </x:row>
    <x:row r="11">
      <x:c r="A11" s="35" t="str">
        <x:v>06:00–12:00</x:v>
      </x:c>
      <x:c r="B11" s="36" t="str">
        <x:v>Support Duty Lead</x:v>
      </x:c>
      <x:c r="C11" s="36" t="str">
        <x:v>Product Support Specialist</x:v>
      </x:c>
      <x:c r="D11" s="41" t="str">
        <x:v>duty-lead@heliodesk.invalid</x:v>
      </x:c>
      <x:c r="E11" s="41" t="str">
        <x:v>product-support@heliodesk.invalid</x:v>
      </x:c>
      <x:c r="F11" s="36" t="str">
        <x:v>Intake + repro</x:v>
      </x:c>
      <x:c r="G11" s="36" t="str">
        <x:v>Yes</x:v>
      </x:c>
      <x:c r="H11" s="45" t="str">
        <x:f>IF(B11&lt;&gt;"","Yes","No")</x:f>
        <x:v>Yes</x:v>
      </x:c>
      <x:c r="I11" s="45" t="str">
        <x:f>IF(C11&lt;&gt;"","Yes","No")</x:f>
        <x:v>Yes</x:v>
      </x:c>
      <x:c r="J11" s="46" t="str">
        <x:f>IF(AND(H11="Yes",I11="Yes",G11="Yes"),"COVERED","GAP")</x:f>
        <x:v>COVERED</x:v>
      </x:c>
    </x:row>
    <x:row r="12">
      <x:c r="A12" s="35" t="str">
        <x:v>12:00–18:00</x:v>
      </x:c>
      <x:c r="B12" s="36" t="str">
        <x:v>Technical Escalation Lead</x:v>
      </x:c>
      <x:c r="C12" s="36" t="str">
        <x:v>Support Duty Lead</x:v>
      </x:c>
      <x:c r="D12" s="41" t="str">
        <x:v>tech-escalation@heliodesk.invalid</x:v>
      </x:c>
      <x:c r="E12" s="41" t="str">
        <x:v>duty-lead@heliodesk.invalid</x:v>
      </x:c>
      <x:c r="F12" s="36" t="str">
        <x:v>Escalations + triage</x:v>
      </x:c>
      <x:c r="G12" s="36" t="str">
        <x:v>Yes</x:v>
      </x:c>
      <x:c r="H12" s="45" t="str">
        <x:f>IF(B12&lt;&gt;"","Yes","No")</x:f>
        <x:v>Yes</x:v>
      </x:c>
      <x:c r="I12" s="45" t="str">
        <x:f>IF(C12&lt;&gt;"","Yes","No")</x:f>
        <x:v>Yes</x:v>
      </x:c>
      <x:c r="J12" s="46" t="str">
        <x:f>IF(AND(H12="Yes",I12="Yes",G12="Yes"),"COVERED","GAP")</x:f>
        <x:v>COVERED</x:v>
      </x:c>
    </x:row>
    <x:row r="13">
      <x:c r="A13" s="35" t="str">
        <x:v>18:00–24:00</x:v>
      </x:c>
      <x:c r="B13" s="36" t="str">
        <x:v>Support Duty Lead</x:v>
      </x:c>
      <x:c r="C13" s="36" t="str">
        <x:v>Incident Commander</x:v>
      </x:c>
      <x:c r="D13" s="41" t="str">
        <x:v>duty-lead@heliodesk.invalid</x:v>
      </x:c>
      <x:c r="E13" s="41" t="str">
        <x:v>incident-commander@heliodesk.invalid</x:v>
      </x:c>
      <x:c r="F13" s="36" t="str">
        <x:v>Intake + incident bridge</x:v>
      </x:c>
      <x:c r="G13" s="36" t="str">
        <x:v>Yes</x:v>
      </x:c>
      <x:c r="H13" s="45" t="str">
        <x:f>IF(B13&lt;&gt;"","Yes","No")</x:f>
        <x:v>Yes</x:v>
      </x:c>
      <x:c r="I13" s="45" t="str">
        <x:f>IF(C13&lt;&gt;"","Yes","No")</x:f>
        <x:v>Yes</x:v>
      </x:c>
      <x:c r="J13" s="46" t="str">
        <x:f>IF(AND(H13="Yes",I13="Yes",G13="Yes"),"COVERED","GAP")</x:f>
        <x:v>COVERED</x:v>
      </x:c>
    </x:row>
    <x:row r="14">
      <x:c r="A14" s="35" t="str">
        <x:v>Sev 1 bridge</x:v>
      </x:c>
      <x:c r="B14" s="36" t="str">
        <x:v>Incident Commander</x:v>
      </x:c>
      <x:c r="C14" s="36" t="str">
        <x:v>Security Liaison</x:v>
      </x:c>
      <x:c r="D14" s="41" t="str">
        <x:v>incident-commander@heliodesk.invalid</x:v>
      </x:c>
      <x:c r="E14" s="41" t="str">
        <x:v>security-liaison@heliodesk.invalid</x:v>
      </x:c>
      <x:c r="F14" s="36" t="str">
        <x:v>Major incident coordination</x:v>
      </x:c>
      <x:c r="G14" s="36" t="str">
        <x:v>Yes</x:v>
      </x:c>
      <x:c r="H14" s="45" t="str">
        <x:f>IF(B14&lt;&gt;"","Yes","No")</x:f>
        <x:v>Yes</x:v>
      </x:c>
      <x:c r="I14" s="45" t="str">
        <x:f>IF(C14&lt;&gt;"","Yes","No")</x:f>
        <x:v>Yes</x:v>
      </x:c>
      <x:c r="J14" s="46" t="str">
        <x:f>IF(AND(H14="Yes",I14="Yes",G14="Yes"),"COVERED","GAP")</x:f>
        <x:v>COVERED</x:v>
      </x:c>
    </x:row>
    <x:row r="15">
      <x:c r="A15" s="10" t="str">
        <x:v>Security consult</x:v>
      </x:c>
      <x:c r="B15" s="38" t="str">
        <x:v>Security Liaison</x:v>
      </x:c>
      <x:c r="C15" s="38" t="str">
        <x:v>Incident Commander</x:v>
      </x:c>
      <x:c r="D15" s="42" t="str">
        <x:v>security-liaison@heliodesk.invalid</x:v>
      </x:c>
      <x:c r="E15" s="42" t="str">
        <x:v>incident-commander@heliodesk.invalid</x:v>
      </x:c>
      <x:c r="F15" s="38" t="str">
        <x:v>Sensitive exposure response</x:v>
      </x:c>
      <x:c r="G15" s="38" t="str">
        <x:v>Yes</x:v>
      </x:c>
      <x:c r="H15" s="47" t="str">
        <x:f>IF(B15&lt;&gt;"","Yes","No")</x:f>
        <x:v>Yes</x:v>
      </x:c>
      <x:c r="I15" s="47" t="str">
        <x:f>IF(C15&lt;&gt;"","Yes","No")</x:f>
        <x:v>Yes</x:v>
      </x:c>
      <x:c r="J15" s="48" t="str">
        <x:f>IF(AND(H15="Yes",I15="Yes",G15="Yes"),"COVERED","GAP")</x:f>
        <x:v>COVERED</x:v>
      </x:c>
    </x:row>
    <x:row r="17" ht="22" customHeight="1">
      <x:c r="A17" s="18" t="str">
        <x:v>Formula-driven roster summary</x:v>
      </x:c>
      <x:c r="B17" s="18" t="str">
        <x:v>Formula-driven roster summary</x:v>
      </x:c>
      <x:c r="C17" s="18" t="str">
        <x:v>Formula-driven roster summary</x:v>
      </x:c>
      <x:c r="D17" s="18" t="str">
        <x:v>Formula-driven roster summary</x:v>
      </x:c>
      <x:c r="E17" s="18" t="str">
        <x:v>Formula-driven roster summary</x:v>
      </x:c>
      <x:c r="F17" s="18" t="str">
        <x:v>Formula-driven roster summary</x:v>
      </x:c>
      <x:c r="G17" s="18" t="str">
        <x:v>Formula-driven roster summary</x:v>
      </x:c>
      <x:c r="H17" s="18" t="str">
        <x:v>Formula-driven roster summary</x:v>
      </x:c>
      <x:c r="I17" s="18" t="str">
        <x:v>Formula-driven roster summary</x:v>
      </x:c>
      <x:c r="J17" s="18" t="str">
        <x:v>Formula-driven roster summary</x:v>
      </x:c>
    </x:row>
    <x:row r="18" ht="28" customHeight="1">
      <x:c r="A18" s="30" t="str">
        <x:v>Check</x:v>
      </x:c>
      <x:c r="B18" s="31" t="str">
        <x:v>Result</x:v>
      </x:c>
      <x:c r="C18" s="31" t="str">
        <x:v>Expectation</x:v>
      </x:c>
      <x:c r="D18" s="32" t="str">
        <x:v>Interpretation</x:v>
      </x:c>
    </x:row>
    <x:row r="19">
      <x:c r="A19" s="39" t="str">
        <x:v>Windows covered</x:v>
      </x:c>
      <x:c r="B19" s="8" t="n">
        <x:f>COUNTIF(J10:J15,"COVERED")</x:f>
        <x:v>6</x:v>
      </x:c>
      <x:c r="C19" s="8" t="n">
        <x:v>6</x:v>
      </x:c>
      <x:c r="D19" s="10" t="str">
        <x:v>All six role windows need Primary, Backup, and Sev 1 readiness.</x:v>
      </x:c>
    </x:row>
    <x:row r="20">
      <x:c r="A20" s="49" t="str">
        <x:v>Coverage status</x:v>
      </x:c>
      <x:c r="B20" s="12" t="str">
        <x:f>IF(B19=C19,"COVERED","GAP")</x:f>
        <x:v>COVERED</x:v>
      </x:c>
      <x:c r="C20" s="12" t="str">
        <x:v>COVERED</x:v>
      </x:c>
      <x:c r="D20" s="13" t="str">
        <x:v>PASS only when every row is covered.</x:v>
      </x:c>
    </x:row>
    <x:row r="21">
      <x:c r="A21" s="34" t="str">
        <x:v>Acknowledgement target</x:v>
      </x:c>
      <x:c r="B21" s="15" t="str">
        <x:v>4 elapsed hours</x:v>
      </x:c>
      <x:c r="C21" s="15" t="str">
        <x:v>4 elapsed hours</x:v>
      </x:c>
      <x:c r="D21" s="17" t="str">
        <x:v>Measured from reported_at_utc, not severity assignment.</x:v>
      </x:c>
    </x:row>
  </x:sheetData>
  <x:mergeCells>
    <x:mergeCell ref="A1:J1"/>
    <x:mergeCell ref="A8:J8"/>
    <x:mergeCell ref="A17:J17"/>
  </x:mergeCells>
  <x:conditionalFormatting sqref="J10:J15">
    <x:cfRule type="containsText" dxfId="0" priority="1" operator="containsText" text="COVERED"/>
    <x:cfRule type="containsText" dxfId="1" priority="2" operator="containsText" text="GAP"/>
  </x:conditionalFormatting>
  <x:conditionalFormatting sqref="G10:G15">
    <x:cfRule type="containsText" dxfId="2" priority="3" operator="containsText" text="No"/>
  </x:conditionalFormatting>
  <x:conditionalFormatting sqref="B20:B20">
    <x:cfRule type="containsText" dxfId="3" priority="4" operator="containsText" text="COVERED"/>
    <x:cfRule type="containsText" dxfId="4" priority="5" operator="containsText" text="GA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4" hidden="0" customWidth="1"/>
    <x:col min="4" max="4" width="42" hidden="0" customWidth="1"/>
    <x:col min="5" max="5" width="38" hidden="0" customWidth="1"/>
    <x:col min="6" max="6" width="20" hidden="0" customWidth="1"/>
    <x:col min="7" max="7" width="38" hidden="0" customWidth="1"/>
    <x:col min="8" max="8" width="28" hidden="0" customWidth="1"/>
  </x:cols>
  <x:sheetData>
    <x:row r="1" ht="30" customHeight="1">
      <x:c r="A1" s="4" t="str">
        <x:v>HELIODESK SUPPORT — ESCALATION PATHS</x:v>
      </x:c>
      <x:c r="B1" s="4" t="str">
        <x:v>HELIODESK SUPPORT — ESCALATION PATHS</x:v>
      </x:c>
      <x:c r="C1" s="4" t="str">
        <x:v>HELIODESK SUPPORT — ESCALATION PATHS</x:v>
      </x:c>
      <x:c r="D1" s="4" t="str">
        <x:v>HELIODESK SUPPORT — ESCALATION PATHS</x:v>
      </x:c>
      <x:c r="E1" s="4" t="str">
        <x:v>HELIODESK SUPPORT — ESCALATION PATHS</x:v>
      </x:c>
      <x:c r="F1" s="4" t="str">
        <x:v>HELIODESK SUPPORT — ESCALATION PATHS</x:v>
      </x:c>
      <x:c r="G1" s="4" t="str">
        <x:v>HELIODESK SUPPORT — ESCALATION PATHS</x:v>
      </x:c>
      <x:c r="H1" s="4" t="str">
        <x:v>HELIODESK SUPPORT — ESCALATION PATHS</x:v>
      </x:c>
    </x:row>
    <x:row r="3" ht="28" customHeight="1">
      <x:c r="A3" s="30" t="str">
        <x:v>Severity</x:v>
      </x:c>
      <x:c r="B3" s="31" t="str">
        <x:v>Trigger</x:v>
      </x:c>
      <x:c r="C3" s="31" t="str">
        <x:v>Initial Owner</x:v>
      </x:c>
      <x:c r="D3" s="31" t="str">
        <x:v>Escalate To</x:v>
      </x:c>
      <x:c r="E3" s="31" t="str">
        <x:v>Acceptance Rule</x:v>
      </x:c>
      <x:c r="F3" s="31" t="str">
        <x:v>Update Cadence</x:v>
      </x:c>
      <x:c r="G3" s="31" t="str">
        <x:v>Evidence Rule</x:v>
      </x:c>
      <x:c r="H3" s="32" t="str">
        <x:v>Notes</x:v>
      </x:c>
    </x:row>
    <x:row r="4">
      <x:c r="A4" s="59" t="str">
        <x:v>Sev 1</x:v>
      </x:c>
      <x:c r="B4" s="60" t="str">
        <x:v>Widespread outage, data loss risk, or security-sensitive failure without safe workaround</x:v>
      </x:c>
      <x:c r="C4" s="60" t="str">
        <x:v>Support Duty Lead</x:v>
      </x:c>
      <x:c r="D4" s="60" t="str">
        <x:v>Incident Commander &gt; Technical Escalation Lead &gt; Security Liaison when relevant</x:v>
      </x:c>
      <x:c r="E4" s="60" t="str">
        <x:v>Incident Commander explicitly accepts; original owner stays accountable until then</x:v>
      </x:c>
      <x:c r="F4" s="60" t="str">
        <x:v>Every 30 minutes</x:v>
      </x:c>
      <x:c r="G4" s="60" t="str">
        <x:v>Redacted excerpts only; sensitive material via approved secure channel</x:v>
      </x:c>
      <x:c r="H4" s="61" t="str">
        <x:v>Page immediately</x:v>
      </x:c>
    </x:row>
    <x:row r="5">
      <x:c r="A5" s="69" t="str">
        <x:v>Sev 2</x:v>
      </x:c>
      <x:c r="B5" s="63" t="str">
        <x:v>Major workflow impairment; workaround absent, unsafe, or impractical</x:v>
      </x:c>
      <x:c r="C5" s="63" t="str">
        <x:v>Support Duty Lead</x:v>
      </x:c>
      <x:c r="D5" s="63" t="str">
        <x:v>Technical Escalation Lead</x:v>
      </x:c>
      <x:c r="E5" s="63" t="str">
        <x:v>Receiving role confirms next action and update time</x:v>
      </x:c>
      <x:c r="F5" s="63" t="str">
        <x:v>At least every 2 hours</x:v>
      </x:c>
      <x:c r="G5" s="63" t="str">
        <x:v>Redacted reproduction details only</x:v>
      </x:c>
      <x:c r="H5" s="64" t="str">
        <x:v>Escalate within 30 minutes of classification</x:v>
      </x:c>
    </x:row>
    <x:row r="6">
      <x:c r="A6" s="62" t="str">
        <x:v>Sev 3</x:v>
      </x:c>
      <x:c r="B6" s="63" t="str">
        <x:v>Limited feature impact or intermittent defect with reasonable workaround</x:v>
      </x:c>
      <x:c r="C6" s="63" t="str">
        <x:v>Support Duty Lead</x:v>
      </x:c>
      <x:c r="D6" s="63" t="str">
        <x:v>Product Support Specialist when reproduction/product triage needed</x:v>
      </x:c>
      <x:c r="E6" s="63" t="str">
        <x:v>Receiving role accepts evidence summary and next update</x:v>
      </x:c>
      <x:c r="F6" s="63" t="str">
        <x:v>At committed next update</x:v>
      </x:c>
      <x:c r="G6" s="63" t="str">
        <x:v>Redacted logs; no complete event archive</x:v>
      </x:c>
      <x:c r="H6" s="64" t="str">
        <x:v>Normal priority order</x:v>
      </x:c>
    </x:row>
    <x:row r="7">
      <x:c r="A7" s="62" t="str">
        <x:v>Sev 4</x:v>
      </x:c>
      <x:c r="B7" s="63" t="str">
        <x:v>How-to, documentation gap, cosmetic defect, or low-impact request</x:v>
      </x:c>
      <x:c r="C7" s="63" t="str">
        <x:v>Support Duty Lead</x:v>
      </x:c>
      <x:c r="D7" s="63" t="str">
        <x:v>Product Support Specialist if content correction is needed</x:v>
      </x:c>
      <x:c r="E7" s="63" t="str">
        <x:v>Case owner records next action</x:v>
      </x:c>
      <x:c r="F7" s="63" t="str">
        <x:v>At committed next update</x:v>
      </x:c>
      <x:c r="G7" s="63" t="str">
        <x:v>Collect minimum necessary evidence</x:v>
      </x:c>
      <x:c r="H7" s="64" t="str">
        <x:v>Standard queue order</x:v>
      </x:c>
    </x:row>
    <x:row r="8">
      <x:c r="A8" s="73" t="str">
        <x:v>Secret / PII exposure</x:v>
      </x:c>
      <x:c r="B8" s="74" t="str">
        <x:v>Credential, token, session, or personal data appears in evidence</x:v>
      </x:c>
      <x:c r="C8" s="74" t="str">
        <x:v>Support Duty Lead</x:v>
      </x:c>
      <x:c r="D8" s="74" t="str">
        <x:v>Security Liaison &gt; Incident Commander as impact requires</x:v>
      </x:c>
      <x:c r="E8" s="74" t="str">
        <x:v>Security Liaison confirms secure handling path</x:v>
      </x:c>
      <x:c r="F8" s="74" t="str">
        <x:v>Security-directed cadence</x:v>
      </x:c>
      <x:c r="G8" s="74" t="str">
        <x:v>Do not copy secret or PII into case</x:v>
      </x:c>
      <x:c r="H8" s="75" t="str">
        <x:v>Stop distribution; request rotation/revocation</x:v>
      </x:c>
    </x:row>
    <x:row r="10" ht="22" customHeight="1">
      <x:c r="A10" s="18" t="str">
        <x:v>Severity guardrail</x:v>
      </x:c>
      <x:c r="B10" s="18" t="str">
        <x:v>Severity guardrail</x:v>
      </x:c>
      <x:c r="C10" s="18" t="str">
        <x:v>Severity guardrail</x:v>
      </x:c>
      <x:c r="D10" s="18" t="str">
        <x:v>Severity guardrail</x:v>
      </x:c>
      <x:c r="E10" s="18" t="str">
        <x:v>Severity guardrail</x:v>
      </x:c>
      <x:c r="F10" s="18" t="str">
        <x:v>Severity guardrail</x:v>
      </x:c>
      <x:c r="G10" s="18" t="str">
        <x:v>Severity guardrail</x:v>
      </x:c>
      <x:c r="H10" s="18" t="str">
        <x:v>Severity guardrail</x:v>
      </x:c>
    </x:row>
    <x:row r="11">
      <x:c r="A11" s="78" t="str">
        <x:v>Severity reflects observable impact and urgency—not requester title, contract tier, emotional tone, or case age. Reclassify when evidence changes and record why.</x:v>
      </x:c>
      <x:c r="B11" s="79" t="str">
        <x:v>Severity reflects observable impact and urgency—not requester title, contract tier, emotional tone, or case age. Reclassify when evidence changes and record why.</x:v>
      </x:c>
      <x:c r="C11" s="79" t="str">
        <x:v>Severity reflects observable impact and urgency—not requester title, contract tier, emotional tone, or case age. Reclassify when evidence changes and record why.</x:v>
      </x:c>
      <x:c r="D11" s="79" t="str">
        <x:v>Severity reflects observable impact and urgency—not requester title, contract tier, emotional tone, or case age. Reclassify when evidence changes and record why.</x:v>
      </x:c>
      <x:c r="E11" s="79" t="str">
        <x:v>Severity reflects observable impact and urgency—not requester title, contract tier, emotional tone, or case age. Reclassify when evidence changes and record why.</x:v>
      </x:c>
      <x:c r="F11" s="79" t="str">
        <x:v>Severity reflects observable impact and urgency—not requester title, contract tier, emotional tone, or case age. Reclassify when evidence changes and record why.</x:v>
      </x:c>
      <x:c r="G11" s="79" t="str">
        <x:v>Severity reflects observable impact and urgency—not requester title, contract tier, emotional tone, or case age. Reclassify when evidence changes and record why.</x:v>
      </x:c>
      <x:c r="H11" s="80" t="str">
        <x:v>Severity reflects observable impact and urgency—not requester title, contract tier, emotional tone, or case age. Reclassify when evidence changes and record why.</x:v>
      </x:c>
    </x:row>
    <x:row r="12">
      <x:c r="A12" s="81" t="str">
        <x:v>Severity reflects observable impact and urgency—not requester title, contract tier, emotional tone, or case age. Reclassify when evidence changes and record why.</x:v>
      </x:c>
      <x:c r="B12" s="82" t="str">
        <x:v>Severity reflects observable impact and urgency—not requester title, contract tier, emotional tone, or case age. Reclassify when evidence changes and record why.</x:v>
      </x:c>
      <x:c r="C12" s="82" t="str">
        <x:v>Severity reflects observable impact and urgency—not requester title, contract tier, emotional tone, or case age. Reclassify when evidence changes and record why.</x:v>
      </x:c>
      <x:c r="D12" s="82" t="str">
        <x:v>Severity reflects observable impact and urgency—not requester title, contract tier, emotional tone, or case age. Reclassify when evidence changes and record why.</x:v>
      </x:c>
      <x:c r="E12" s="82" t="str">
        <x:v>Severity reflects observable impact and urgency—not requester title, contract tier, emotional tone, or case age. Reclassify when evidence changes and record why.</x:v>
      </x:c>
      <x:c r="F12" s="82" t="str">
        <x:v>Severity reflects observable impact and urgency—not requester title, contract tier, emotional tone, or case age. Reclassify when evidence changes and record why.</x:v>
      </x:c>
      <x:c r="G12" s="82" t="str">
        <x:v>Severity reflects observable impact and urgency—not requester title, contract tier, emotional tone, or case age. Reclassify when evidence changes and record why.</x:v>
      </x:c>
      <x:c r="H12" s="83" t="str">
        <x:v>Severity reflects observable impact and urgency—not requester title, contract tier, emotional tone, or case age. Reclassify when evidence changes and record why.</x:v>
      </x:c>
    </x:row>
  </x:sheetData>
  <x:mergeCells>
    <x:mergeCell ref="A1:H1"/>
    <x:mergeCell ref="A10:H10"/>
    <x:mergeCell ref="A11:H12"/>
  </x:mergeCells>
  <x:conditionalFormatting sqref="A4:A7">
    <x:cfRule type="containsText" dxfId="5" priority="1" operator="containsText" text="Sev 1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8" hidden="0" customWidth="1"/>
    <x:col min="4" max="4" width="42" hidden="0" customWidth="1"/>
    <x:col min="5" max="5" width="28" hidden="0" customWidth="1"/>
    <x:col min="6" max="6" width="30" hidden="0" customWidth="1"/>
    <x:col min="7" max="7" width="27" hidden="0" customWidth="1"/>
    <x:col min="8" max="8" width="22" hidden="0" customWidth="1"/>
  </x:cols>
  <x:sheetData>
    <x:row r="1" ht="30" customHeight="1">
      <x:c r="A1" s="4" t="str">
        <x:v>HELIODESK SUPPORT — ON-CALL HANDOFFS</x:v>
      </x:c>
      <x:c r="B1" s="4" t="str">
        <x:v>HELIODESK SUPPORT — ON-CALL HANDOFFS</x:v>
      </x:c>
      <x:c r="C1" s="4" t="str">
        <x:v>HELIODESK SUPPORT — ON-CALL HANDOFFS</x:v>
      </x:c>
      <x:c r="D1" s="4" t="str">
        <x:v>HELIODESK SUPPORT — ON-CALL HANDOFFS</x:v>
      </x:c>
      <x:c r="E1" s="4" t="str">
        <x:v>HELIODESK SUPPORT — ON-CALL HANDOFFS</x:v>
      </x:c>
      <x:c r="F1" s="4" t="str">
        <x:v>HELIODESK SUPPORT — ON-CALL HANDOFFS</x:v>
      </x:c>
      <x:c r="G1" s="4" t="str">
        <x:v>HELIODESK SUPPORT — ON-CALL HANDOFFS</x:v>
      </x:c>
      <x:c r="H1" s="4" t="str">
        <x:v>HELIODESK SUPPORT — ON-CALL HANDOFFS</x:v>
      </x:c>
    </x:row>
    <x:row r="3" ht="28" customHeight="1">
      <x:c r="A3" s="30" t="str">
        <x:v>Handoff Element</x:v>
      </x:c>
      <x:c r="B3" s="31" t="str">
        <x:v>Required Record</x:v>
      </x:c>
      <x:c r="C3" s="31" t="str">
        <x:v>Why It Matters</x:v>
      </x:c>
      <x:c r="D3" s="31" t="str">
        <x:v>Safe Example</x:v>
      </x:c>
      <x:c r="E3" s="31" t="str">
        <x:v>Receiving Role</x:v>
      </x:c>
      <x:c r="F3" s="31" t="str">
        <x:v>Acceptance Check</x:v>
      </x:c>
      <x:c r="G3" s="31" t="str">
        <x:v>If Missing</x:v>
      </x:c>
      <x:c r="H3" s="32" t="str">
        <x:v>Owner Until Accepted</x:v>
      </x:c>
    </x:row>
    <x:row r="4">
      <x:c r="A4" s="59" t="str">
        <x:v>Case identity</x:v>
      </x:c>
      <x:c r="B4" s="60" t="str">
        <x:v>case_id and severity</x:v>
      </x:c>
      <x:c r="C4" s="60" t="str">
        <x:v>Prevents case confusion</x:v>
      </x:c>
      <x:c r="D4" s="60" t="str">
        <x:v>HD-2026-0042 / Sev 2</x:v>
      </x:c>
      <x:c r="E4" s="60" t="str">
        <x:v>Technical Escalation Lead</x:v>
      </x:c>
      <x:c r="F4" s="60" t="str">
        <x:v>Repeats case_id and severity</x:v>
      </x:c>
      <x:c r="G4" s="60" t="str">
        <x:v>Return to sender for clarification</x:v>
      </x:c>
      <x:c r="H4" s="61" t="str">
        <x:v>Sending role</x:v>
      </x:c>
    </x:row>
    <x:row r="5">
      <x:c r="A5" s="62" t="str">
        <x:v>Timeline</x:v>
      </x:c>
      <x:c r="B5" s="63" t="str">
        <x:v>reported_at_utc, acknowledged_at_utc, sla_ack_due_at_utc</x:v>
      </x:c>
      <x:c r="C5" s="63" t="str">
        <x:v>Shows four-hour acknowledgement position</x:v>
      </x:c>
      <x:c r="D5" s="63" t="str">
        <x:v>2026-08-04T10:15:00Z / 11:02:00Z / 14:15:00Z</x:v>
      </x:c>
      <x:c r="E5" s="63" t="str">
        <x:v>Technical Escalation Lead</x:v>
      </x:c>
      <x:c r="F5" s="63" t="str">
        <x:v>Confirms timing and next update</x:v>
      </x:c>
      <x:c r="G5" s="63" t="str">
        <x:v>Add missing timestamps</x:v>
      </x:c>
      <x:c r="H5" s="64" t="str">
        <x:v>Sending role</x:v>
      </x:c>
    </x:row>
    <x:row r="6">
      <x:c r="A6" s="62" t="str">
        <x:v>Impact</x:v>
      </x:c>
      <x:c r="B6" s="63" t="str">
        <x:v>affected_service and impact_summary</x:v>
      </x:c>
      <x:c r="C6" s="63" t="str">
        <x:v>Focuses technical response</x:v>
      </x:c>
      <x:c r="D6" s="63" t="str">
        <x:v>HelioDesk Desktop Sync / delayed sync for one synthetic tenant</x:v>
      </x:c>
      <x:c r="E6" s="63" t="str">
        <x:v>Product Support Specialist</x:v>
      </x:c>
      <x:c r="F6" s="63" t="str">
        <x:v>Restates scope and workaround</x:v>
      </x:c>
      <x:c r="G6" s="63" t="str">
        <x:v>Request scoped summary</x:v>
      </x:c>
      <x:c r="H6" s="64" t="str">
        <x:v>Sending role</x:v>
      </x:c>
    </x:row>
    <x:row r="7">
      <x:c r="A7" s="62" t="str">
        <x:v>Evidence</x:v>
      </x:c>
      <x:c r="B7" s="63" t="str">
        <x:v>evidence_redaction_status and sanitized excerpt</x:v>
      </x:c>
      <x:c r="C7" s="63" t="str">
        <x:v>Prevents secret/PII leakage</x:v>
      </x:c>
      <x:c r="D7" s="63" t="str">
        <x:v>Redacted / HTTP 401 at sanitized endpoint</x:v>
      </x:c>
      <x:c r="E7" s="63" t="str">
        <x:v>Security Liaison when sensitive</x:v>
      </x:c>
      <x:c r="F7" s="63" t="str">
        <x:v>Confirms approved handling path</x:v>
      </x:c>
      <x:c r="G7" s="63" t="str">
        <x:v>Do not forward original</x:v>
      </x:c>
      <x:c r="H7" s="64" t="str">
        <x:v>Sending role</x:v>
      </x:c>
    </x:row>
    <x:row r="8">
      <x:c r="A8" s="62" t="str">
        <x:v>Plan</x:v>
      </x:c>
      <x:c r="B8" s="63" t="str">
        <x:v>owner_role, escalation_path, next_update_at_utc</x:v>
      </x:c>
      <x:c r="C8" s="63" t="str">
        <x:v>Maintains continuity</x:v>
      </x:c>
      <x:c r="D8" s="63" t="str">
        <x:v>Technical Escalation Lead / Duty Lead &gt; Tech Lead / 13:00Z</x:v>
      </x:c>
      <x:c r="E8" s="63" t="str">
        <x:v>Receiving role</x:v>
      </x:c>
      <x:c r="F8" s="63" t="str">
        <x:v>Explicitly accepts next action</x:v>
      </x:c>
      <x:c r="G8" s="63" t="str">
        <x:v>Escalate through roster backup</x:v>
      </x:c>
      <x:c r="H8" s="64" t="str">
        <x:v>Sending role</x:v>
      </x:c>
    </x:row>
    <x:row r="9">
      <x:c r="A9" s="62" t="str">
        <x:v>Requester update</x:v>
      </x:c>
      <x:c r="B9" s="63" t="str">
        <x:v>What was said and what will be said next</x:v>
      </x:c>
      <x:c r="C9" s="63" t="str">
        <x:v>Avoids conflicting communication</x:v>
      </x:c>
      <x:c r="D9" s="63" t="str">
        <x:v>Acknowledged; next update 13:00Z</x:v>
      </x:c>
      <x:c r="E9" s="63" t="str">
        <x:v>Receiving role</x:v>
      </x:c>
      <x:c r="F9" s="63" t="str">
        <x:v>Confirms cadence</x:v>
      </x:c>
      <x:c r="G9" s="63" t="str">
        <x:v>Send corrected acknowledgement</x:v>
      </x:c>
      <x:c r="H9" s="64" t="str">
        <x:v>Sending role</x:v>
      </x:c>
    </x:row>
    <x:row r="10">
      <x:c r="A10" s="65" t="str">
        <x:v>Closure readiness</x:v>
      </x:c>
      <x:c r="B10" s="66" t="str">
        <x:v>Outcome, workaround, monitoring action</x:v>
      </x:c>
      <x:c r="C10" s="66" t="str">
        <x:v>Avoids premature close</x:v>
      </x:c>
      <x:c r="D10" s="66" t="str">
        <x:v>Workaround verified; monitor next sync cycle</x:v>
      </x:c>
      <x:c r="E10" s="66" t="str">
        <x:v>Case owner</x:v>
      </x:c>
      <x:c r="F10" s="66" t="str">
        <x:v>Outcome recorded</x:v>
      </x:c>
      <x:c r="G10" s="66" t="str">
        <x:v>Keep Investigating or Escalated</x:v>
      </x:c>
      <x:c r="H10" s="67" t="str">
        <x:v>Current owner</x:v>
      </x:c>
    </x:row>
    <x:row r="12" ht="22" customHeight="1">
      <x:c r="A12" s="18" t="str">
        <x:v>Handoff completion rule</x:v>
      </x:c>
      <x:c r="B12" s="18" t="str">
        <x:v>Handoff completion rule</x:v>
      </x:c>
      <x:c r="C12" s="18" t="str">
        <x:v>Handoff completion rule</x:v>
      </x:c>
      <x:c r="D12" s="18" t="str">
        <x:v>Handoff completion rule</x:v>
      </x:c>
      <x:c r="E12" s="18" t="str">
        <x:v>Handoff completion rule</x:v>
      </x:c>
      <x:c r="F12" s="18" t="str">
        <x:v>Handoff completion rule</x:v>
      </x:c>
      <x:c r="G12" s="18" t="str">
        <x:v>Handoff completion rule</x:v>
      </x:c>
      <x:c r="H12" s="18" t="str">
        <x:v>Handoff completion rule</x:v>
      </x:c>
    </x:row>
    <x:row r="13">
      <x:c r="A13" s="78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B13" s="79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C13" s="79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D13" s="79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E13" s="79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F13" s="79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G13" s="79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H13" s="80" t="str">
        <x:v>A handoff is complete only when the receiving role explicitly accepts the case and the record contains the current state, redacted evidence summary, and a next_update_at_utc. Until then, the sending role remains accountable.</x:v>
      </x:c>
    </x:row>
    <x:row r="14">
      <x:c r="A14" s="81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B14" s="82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C14" s="82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D14" s="82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E14" s="82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F14" s="82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G14" s="82" t="str">
        <x:v>A handoff is complete only when the receiving role explicitly accepts the case and the record contains the current state, redacted evidence summary, and a next_update_at_utc. Until then, the sending role remains accountable.</x:v>
      </x:c>
      <x:c r="H14" s="83" t="str">
        <x:v>A handoff is complete only when the receiving role explicitly accepts the case and the record contains the current state, redacted evidence summary, and a next_update_at_utc. Until then, the sending role remains accountable.</x:v>
      </x:c>
    </x:row>
  </x:sheetData>
  <x:mergeCells>
    <x:mergeCell ref="A1:H1"/>
    <x:mergeCell ref="A12:H12"/>
    <x:mergeCell ref="A13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1" hidden="0" customWidth="1"/>
    <x:col min="3" max="3" width="38" hidden="0" customWidth="1"/>
    <x:col min="4" max="4" width="36" hidden="0" customWidth="1"/>
    <x:col min="5" max="5" width="41" hidden="0" customWidth="1"/>
    <x:col min="6" max="6" width="30" hidden="0" customWidth="1"/>
  </x:cols>
  <x:sheetData>
    <x:row r="1" ht="30" customHeight="1">
      <x:c r="A1" s="4" t="str">
        <x:v>HELIODESK SUPPORT — REFERENCE NOTES</x:v>
      </x:c>
      <x:c r="B1" s="4" t="str">
        <x:v>HELIODESK SUPPORT — REFERENCE NOTES</x:v>
      </x:c>
      <x:c r="C1" s="4" t="str">
        <x:v>HELIODESK SUPPORT — REFERENCE NOTES</x:v>
      </x:c>
      <x:c r="D1" s="4" t="str">
        <x:v>HELIODESK SUPPORT — REFERENCE NOTES</x:v>
      </x:c>
      <x:c r="E1" s="4" t="str">
        <x:v>HELIODESK SUPPORT — REFERENCE NOTES</x:v>
      </x:c>
      <x:c r="F1" s="4" t="str">
        <x:v>HELIODESK SUPPORT — REFERENCE NOTES</x:v>
      </x:c>
    </x:row>
    <x:row r="3" ht="28" customHeight="1">
      <x:c r="A3" s="30" t="str">
        <x:v>Reference</x:v>
      </x:c>
      <x:c r="B3" s="31" t="str">
        <x:v>Use</x:v>
      </x:c>
      <x:c r="C3" s="31" t="str">
        <x:v>Key Rule</x:v>
      </x:c>
      <x:c r="D3" s="31" t="str">
        <x:v>Synthetic Snapshot</x:v>
      </x:c>
      <x:c r="E3" s="31" t="str">
        <x:v>Evidence Boundary</x:v>
      </x:c>
      <x:c r="F3" s="32" t="str">
        <x:v>Cross-Reference</x:v>
      </x:c>
    </x:row>
    <x:row r="4">
      <x:c r="A4" s="59" t="str">
        <x:v>Agent onboarding guide</x:v>
      </x:c>
      <x:c r="B4" s="60" t="str">
        <x:v>First-shift workflow and quality bar</x:v>
      </x:c>
      <x:c r="C4" s="60" t="str">
        <x:v>Acknowledgement within 4 elapsed hours</x:v>
      </x:c>
      <x:c r="D4" s="60" t="str">
        <x:v>2026-08-04; 17 unresolved is worked example only</x:v>
      </x:c>
      <x:c r="E4" s="60" t="str">
        <x:v>Minimum redacted evidence only</x:v>
      </x:c>
      <x:c r="F4" s="61" t="str">
        <x:v>support-glossary.markdown</x:v>
      </x:c>
    </x:row>
    <x:row r="5">
      <x:c r="A5" s="62" t="str">
        <x:v>Escalation severity reference</x:v>
      </x:c>
      <x:c r="B5" s="63" t="str">
        <x:v>Impact classification and role path</x:v>
      </x:c>
      <x:c r="C5" s="63" t="str">
        <x:v>Sev 1 page immediately; Sev 2 within 30 minutes</x:v>
      </x:c>
      <x:c r="D5" s="63" t="str">
        <x:v>1 / 4 / 8 / 4 by severity in example only</x:v>
      </x:c>
      <x:c r="E5" s="63" t="str">
        <x:v>No secrets or PII in case</x:v>
      </x:c>
      <x:c r="F5" s="64" t="str">
        <x:v>pii-redaction-reference.txt</x:v>
      </x:c>
    </x:row>
    <x:row r="6">
      <x:c r="A6" s="62" t="str">
        <x:v>PII redaction reference</x:v>
      </x:c>
      <x:c r="B6" s="63" t="str">
        <x:v>Evidence review before sharing</x:v>
      </x:c>
      <x:c r="C6" s="63" t="str">
        <x:v>Replace sensitive values with typed placeholders</x:v>
      </x:c>
      <x:c r="D6" s="63" t="str">
        <x:v>Applies to all examples</x:v>
      </x:c>
      <x:c r="E6" s="63" t="str">
        <x:v>Do not collect tokens, credentials, or broad logs</x:v>
      </x:c>
      <x:c r="F6" s="64" t="str">
        <x:v>windows-log-collection.txt</x:v>
      </x:c>
    </x:row>
    <x:row r="7">
      <x:c r="A7" s="62" t="str">
        <x:v>Windows log collection</x:v>
      </x:c>
      <x:c r="B7" s="63" t="str">
        <x:v>Narrow endpoint evidence collection</x:v>
      </x:c>
      <x:c r="C7" s="63" t="str">
        <x:v>Use filtered excerpt; no full .evtx archive</x:v>
      </x:c>
      <x:c r="D7" s="63" t="str">
        <x:v>Use affected window in UTC</x:v>
      </x:c>
      <x:c r="E7" s="63" t="str">
        <x:v>No profiles, registry exports, browser data, or Wi-Fi data</x:v>
      </x:c>
      <x:c r="F7" s="64" t="str">
        <x:v>log-field-reference.xml</x:v>
      </x:c>
    </x:row>
    <x:row r="8">
      <x:c r="A8" s="62" t="str">
        <x:v>Synthetic field dictionary</x:v>
      </x:c>
      <x:c r="B8" s="63" t="str">
        <x:v>Case-field meaning and validation</x:v>
      </x:c>
      <x:c r="C8" s="63" t="str">
        <x:v>CSV and XML field names reconcile exactly</x:v>
      </x:c>
      <x:c r="D8" s="63" t="str">
        <x:v>Uses ISO 8601 UTC examples</x:v>
      </x:c>
      <x:c r="E8" s="63" t="str">
        <x:v>impact_summary is redacted plain text</x:v>
      </x:c>
      <x:c r="F8" s="64" t="str">
        <x:v>log-field-reference.xml</x:v>
      </x:c>
    </x:row>
    <x:row r="9">
      <x:c r="A9" s="62" t="str">
        <x:v>Coverage roster</x:v>
      </x:c>
      <x:c r="B9" s="63" t="str">
        <x:v>Role-based coverage and on-call handoffs</x:v>
      </x:c>
      <x:c r="C9" s="63" t="str">
        <x:v>Primary + Backup + Sev 1 readiness</x:v>
      </x:c>
      <x:c r="D9" s="63" t="str">
        <x:v>Synthetic .invalid contacts only</x:v>
      </x:c>
      <x:c r="E9" s="63" t="str">
        <x:v>No personal contacts</x:v>
      </x:c>
      <x:c r="F9" s="64" t="str">
        <x:v>Escalation Paths / On-call Handoffs</x:v>
      </x:c>
    </x:row>
    <x:row r="10">
      <x:c r="A10" s="65" t="str">
        <x:v>Controlled terms</x:v>
      </x:c>
      <x:c r="B10" s="66" t="str">
        <x:v>Consistent operational language</x:v>
      </x:c>
      <x:c r="C10" s="66" t="str">
        <x:v>Severity is impact; status is workflow state</x:v>
      </x:c>
      <x:c r="D10" s="66" t="str">
        <x:v>17 unresolved is not a forecast</x:v>
      </x:c>
      <x:c r="E10" s="66" t="str">
        <x:v>Redaction is not encryption</x:v>
      </x:c>
      <x:c r="F10" s="67" t="str">
        <x:v>support-glossary.markdown</x:v>
      </x:c>
    </x:row>
    <x:row r="12" ht="22" customHeight="1">
      <x:c r="A12" s="18" t="str">
        <x:v>Snapshot and limitation</x:v>
      </x:c>
      <x:c r="B12" s="18" t="str">
        <x:v>Snapshot and limitation</x:v>
      </x:c>
      <x:c r="C12" s="18" t="str">
        <x:v>Snapshot and limitation</x:v>
      </x:c>
      <x:c r="D12" s="18" t="str">
        <x:v>Snapshot and limitation</x:v>
      </x:c>
      <x:c r="E12" s="18" t="str">
        <x:v>Snapshot and limitation</x:v>
      </x:c>
      <x:c r="F12" s="18" t="str">
        <x:v>Snapshot and limitation</x:v>
      </x:c>
    </x:row>
    <x:row r="13">
      <x:c r="A13" s="97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B13" s="98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C13" s="98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D13" s="98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E13" s="98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F13" s="99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</x:row>
    <x:row r="14">
      <x:c r="A14" s="100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B14" s="101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C14" s="101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D14" s="101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E14" s="101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  <x:c r="F14" s="102" t="str">
        <x:v>This workbook is a synthetic leadership reference. The 2026-08-04 snapshot and 17 unresolved cases are used only to illustrate queue and coverage concepts. They are not production metrics, a staffing forecast, or a live-operating report.</x:v>
      </x:c>
    </x:row>
  </x:sheetData>
  <x:mergeCells>
    <x:mergeCell ref="A1:F1"/>
    <x:mergeCell ref="A12:F12"/>
    <x:mergeCell ref="A13:F14"/>
  </x:mergeCells>
  <x:pageMargins left="0.7" right="0.7" top="0.75" bottom="0.75" header="0.3" footer="0.3"/>
</x:worksheet>
</file>