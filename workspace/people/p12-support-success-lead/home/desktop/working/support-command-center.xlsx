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4a342ed064c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ue" sheetId="1" r:id="R6301889080824c4f"/>
    <x:sheet xmlns:r="http://schemas.openxmlformats.org/officeDocument/2006/relationships" name="SLA Watch" sheetId="2" r:id="Rb108f5fef00549bc"/>
    <x:sheet xmlns:r="http://schemas.openxmlformats.org/officeDocument/2006/relationships" name="Customer Summary" sheetId="3" r:id="R130226fc9a6a4e34"/>
    <x:sheet xmlns:r="http://schemas.openxmlformats.org/officeDocument/2006/relationships" name="Actions" sheetId="4" r:id="Rc06a3a1e40d54bbb"/>
    <x:sheet xmlns:r="http://schemas.openxmlformats.org/officeDocument/2006/relationships" name="Data Notes" sheetId="5" r:id="Rd928cdef14314f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EFF6FF"/>
      </x:patternFill>
    </x:fill>
    <x:fill>
      <x:patternFill patternType="solid">
        <x:fgColor rgb="FF2563EB"/>
      </x:patternFill>
    </x:fill>
  </x:fills>
  <x:borders count="13">
    <x:border/>
    <x:border>
      <x:left style="thin">
        <x:color rgb="FF172554"/>
      </x:left>
      <x:top style="thin">
        <x:color rgb="FF172554"/>
      </x:top>
      <x:bottom style="thin">
        <x:color rgb="FF172554"/>
      </x:bottom>
    </x:border>
    <x:border>
      <x:top style="thin">
        <x:color rgb="FF172554"/>
      </x:top>
      <x:bottom style="thin">
        <x:color rgb="FF172554"/>
      </x:bottom>
    </x:border>
    <x:border>
      <x:right style="thin">
        <x:color rgb="FF172554"/>
      </x:right>
      <x:top style="thin">
        <x:color rgb="FF172554"/>
      </x:top>
      <x:bottom style="thin">
        <x:color rgb="FF172554"/>
      </x:bottom>
    </x:border>
    <x:border>
      <x:right style="thin">
        <x:color rgb="FFDCE4F2"/>
      </x:right>
      <x:bottom style="thin">
        <x:color rgb="FFDCE4F2"/>
      </x:bottom>
    </x:border>
    <x:border>
      <x:left style="thin">
        <x:color rgb="FFDCE4F2"/>
      </x:left>
      <x:right style="thin">
        <x:color rgb="FFDCE4F2"/>
      </x:right>
      <x:bottom style="thin">
        <x:color rgb="FFDCE4F2"/>
      </x:bottom>
    </x:border>
    <x:border>
      <x:left style="thin">
        <x:color rgb="FFDCE4F2"/>
      </x:left>
      <x:bottom style="thin">
        <x:color rgb="FFDCE4F2"/>
      </x:bottom>
    </x:border>
    <x:border>
      <x:right style="thin">
        <x:color rgb="FFDCE4F2"/>
      </x:right>
      <x:top style="thin">
        <x:color rgb="FFDCE4F2"/>
      </x:top>
      <x:bottom style="thin">
        <x:color rgb="FFDCE4F2"/>
      </x:bottom>
    </x:border>
    <x:border>
      <x:left style="thin">
        <x:color rgb="FFDCE4F2"/>
      </x:left>
      <x:right style="thin">
        <x:color rgb="FFDCE4F2"/>
      </x:right>
      <x:top style="thin">
        <x:color rgb="FFDCE4F2"/>
      </x:top>
      <x:bottom style="thin">
        <x:color rgb="FFDCE4F2"/>
      </x:bottom>
    </x:border>
    <x:border>
      <x:left style="thin">
        <x:color rgb="FFDCE4F2"/>
      </x:left>
      <x:top style="thin">
        <x:color rgb="FFDCE4F2"/>
      </x:top>
      <x:bottom style="thin">
        <x:color rgb="FFDCE4F2"/>
      </x:bottom>
    </x:border>
    <x:border>
      <x:right style="thin">
        <x:color rgb="FFDCE4F2"/>
      </x:right>
      <x:top style="thin">
        <x:color rgb="FFDCE4F2"/>
      </x:top>
    </x:border>
    <x:border>
      <x:left style="thin">
        <x:color rgb="FFDCE4F2"/>
      </x:left>
      <x:right style="thin">
        <x:color rgb="FFDCE4F2"/>
      </x:right>
      <x:top style="thin">
        <x:color rgb="FFDCE4F2"/>
      </x:top>
    </x:border>
    <x:border>
      <x:left style="thin">
        <x:color rgb="FFDCE4F2"/>
      </x:left>
      <x:top style="thin">
        <x:color rgb="FFDCE4F2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200" fontId="0" fillId="0" borderId="5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1eafe31ce343b1" /><Relationship Type="http://schemas.openxmlformats.org/officeDocument/2006/relationships/theme" Target="/xl/theme/theme1.xml" Id="R0d3975259ebf4b57" /><Relationship Type="http://schemas.openxmlformats.org/officeDocument/2006/relationships/sharedStrings" Target="/xl/sharedStrings.xml" Id="R2e315f6a23f3411f" /><Relationship Type="http://schemas.openxmlformats.org/officeDocument/2006/relationships/worksheet" Target="/xl/worksheets/sheet1.xml" Id="R6301889080824c4f" /><Relationship Type="http://schemas.openxmlformats.org/officeDocument/2006/relationships/worksheet" Target="/xl/worksheets/sheet2.xml" Id="Rb108f5fef00549bc" /><Relationship Type="http://schemas.openxmlformats.org/officeDocument/2006/relationships/worksheet" Target="/xl/worksheets/sheet3.xml" Id="R130226fc9a6a4e34" /><Relationship Type="http://schemas.openxmlformats.org/officeDocument/2006/relationships/worksheet" Target="/xl/worksheets/sheet4.xml" Id="Rc06a3a1e40d54bbb" /><Relationship Type="http://schemas.openxmlformats.org/officeDocument/2006/relationships/worksheet" Target="/xl/worksheets/sheet5.xml" Id="Rd928cdef14314f28" /></Relationships>
</file>

<file path=xl/tables/table1.xml><?xml version="1.0" encoding="utf-8"?>
<x:table xmlns:x="http://schemas.openxmlformats.org/spreadsheetml/2006/main" id="1" name="CanonicalQueue" displayName="CanonicalQueue" ref="A4:K21" headerRowCount="1" totalsRowCount="0" totalsRowShown="0">
  <x:tableColumns count="11">
    <x:tableColumn id="1" name="Ticket ID"/>
    <x:tableColumn id="2" name="Customer"/>
    <x:tableColumn id="3" name="Priority"/>
    <x:tableColumn id="4" name="Status"/>
    <x:tableColumn id="5" name="SLA State"/>
    <x:tableColumn id="6" name="Subject"/>
    <x:tableColumn id="7" name="Assignee"/>
    <x:tableColumn id="8" name="Created (UTC)"/>
    <x:tableColumn id="9" name="Due (UTC)"/>
    <x:tableColumn id="10" name="Age (min)"/>
    <x:tableColumn id="11" name="Chann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90dcdc11624b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0" hidden="0" customWidth="1"/>
    <x:col min="4" max="4" width="18" hidden="0" customWidth="1"/>
    <x:col min="5" max="5" width="12" hidden="0" customWidth="1"/>
    <x:col min="6" max="6" width="38" hidden="0" customWidth="1"/>
    <x:col min="7" max="7" width="18" hidden="0" customWidth="1"/>
    <x:col min="8" max="8" width="22" hidden="0" customWidth="1"/>
    <x:col min="9" max="9" width="22" hidden="0" customWidth="1"/>
    <x:col min="10" max="10" width="11" hidden="0" customWidth="1"/>
    <x:col min="11" max="11" width="11" hidden="0" customWidth="1"/>
  </x:cols>
  <x:sheetData>
    <x:row r="1" ht="28" customHeight="1">
      <x:c r="A1" s="3" t="str">
        <x:v>HelioDesk Command Center — Canonical Frozen Queue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5" t="str">
        <x:v>Snapshot: 2026-08-04 09:00 UTC</x:v>
      </x:c>
      <x:c r="B2" s="5" t="str"/>
      <x:c r="C2" s="5" t="str"/>
      <x:c r="D2" s="5" t="str"/>
      <x:c r="E2" s="5" t="str">
        <x:v>4-hour initial-response SLA</x:v>
      </x:c>
      <x:c r="F2" s="5" t="str"/>
      <x:c r="G2" s="5" t="str"/>
      <x:c r="H2" s="5" t="str"/>
      <x:c r="I2" s="5" t="str"/>
      <x:c r="J2" s="5" t="str"/>
      <x:c r="K2" s="5" t="str">
        <x:v>Synthetic / redacted</x:v>
      </x:c>
    </x:row>
    <x:row r="4">
      <x:c r="A4" s="14" t="str">
        <x:v>Ticket ID</x:v>
      </x:c>
      <x:c r="B4" s="15" t="str">
        <x:v>Customer</x:v>
      </x:c>
      <x:c r="C4" s="15" t="str">
        <x:v>Priority</x:v>
      </x:c>
      <x:c r="D4" s="15" t="str">
        <x:v>Status</x:v>
      </x:c>
      <x:c r="E4" s="15" t="str">
        <x:v>SLA State</x:v>
      </x:c>
      <x:c r="F4" s="15" t="str">
        <x:v>Subject</x:v>
      </x:c>
      <x:c r="G4" s="15" t="str">
        <x:v>Assignee</x:v>
      </x:c>
      <x:c r="H4" s="15" t="str">
        <x:v>Created (UTC)</x:v>
      </x:c>
      <x:c r="I4" s="15" t="str">
        <x:v>Due (UTC)</x:v>
      </x:c>
      <x:c r="J4" s="15" t="str">
        <x:v>Age (min)</x:v>
      </x:c>
      <x:c r="K4" s="16" t="str">
        <x:v>Channel</x:v>
      </x:c>
    </x:row>
    <x:row r="5">
      <x:c r="A5" s="26" t="str">
        <x:v>HD-260804-2718</x:v>
      </x:c>
      <x:c r="B5" s="27" t="str">
        <x:v>Customer Alpha</x:v>
      </x:c>
      <x:c r="C5" s="27" t="str">
        <x:v>P1</x:v>
      </x:c>
      <x:c r="D5" s="27" t="str">
        <x:v>open</x:v>
      </x:c>
      <x:c r="E5" s="27" t="str">
        <x:v>breached</x:v>
      </x:c>
      <x:c r="F5" s="27" t="str">
        <x:v>Provisioning job blocks workspace launch</x:v>
      </x:c>
      <x:c r="G5" s="27" t="str">
        <x:v>support-oncall</x:v>
      </x:c>
      <x:c r="H5" s="36" t="n">
        <x:v>46238.09305555555</x:v>
      </x:c>
      <x:c r="I5" s="36" t="n">
        <x:v>46238.259722222225</x:v>
      </x:c>
      <x:c r="J5" s="27" t="n">
        <x:v>406</x:v>
      </x:c>
      <x:c r="K5" s="28" t="str">
        <x:v>email</x:v>
      </x:c>
    </x:row>
    <x:row r="6">
      <x:c r="A6" s="29" t="str">
        <x:v>HD-260804-1934</x:v>
      </x:c>
      <x:c r="B6" s="30" t="str">
        <x:v>Customer Beta</x:v>
      </x:c>
      <x:c r="C6" s="30" t="str">
        <x:v>P2</x:v>
      </x:c>
      <x:c r="D6" s="30" t="str">
        <x:v>pending_customer</x:v>
      </x:c>
      <x:c r="E6" s="30" t="str">
        <x:v>breached</x:v>
      </x:c>
      <x:c r="F6" s="30" t="str">
        <x:v>Dashboard export returns an empty CSV</x:v>
      </x:c>
      <x:c r="G6" s="30" t="str">
        <x:v>queue-west</x:v>
      </x:c>
      <x:c r="H6" s="37" t="n">
        <x:v>46238.15416666667</x:v>
      </x:c>
      <x:c r="I6" s="37" t="n">
        <x:v>46238.32083333333</x:v>
      </x:c>
      <x:c r="J6" s="30" t="n">
        <x:v>318</x:v>
      </x:c>
      <x:c r="K6" s="31" t="str">
        <x:v>web</x:v>
      </x:c>
    </x:row>
    <x:row r="7">
      <x:c r="A7" s="29" t="str">
        <x:v>HD-260804-2841</x:v>
      </x:c>
      <x:c r="B7" s="30" t="str">
        <x:v>Customer Alpha</x:v>
      </x:c>
      <x:c r="C7" s="30" t="str">
        <x:v>P2</x:v>
      </x:c>
      <x:c r="D7" s="30" t="str">
        <x:v>open</x:v>
      </x:c>
      <x:c r="E7" s="30" t="str">
        <x:v>at-risk</x:v>
      </x:c>
      <x:c r="F7" s="30" t="str">
        <x:v>SCIM group sync delayed</x:v>
      </x:c>
      <x:c r="G7" s="30" t="str">
        <x:v>identity-pod</x:v>
      </x:c>
      <x:c r="H7" s="37" t="n">
        <x:v>46238.24652777778</x:v>
      </x:c>
      <x:c r="I7" s="37" t="n">
        <x:v>46238.413194444445</x:v>
      </x:c>
      <x:c r="J7" s="30" t="n">
        <x:v>185</x:v>
      </x:c>
      <x:c r="K7" s="31" t="str">
        <x:v>chat</x:v>
      </x:c>
    </x:row>
    <x:row r="8">
      <x:c r="A8" s="29" t="str">
        <x:v>HD-260804-2849</x:v>
      </x:c>
      <x:c r="B8" s="30" t="str">
        <x:v>Northstar Labs</x:v>
      </x:c>
      <x:c r="C8" s="30" t="str">
        <x:v>P2</x:v>
      </x:c>
      <x:c r="D8" s="30" t="str">
        <x:v>open</x:v>
      </x:c>
      <x:c r="E8" s="30" t="str">
        <x:v>within</x:v>
      </x:c>
      <x:c r="F8" s="30" t="str">
        <x:v>Audit trail filter omits actor</x:v>
      </x:c>
      <x:c r="G8" s="30" t="str">
        <x:v>queue-east</x:v>
      </x:c>
      <x:c r="H8" s="37" t="n">
        <x:v>46238.23333333333</x:v>
      </x:c>
      <x:c r="I8" s="37" t="n">
        <x:v>46238.4</x:v>
      </x:c>
      <x:c r="J8" s="30" t="n">
        <x:v>204</x:v>
      </x:c>
      <x:c r="K8" s="31" t="str">
        <x:v>email</x:v>
      </x:c>
    </x:row>
    <x:row r="9">
      <x:c r="A9" s="29" t="str">
        <x:v>HD-260804-2857</x:v>
      </x:c>
      <x:c r="B9" s="30" t="str">
        <x:v>Customer Alpha</x:v>
      </x:c>
      <x:c r="C9" s="30" t="str">
        <x:v>P2</x:v>
      </x:c>
      <x:c r="D9" s="30" t="str">
        <x:v>investigating</x:v>
      </x:c>
      <x:c r="E9" s="30" t="str">
        <x:v>within</x:v>
      </x:c>
      <x:c r="F9" s="30" t="str">
        <x:v>Bulk invite confirmation is delayed</x:v>
      </x:c>
      <x:c r="G9" s="30" t="str">
        <x:v>onboarding-pod</x:v>
      </x:c>
      <x:c r="H9" s="37" t="n">
        <x:v>46238.25555555556</x:v>
      </x:c>
      <x:c r="I9" s="37" t="n">
        <x:v>46238.42222222222</x:v>
      </x:c>
      <x:c r="J9" s="30" t="n">
        <x:v>172</x:v>
      </x:c>
      <x:c r="K9" s="31" t="str">
        <x:v>web</x:v>
      </x:c>
    </x:row>
    <x:row r="10">
      <x:c r="A10" s="29" t="str">
        <x:v>HD-260804-2861</x:v>
      </x:c>
      <x:c r="B10" s="30" t="str">
        <x:v>Customer Beta</x:v>
      </x:c>
      <x:c r="C10" s="30" t="str">
        <x:v>P2</x:v>
      </x:c>
      <x:c r="D10" s="30" t="str">
        <x:v>open</x:v>
      </x:c>
      <x:c r="E10" s="30" t="str">
        <x:v>at-risk</x:v>
      </x:c>
      <x:c r="F10" s="30" t="str">
        <x:v>Role change not visible in mobile client</x:v>
      </x:c>
      <x:c r="G10" s="30" t="str">
        <x:v>queue-west</x:v>
      </x:c>
      <x:c r="H10" s="37" t="n">
        <x:v>46238.21666666667</x:v>
      </x:c>
      <x:c r="I10" s="37" t="n">
        <x:v>46238.38333333333</x:v>
      </x:c>
      <x:c r="J10" s="30" t="n">
        <x:v>228</x:v>
      </x:c>
      <x:c r="K10" s="31" t="str">
        <x:v>chat</x:v>
      </x:c>
    </x:row>
    <x:row r="11">
      <x:c r="A11" s="29" t="str">
        <x:v>HD-260804-2726</x:v>
      </x:c>
      <x:c r="B11" s="30" t="str">
        <x:v>Customer Alpha</x:v>
      </x:c>
      <x:c r="C11" s="30" t="str">
        <x:v>P3</x:v>
      </x:c>
      <x:c r="D11" s="30" t="str">
        <x:v>open</x:v>
      </x:c>
      <x:c r="E11" s="30" t="str">
        <x:v>at-risk</x:v>
      </x:c>
      <x:c r="F11" s="30" t="str">
        <x:v>Weekly digest uses prior timezone</x:v>
      </x:c>
      <x:c r="G11" s="30" t="str">
        <x:v>reporting-pod</x:v>
      </x:c>
      <x:c r="H11" s="37" t="n">
        <x:v>46238.211805555555</x:v>
      </x:c>
      <x:c r="I11" s="37" t="n">
        <x:v>46238.37847222222</x:v>
      </x:c>
      <x:c r="J11" s="30" t="n">
        <x:v>235</x:v>
      </x:c>
      <x:c r="K11" s="31" t="str">
        <x:v>email</x:v>
      </x:c>
    </x:row>
    <x:row r="12">
      <x:c r="A12" s="29" t="str">
        <x:v>HD-260804-2732</x:v>
      </x:c>
      <x:c r="B12" s="30" t="str">
        <x:v>Customer Alpha</x:v>
      </x:c>
      <x:c r="C12" s="30" t="str">
        <x:v>P3</x:v>
      </x:c>
      <x:c r="D12" s="30" t="str">
        <x:v>pending_customer</x:v>
      </x:c>
      <x:c r="E12" s="30" t="str">
        <x:v>within</x:v>
      </x:c>
      <x:c r="F12" s="30" t="str">
        <x:v>Saved view sharing permission unclear</x:v>
      </x:c>
      <x:c r="G12" s="30" t="str">
        <x:v>queue-east</x:v>
      </x:c>
      <x:c r="H12" s="37" t="n">
        <x:v>46238.268055555556</x:v>
      </x:c>
      <x:c r="I12" s="37" t="n">
        <x:v>46238.43472222222</x:v>
      </x:c>
      <x:c r="J12" s="30" t="n">
        <x:v>154</x:v>
      </x:c>
      <x:c r="K12" s="31" t="str">
        <x:v>web</x:v>
      </x:c>
    </x:row>
    <x:row r="13">
      <x:c r="A13" s="29" t="str">
        <x:v>HD-260804-2740</x:v>
      </x:c>
      <x:c r="B13" s="30" t="str">
        <x:v>Customer Beta</x:v>
      </x:c>
      <x:c r="C13" s="30" t="str">
        <x:v>P3</x:v>
      </x:c>
      <x:c r="D13" s="30" t="str">
        <x:v>open</x:v>
      </x:c>
      <x:c r="E13" s="30" t="str">
        <x:v>within</x:v>
      </x:c>
      <x:c r="F13" s="30" t="str">
        <x:v>Notification badge remains after read</x:v>
      </x:c>
      <x:c r="G13" s="30" t="str">
        <x:v>mobile-pod</x:v>
      </x:c>
      <x:c r="H13" s="37" t="n">
        <x:v>46238.28055555555</x:v>
      </x:c>
      <x:c r="I13" s="37" t="n">
        <x:v>46238.447222222225</x:v>
      </x:c>
      <x:c r="J13" s="30" t="n">
        <x:v>136</x:v>
      </x:c>
      <x:c r="K13" s="31" t="str">
        <x:v>chat</x:v>
      </x:c>
    </x:row>
    <x:row r="14">
      <x:c r="A14" s="29" t="str">
        <x:v>HD-260804-2751</x:v>
      </x:c>
      <x:c r="B14" s="30" t="str">
        <x:v>Northstar Labs</x:v>
      </x:c>
      <x:c r="C14" s="30" t="str">
        <x:v>P3</x:v>
      </x:c>
      <x:c r="D14" s="30" t="str">
        <x:v>investigating</x:v>
      </x:c>
      <x:c r="E14" s="30" t="str">
        <x:v>within</x:v>
      </x:c>
      <x:c r="F14" s="30" t="str">
        <x:v>API usage graph lags one interval</x:v>
      </x:c>
      <x:c r="G14" s="30" t="str">
        <x:v>analytics-pod</x:v>
      </x:c>
      <x:c r="H14" s="37" t="n">
        <x:v>46238.29375</x:v>
      </x:c>
      <x:c r="I14" s="37" t="n">
        <x:v>46238.46041666667</x:v>
      </x:c>
      <x:c r="J14" s="30" t="n">
        <x:v>117</x:v>
      </x:c>
      <x:c r="K14" s="31" t="str">
        <x:v>email</x:v>
      </x:c>
    </x:row>
    <x:row r="15">
      <x:c r="A15" s="29" t="str">
        <x:v>HD-260804-2763</x:v>
      </x:c>
      <x:c r="B15" s="30" t="str">
        <x:v>Customer Alpha</x:v>
      </x:c>
      <x:c r="C15" s="30" t="str">
        <x:v>P3</x:v>
      </x:c>
      <x:c r="D15" s="30" t="str">
        <x:v>open</x:v>
      </x:c>
      <x:c r="E15" s="30" t="str">
        <x:v>at-risk</x:v>
      </x:c>
      <x:c r="F15" s="30" t="str">
        <x:v>Template approval remains queued</x:v>
      </x:c>
      <x:c r="G15" s="30" t="str">
        <x:v>workflow-pod</x:v>
      </x:c>
      <x:c r="H15" s="37" t="n">
        <x:v>46238.22152777778</x:v>
      </x:c>
      <x:c r="I15" s="37" t="n">
        <x:v>46238.388194444444</x:v>
      </x:c>
      <x:c r="J15" s="30" t="n">
        <x:v>221</x:v>
      </x:c>
      <x:c r="K15" s="31" t="str">
        <x:v>web</x:v>
      </x:c>
    </x:row>
    <x:row r="16">
      <x:c r="A16" s="29" t="str">
        <x:v>HD-260804-2774</x:v>
      </x:c>
      <x:c r="B16" s="30" t="str">
        <x:v>Customer Beta</x:v>
      </x:c>
      <x:c r="C16" s="30" t="str">
        <x:v>P3</x:v>
      </x:c>
      <x:c r="D16" s="30" t="str">
        <x:v>pending_customer</x:v>
      </x:c>
      <x:c r="E16" s="30" t="str">
        <x:v>within</x:v>
      </x:c>
      <x:c r="F16" s="30" t="str">
        <x:v>SAML login message lacks next step</x:v>
      </x:c>
      <x:c r="G16" s="30" t="str">
        <x:v>identity-pod</x:v>
      </x:c>
      <x:c r="H16" s="37" t="n">
        <x:v>46238.311111111114</x:v>
      </x:c>
      <x:c r="I16" s="37" t="n">
        <x:v>46238.47777777778</x:v>
      </x:c>
      <x:c r="J16" s="30" t="n">
        <x:v>92</x:v>
      </x:c>
      <x:c r="K16" s="31" t="str">
        <x:v>chat</x:v>
      </x:c>
    </x:row>
    <x:row r="17">
      <x:c r="A17" s="29" t="str">
        <x:v>HD-260804-2789</x:v>
      </x:c>
      <x:c r="B17" s="30" t="str">
        <x:v>Customer Alpha</x:v>
      </x:c>
      <x:c r="C17" s="30" t="str">
        <x:v>P3</x:v>
      </x:c>
      <x:c r="D17" s="30" t="str">
        <x:v>open</x:v>
      </x:c>
      <x:c r="E17" s="30" t="str">
        <x:v>within</x:v>
      </x:c>
      <x:c r="F17" s="30" t="str">
        <x:v>Attachment preview renders slowly</x:v>
      </x:c>
      <x:c r="G17" s="30" t="str">
        <x:v>queue-east</x:v>
      </x:c>
      <x:c r="H17" s="37" t="n">
        <x:v>46238.32013888889</x:v>
      </x:c>
      <x:c r="I17" s="37" t="n">
        <x:v>46238.486805555556</x:v>
      </x:c>
      <x:c r="J17" s="30" t="n">
        <x:v>79</x:v>
      </x:c>
      <x:c r="K17" s="31" t="str">
        <x:v>email</x:v>
      </x:c>
    </x:row>
    <x:row r="18">
      <x:c r="A18" s="29" t="str">
        <x:v>HD-260804-2803</x:v>
      </x:c>
      <x:c r="B18" s="30" t="str">
        <x:v>Customer Beta</x:v>
      </x:c>
      <x:c r="C18" s="30" t="str">
        <x:v>P3</x:v>
      </x:c>
      <x:c r="D18" s="30" t="str">
        <x:v>investigating</x:v>
      </x:c>
      <x:c r="E18" s="30" t="str">
        <x:v>within</x:v>
      </x:c>
      <x:c r="F18" s="30" t="str">
        <x:v>Locale selector resets after refresh</x:v>
      </x:c>
      <x:c r="G18" s="30" t="str">
        <x:v>frontend-pod</x:v>
      </x:c>
      <x:c r="H18" s="37" t="n">
        <x:v>46238.330555555556</x:v>
      </x:c>
      <x:c r="I18" s="37" t="n">
        <x:v>46238.49722222222</x:v>
      </x:c>
      <x:c r="J18" s="30" t="n">
        <x:v>64</x:v>
      </x:c>
      <x:c r="K18" s="31" t="str">
        <x:v>web</x:v>
      </x:c>
    </x:row>
    <x:row r="19">
      <x:c r="A19" s="29" t="str">
        <x:v>HD-260804-2811</x:v>
      </x:c>
      <x:c r="B19" s="30" t="str">
        <x:v>Customer Alpha</x:v>
      </x:c>
      <x:c r="C19" s="30" t="str">
        <x:v>P4</x:v>
      </x:c>
      <x:c r="D19" s="30" t="str">
        <x:v>open</x:v>
      </x:c>
      <x:c r="E19" s="30" t="str">
        <x:v>within</x:v>
      </x:c>
      <x:c r="F19" s="30" t="str">
        <x:v>Help link points to legacy article</x:v>
      </x:c>
      <x:c r="G19" s="30" t="str">
        <x:v>knowledge-pod</x:v>
      </x:c>
      <x:c r="H19" s="37" t="n">
        <x:v>46238.34027777778</x:v>
      </x:c>
      <x:c r="I19" s="37" t="n">
        <x:v>46238.506944444445</x:v>
      </x:c>
      <x:c r="J19" s="30" t="n">
        <x:v>50</x:v>
      </x:c>
      <x:c r="K19" s="31" t="str">
        <x:v>email</x:v>
      </x:c>
    </x:row>
    <x:row r="20">
      <x:c r="A20" s="29" t="str">
        <x:v>HD-260804-2824</x:v>
      </x:c>
      <x:c r="B20" s="30" t="str">
        <x:v>Customer Alpha</x:v>
      </x:c>
      <x:c r="C20" s="30" t="str">
        <x:v>P4</x:v>
      </x:c>
      <x:c r="D20" s="30" t="str">
        <x:v>pending_customer</x:v>
      </x:c>
      <x:c r="E20" s="30" t="str">
        <x:v>within</x:v>
      </x:c>
      <x:c r="F20" s="30" t="str">
        <x:v>Dark-mode contrast question</x:v>
      </x:c>
      <x:c r="G20" s="30" t="str">
        <x:v>queue-east</x:v>
      </x:c>
      <x:c r="H20" s="37" t="n">
        <x:v>46238.34930555556</x:v>
      </x:c>
      <x:c r="I20" s="37" t="n">
        <x:v>46238.51597222222</x:v>
      </x:c>
      <x:c r="J20" s="30" t="n">
        <x:v>37</x:v>
      </x:c>
      <x:c r="K20" s="31" t="str">
        <x:v>web</x:v>
      </x:c>
    </x:row>
    <x:row r="21">
      <x:c r="A21" s="32" t="str">
        <x:v>HD-260804-2836</x:v>
      </x:c>
      <x:c r="B21" s="33" t="str">
        <x:v>Cedar Works</x:v>
      </x:c>
      <x:c r="C21" s="33" t="str">
        <x:v>P4</x:v>
      </x:c>
      <x:c r="D21" s="33" t="str">
        <x:v>open</x:v>
      </x:c>
      <x:c r="E21" s="33" t="str">
        <x:v>within</x:v>
      </x:c>
      <x:c r="F21" s="33" t="str">
        <x:v>Keyboard shortcut request</x:v>
      </x:c>
      <x:c r="G21" s="33" t="str">
        <x:v>product-feedback</x:v>
      </x:c>
      <x:c r="H21" s="38" t="n">
        <x:v>46238.35902777778</x:v>
      </x:c>
      <x:c r="I21" s="38" t="n">
        <x:v>46238.52569444444</x:v>
      </x:c>
      <x:c r="J21" s="33" t="n">
        <x:v>23</x:v>
      </x:c>
      <x:c r="K21" s="34" t="str">
        <x:v>chat</x:v>
      </x:c>
    </x:row>
  </x:sheetData>
  <x:mergeCells>
    <x:mergeCell ref="A1:K1"/>
  </x:mergeCells>
  <x:conditionalFormatting sqref="E5:E21">
    <x:cfRule type="containsText" dxfId="0" priority="1" operator="containsText" text="breached"/>
    <x:cfRule type="containsText" dxfId="1" priority="2" operator="containsText" text="at-risk"/>
  </x:conditionalFormatting>
  <x:dataValidations count="2">
    <x:dataValidation type="list" sqref="C5:C21">
      <x:formula1>"P1,P2,P3,P4"</x:formula1>
    </x:dataValidation>
    <x:dataValidation type="list" sqref="E5:E21">
      <x:formula1>"within,at-risk,breached"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90dcdc11624b6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20" hidden="0" customWidth="1"/>
    <x:col min="4" max="4" width="20" hidden="0" customWidth="1"/>
    <x:col min="5" max="5" width="12" hidden="0" customWidth="1"/>
    <x:col min="6" max="6" width="42" hidden="0" customWidth="1"/>
    <x:col min="7" max="7" width="12" hidden="0" customWidth="1"/>
    <x:col min="8" max="8" width="42" hidden="0" customWidth="1"/>
  </x:cols>
  <x:sheetData>
    <x:row r="1" ht="28" customHeight="1">
      <x:c r="A1" s="3" t="str">
        <x:v>SLA Watch — Canonical Breach and At-Risk View</x:v>
      </x:c>
      <x:c r="B1" s="3"/>
      <x:c r="C1" s="3"/>
      <x:c r="D1" s="3"/>
      <x:c r="E1" s="3"/>
      <x:c r="F1" s="3"/>
      <x:c r="G1" s="3"/>
      <x:c r="H1" s="3"/>
    </x:row>
    <x:row r="3">
      <x:c r="A3" s="14" t="str">
        <x:v>Metric</x:v>
      </x:c>
      <x:c r="B3" s="16" t="str">
        <x:v>Count</x:v>
      </x:c>
      <x:c r="D3" s="14" t="str">
        <x:v>Ticket ID</x:v>
      </x:c>
      <x:c r="E3" s="15" t="str">
        <x:v>Priority</x:v>
      </x:c>
      <x:c r="F3" s="15" t="str">
        <x:v>Customer</x:v>
      </x:c>
      <x:c r="G3" s="15" t="str">
        <x:v>SLA State</x:v>
      </x:c>
      <x:c r="H3" s="16" t="str">
        <x:v>Subject / Owner</x:v>
      </x:c>
    </x:row>
    <x:row r="4">
      <x:c r="A4" s="17" t="str">
        <x:v>Within</x:v>
      </x:c>
      <x:c r="B4" s="19" t="n">
        <x:f>COUNTIF('Queue'!$E$5:$E$21,"within")</x:f>
        <x:v>11</x:v>
      </x:c>
      <x:c r="D4" s="17" t="str">
        <x:v>HD-260804-2718</x:v>
      </x:c>
      <x:c r="E4" s="18" t="str">
        <x:v>P1</x:v>
      </x:c>
      <x:c r="F4" s="18" t="str">
        <x:v>Customer Alpha</x:v>
      </x:c>
      <x:c r="G4" s="18" t="str">
        <x:v>breached</x:v>
      </x:c>
      <x:c r="H4" s="19" t="str">
        <x:v>Provisioning job blocks workspace launch — support-oncall</x:v>
      </x:c>
    </x:row>
    <x:row r="5">
      <x:c r="A5" s="20" t="str">
        <x:v>At risk</x:v>
      </x:c>
      <x:c r="B5" s="22" t="n">
        <x:f>COUNTIF('Queue'!$E$5:$E$21,"at-risk")</x:f>
        <x:v>4</x:v>
      </x:c>
      <x:c r="D5" s="20" t="str">
        <x:v>HD-260804-1934</x:v>
      </x:c>
      <x:c r="E5" s="21" t="str">
        <x:v>P2</x:v>
      </x:c>
      <x:c r="F5" s="21" t="str">
        <x:v>Customer Beta</x:v>
      </x:c>
      <x:c r="G5" s="21" t="str">
        <x:v>breached</x:v>
      </x:c>
      <x:c r="H5" s="22" t="str">
        <x:v>Dashboard export returns an empty CSV — queue-west</x:v>
      </x:c>
    </x:row>
    <x:row r="6">
      <x:c r="A6" s="23" t="str">
        <x:v>Breached</x:v>
      </x:c>
      <x:c r="B6" s="25" t="n">
        <x:f>COUNTIF('Queue'!$E$5:$E$21,"breached")</x:f>
        <x:v>2</x:v>
      </x:c>
      <x:c r="D6" s="20" t="str">
        <x:v>HD-260804-2841</x:v>
      </x:c>
      <x:c r="E6" s="21" t="str">
        <x:v>P2</x:v>
      </x:c>
      <x:c r="F6" s="21" t="str">
        <x:v>Customer Alpha</x:v>
      </x:c>
      <x:c r="G6" s="21" t="str">
        <x:v>at-risk</x:v>
      </x:c>
      <x:c r="H6" s="22" t="str">
        <x:v>SCIM group sync delayed — identity-pod</x:v>
      </x:c>
    </x:row>
    <x:row r="7">
      <x:c r="D7" s="20" t="str">
        <x:v>HD-260804-2861</x:v>
      </x:c>
      <x:c r="E7" s="21" t="str">
        <x:v>P2</x:v>
      </x:c>
      <x:c r="F7" s="21" t="str">
        <x:v>Customer Beta</x:v>
      </x:c>
      <x:c r="G7" s="21" t="str">
        <x:v>at-risk</x:v>
      </x:c>
      <x:c r="H7" s="22" t="str">
        <x:v>Role change not visible in mobile client — queue-west</x:v>
      </x:c>
    </x:row>
    <x:row r="8">
      <x:c r="D8" s="20" t="str">
        <x:v>HD-260804-2726</x:v>
      </x:c>
      <x:c r="E8" s="21" t="str">
        <x:v>P3</x:v>
      </x:c>
      <x:c r="F8" s="21" t="str">
        <x:v>Customer Alpha</x:v>
      </x:c>
      <x:c r="G8" s="21" t="str">
        <x:v>at-risk</x:v>
      </x:c>
      <x:c r="H8" s="22" t="str">
        <x:v>Weekly digest uses prior timezone — reporting-pod</x:v>
      </x:c>
    </x:row>
    <x:row r="9">
      <x:c r="D9" s="23" t="str">
        <x:v>HD-260804-2763</x:v>
      </x:c>
      <x:c r="E9" s="24" t="str">
        <x:v>P3</x:v>
      </x:c>
      <x:c r="F9" s="24" t="str">
        <x:v>Customer Alpha</x:v>
      </x:c>
      <x:c r="G9" s="24" t="str">
        <x:v>at-risk</x:v>
      </x:c>
      <x:c r="H9" s="25" t="str">
        <x:v>Template approval remains queued — workflow-pod</x:v>
      </x:c>
    </x:row>
  </x:sheetData>
  <x:mergeCells>
    <x:mergeCell ref="A1:H1"/>
  </x:mergeCells>
  <x:conditionalFormatting sqref="G4:G9">
    <x:cfRule type="containsText" dxfId="2" priority="1" operator="containsText" text="breached"/>
    <x:cfRule type="containsText" dxfId="3" priority="2" operator="containsText" text="at-risk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3" t="str">
        <x:v>Customer Summary — Canonical Account Concentration</x:v>
      </x:c>
      <x:c r="B1" s="3"/>
      <x:c r="C1" s="3"/>
      <x:c r="D1" s="3"/>
      <x:c r="E1" s="3"/>
      <x:c r="F1" s="3"/>
    </x:row>
    <x:row r="3">
      <x:c r="A3" s="14" t="str">
        <x:v>Customer Group</x:v>
      </x:c>
      <x:c r="B3" s="15" t="str">
        <x:v>Open</x:v>
      </x:c>
      <x:c r="C3" s="15" t="str">
        <x:v>P1</x:v>
      </x:c>
      <x:c r="D3" s="15" t="str">
        <x:v>P2</x:v>
      </x:c>
      <x:c r="E3" s="15" t="str">
        <x:v>At Risk</x:v>
      </x:c>
      <x:c r="F3" s="16" t="str">
        <x:v>Breached</x:v>
      </x:c>
    </x:row>
    <x:row r="4">
      <x:c r="A4" s="17" t="str">
        <x:v>Customer Alpha</x:v>
      </x:c>
      <x:c r="B4" s="18" t="n">
        <x:f>COUNTIF('Queue'!$B$5:$B$21,A4)</x:f>
        <x:v>9</x:v>
      </x:c>
      <x:c r="C4" s="18" t="n">
        <x:f>COUNTIFS('Queue'!$B$5:$B$21,A4,'Queue'!$C$5:$C$21,"P1")</x:f>
        <x:v>1</x:v>
      </x:c>
      <x:c r="D4" s="18" t="n">
        <x:f>COUNTIFS('Queue'!$B$5:$B$21,A4,'Queue'!$C$5:$C$21,"P2")</x:f>
        <x:v>2</x:v>
      </x:c>
      <x:c r="E4" s="18" t="n">
        <x:f>COUNTIFS('Queue'!$B$5:$B$21,A4,'Queue'!$E$5:$E$21,"at-risk")</x:f>
        <x:v>3</x:v>
      </x:c>
      <x:c r="F4" s="19" t="n">
        <x:f>COUNTIFS('Queue'!$B$5:$B$21,A4,'Queue'!$E$5:$E$21,"breached")</x:f>
        <x:v>1</x:v>
      </x:c>
    </x:row>
    <x:row r="5">
      <x:c r="A5" s="20" t="str">
        <x:v>Customer Beta</x:v>
      </x:c>
      <x:c r="B5" s="21" t="n">
        <x:f>COUNTIF('Queue'!$B$5:$B$21,A5)</x:f>
        <x:v>5</x:v>
      </x:c>
      <x:c r="C5" s="21" t="n">
        <x:f>COUNTIFS('Queue'!$B$5:$B$21,A5,'Queue'!$C$5:$C$21,"P1")</x:f>
        <x:v>0</x:v>
      </x:c>
      <x:c r="D5" s="21" t="n">
        <x:f>COUNTIFS('Queue'!$B$5:$B$21,A5,'Queue'!$C$5:$C$21,"P2")</x:f>
        <x:v>2</x:v>
      </x:c>
      <x:c r="E5" s="21" t="n">
        <x:f>COUNTIFS('Queue'!$B$5:$B$21,A5,'Queue'!$E$5:$E$21,"at-risk")</x:f>
        <x:v>1</x:v>
      </x:c>
      <x:c r="F5" s="22" t="n">
        <x:f>COUNTIFS('Queue'!$B$5:$B$21,A5,'Queue'!$E$5:$E$21,"breached")</x:f>
        <x:v>1</x:v>
      </x:c>
    </x:row>
    <x:row r="6">
      <x:c r="A6" s="23" t="str">
        <x:v>Other</x:v>
      </x:c>
      <x:c r="B6" s="24" t="n">
        <x:f>COUNTIF('Queue'!$B$5:$B$21,"Northstar Labs")+COUNTIF('Queue'!$B$5:$B$21,"Cedar Works")</x:f>
        <x:v>3</x:v>
      </x:c>
      <x:c r="C6" s="24" t="n">
        <x:f>COUNTIFS('Queue'!$B$5:$B$21,"Northstar Labs",'Queue'!$C$5:$C$21,"P1")+COUNTIFS('Queue'!$B$5:$B$21,"Cedar Works",'Queue'!$C$5:$C$21,"P1")</x:f>
        <x:v>0</x:v>
      </x:c>
      <x:c r="D6" s="24" t="n">
        <x:f>COUNTIFS('Queue'!$B$5:$B$21,"Northstar Labs",'Queue'!$C$5:$C$21,"P2")+COUNTIFS('Queue'!$B$5:$B$21,"Cedar Works",'Queue'!$C$5:$C$21,"P2")</x:f>
        <x:v>1</x:v>
      </x:c>
      <x:c r="E6" s="24" t="n">
        <x:f>COUNTIFS('Queue'!$B$5:$B$21,"Northstar Labs",'Queue'!$E$5:$E$21,"at-risk")+COUNTIFS('Queue'!$B$5:$B$21,"Cedar Works",'Queue'!$E$5:$E$21,"at-risk")</x:f>
        <x:v>0</x:v>
      </x:c>
      <x:c r="F6" s="25" t="n">
        <x:f>COUNTIFS('Queue'!$B$5:$B$21,"Northstar Labs",'Queue'!$E$5:$E$21,"breached")+COUNTIFS('Queue'!$B$5:$B$21,"Cedar Works",'Queue'!$E$5:$E$21,"breached")</x:f>
        <x:v>0</x:v>
      </x:c>
    </x:row>
    <x:row r="8">
      <x:c r="A8" s="35" t="str">
        <x:v>Total</x:v>
      </x:c>
      <x:c r="B8" s="35" t="n">
        <x:f>SUM(B4:B6)</x:f>
        <x:v>17</x:v>
      </x:c>
      <x:c r="C8" s="35" t="n">
        <x:f>SUM(C4:C6)</x:f>
        <x:v>1</x:v>
      </x:c>
      <x:c r="D8" s="35" t="n">
        <x:f>SUM(D4:D6)</x:f>
        <x:v>5</x:v>
      </x:c>
      <x:c r="E8" s="35" t="n">
        <x:f>SUM(E4:E6)</x:f>
        <x:v>4</x:v>
      </x:c>
      <x:c r="F8" s="35" t="n">
        <x:f>SUM(F4:F6)</x:f>
        <x:v>2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8" hidden="0" customWidth="1"/>
    <x:col min="4" max="4" width="18" hidden="0" customWidth="1"/>
    <x:col min="5" max="5" width="12" hidden="0" customWidth="1"/>
    <x:col min="6" max="6" width="18" hidden="0" customWidth="1"/>
    <x:col min="7" max="7" width="34" hidden="0" customWidth="1"/>
  </x:cols>
  <x:sheetData>
    <x:row r="1" ht="28" customHeight="1">
      <x:c r="A1" s="3" t="str">
        <x:v>Actions — Canonical Watchlist</x:v>
      </x:c>
      <x:c r="B1" s="3"/>
      <x:c r="C1" s="3"/>
      <x:c r="D1" s="3"/>
      <x:c r="E1" s="3"/>
      <x:c r="F1" s="3"/>
      <x:c r="G1" s="3"/>
    </x:row>
    <x:row r="3">
      <x:c r="A3" s="14" t="str">
        <x:v>Ticket ID</x:v>
      </x:c>
      <x:c r="B3" s="15" t="str">
        <x:v>Priority</x:v>
      </x:c>
      <x:c r="C3" s="15" t="str">
        <x:v>Customer</x:v>
      </x:c>
      <x:c r="D3" s="15" t="str">
        <x:v>Status</x:v>
      </x:c>
      <x:c r="E3" s="15" t="str">
        <x:v>SLA State</x:v>
      </x:c>
      <x:c r="F3" s="15" t="str">
        <x:v>Owner</x:v>
      </x:c>
      <x:c r="G3" s="16" t="str">
        <x:v>Next Action</x:v>
      </x:c>
    </x:row>
    <x:row r="4">
      <x:c r="A4" s="17" t="str">
        <x:v>HD-260804-2718</x:v>
      </x:c>
      <x:c r="B4" s="18" t="str">
        <x:v>P1</x:v>
      </x:c>
      <x:c r="C4" s="18" t="str">
        <x:v>Customer Alpha</x:v>
      </x:c>
      <x:c r="D4" s="18" t="str">
        <x:v>open</x:v>
      </x:c>
      <x:c r="E4" s="18" t="str">
        <x:v>breached</x:v>
      </x:c>
      <x:c r="F4" s="18" t="str">
        <x:v>support-oncall</x:v>
      </x:c>
      <x:c r="G4" s="19" t="str">
        <x:v>Send recovery update now</x:v>
      </x:c>
    </x:row>
    <x:row r="5">
      <x:c r="A5" s="20" t="str">
        <x:v>HD-260804-1934</x:v>
      </x:c>
      <x:c r="B5" s="21" t="str">
        <x:v>P2</x:v>
      </x:c>
      <x:c r="C5" s="21" t="str">
        <x:v>Customer Beta</x:v>
      </x:c>
      <x:c r="D5" s="21" t="str">
        <x:v>pending_customer</x:v>
      </x:c>
      <x:c r="E5" s="21" t="str">
        <x:v>breached</x:v>
      </x:c>
      <x:c r="F5" s="21" t="str">
        <x:v>queue-west</x:v>
      </x:c>
      <x:c r="G5" s="22" t="str">
        <x:v>Send recovery update now</x:v>
      </x:c>
    </x:row>
    <x:row r="6">
      <x:c r="A6" s="20" t="str">
        <x:v>HD-260804-2841</x:v>
      </x:c>
      <x:c r="B6" s="21" t="str">
        <x:v>P2</x:v>
      </x:c>
      <x:c r="C6" s="21" t="str">
        <x:v>Customer Alpha</x:v>
      </x:c>
      <x:c r="D6" s="21" t="str">
        <x:v>open</x:v>
      </x:c>
      <x:c r="E6" s="21" t="str">
        <x:v>at-risk</x:v>
      </x:c>
      <x:c r="F6" s="21" t="str">
        <x:v>identity-pod</x:v>
      </x:c>
      <x:c r="G6" s="22" t="str">
        <x:v>Acknowledge before SLA due time</x:v>
      </x:c>
    </x:row>
    <x:row r="7">
      <x:c r="A7" s="20" t="str">
        <x:v>HD-260804-2861</x:v>
      </x:c>
      <x:c r="B7" s="21" t="str">
        <x:v>P2</x:v>
      </x:c>
      <x:c r="C7" s="21" t="str">
        <x:v>Customer Beta</x:v>
      </x:c>
      <x:c r="D7" s="21" t="str">
        <x:v>open</x:v>
      </x:c>
      <x:c r="E7" s="21" t="str">
        <x:v>at-risk</x:v>
      </x:c>
      <x:c r="F7" s="21" t="str">
        <x:v>queue-west</x:v>
      </x:c>
      <x:c r="G7" s="22" t="str">
        <x:v>Acknowledge before SLA due time</x:v>
      </x:c>
    </x:row>
    <x:row r="8">
      <x:c r="A8" s="20" t="str">
        <x:v>HD-260804-2726</x:v>
      </x:c>
      <x:c r="B8" s="21" t="str">
        <x:v>P3</x:v>
      </x:c>
      <x:c r="C8" s="21" t="str">
        <x:v>Customer Alpha</x:v>
      </x:c>
      <x:c r="D8" s="21" t="str">
        <x:v>open</x:v>
      </x:c>
      <x:c r="E8" s="21" t="str">
        <x:v>at-risk</x:v>
      </x:c>
      <x:c r="F8" s="21" t="str">
        <x:v>reporting-pod</x:v>
      </x:c>
      <x:c r="G8" s="22" t="str">
        <x:v>Acknowledge before SLA due time</x:v>
      </x:c>
    </x:row>
    <x:row r="9">
      <x:c r="A9" s="23" t="str">
        <x:v>HD-260804-2763</x:v>
      </x:c>
      <x:c r="B9" s="24" t="str">
        <x:v>P3</x:v>
      </x:c>
      <x:c r="C9" s="24" t="str">
        <x:v>Customer Alpha</x:v>
      </x:c>
      <x:c r="D9" s="24" t="str">
        <x:v>open</x:v>
      </x:c>
      <x:c r="E9" s="24" t="str">
        <x:v>at-risk</x:v>
      </x:c>
      <x:c r="F9" s="24" t="str">
        <x:v>workflow-pod</x:v>
      </x:c>
      <x:c r="G9" s="25" t="str">
        <x:v>Acknowledge before SLA due time</x:v>
      </x:c>
    </x:row>
  </x:sheetData>
  <x:mergeCells>
    <x:mergeCell ref="A1:G1"/>
  </x:mergeCells>
  <x:conditionalFormatting sqref="E4:E9">
    <x:cfRule type="containsText" dxfId="4" priority="1" operator="containsText" text="breached"/>
  </x:conditionalFormatting>
  <x:dataValidations count="1">
    <x:dataValidation type="list" sqref="G4:G9">
      <x:formula1>"Send recovery update now,Acknowledge before SLA due time,Complete"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2" hidden="0" customWidth="1"/>
  </x:cols>
  <x:sheetData>
    <x:row r="1" ht="28" customHeight="1">
      <x:c r="A1" s="3" t="str">
        <x:v>Data Notes — Canonical Source and Rules</x:v>
      </x:c>
      <x:c r="B1" s="3"/>
    </x:row>
    <x:row r="3">
      <x:c r="A3" s="14" t="str">
        <x:v>Source</x:v>
      </x:c>
      <x:c r="B3" s="16" t="str">
        <x:v>heliodesk-2026-08-04-open-tickets.json</x:v>
      </x:c>
    </x:row>
    <x:row r="4">
      <x:c r="A4" s="17" t="str">
        <x:v>Snapshot</x:v>
      </x:c>
      <x:c r="B4" s="28" t="str">
        <x:v>2026-08-04 09:00 UTC</x:v>
      </x:c>
    </x:row>
    <x:row r="5">
      <x:c r="A5" s="20" t="str">
        <x:v>SLA</x:v>
      </x:c>
      <x:c r="B5" s="31" t="str">
        <x:v>4-hour initial response; snapshot states are canonical.</x:v>
      </x:c>
    </x:row>
    <x:row r="6">
      <x:c r="A6" s="20" t="str">
        <x:v>Queue totals</x:v>
      </x:c>
      <x:c r="B6" s="31" t="str">
        <x:v>17 unresolved; P1/P2/P3/P4 = 1/5/8/3.</x:v>
      </x:c>
    </x:row>
    <x:row r="7">
      <x:c r="A7" s="20" t="str">
        <x:v>SLA totals</x:v>
      </x:c>
      <x:c r="B7" s="31" t="str">
        <x:v>within/at-risk/breached = 11/4/2.</x:v>
      </x:c>
    </x:row>
    <x:row r="8">
      <x:c r="A8" s="23" t="str">
        <x:v>Customers</x:v>
      </x:c>
      <x:c r="B8" s="34" t="str">
        <x:v>Customer Alpha 9; Customer Beta 5; other synthetic customers 3.</x:v>
      </x:c>
    </x:row>
  </x:sheetData>
  <x:mergeCells>
    <x:mergeCell ref="A1:B1"/>
  </x:mergeCells>
  <x:pageMargins left="0.7" right="0.7" top="0.75" bottom="0.75" header="0.3" footer="0.3"/>
</x:worksheet>
</file>