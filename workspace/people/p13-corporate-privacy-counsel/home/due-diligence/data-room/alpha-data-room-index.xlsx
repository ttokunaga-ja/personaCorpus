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6fbdc123b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f5105aff94b84815"/>
    <x:sheet xmlns:r="http://schemas.openxmlformats.org/officeDocument/2006/relationships" name="Review Summary" sheetId="2" r:id="R6ec439a4c409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bottom style="thin">
        <x:color rgb="FFE5ECF0"/>
      </x:bottom>
    </x:border>
    <x:border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top style="thin">
        <x:color rgb="FFE5ECF0"/>
      </x:top>
      <x:bottom style="thin">
        <x:color rgb="FFE5ECF0"/>
      </x:bottom>
    </x:border>
    <x:border>
      <x:right style="thin">
        <x:color rgb="FFE5ECF0"/>
      </x:right>
      <x:top style="thin">
        <x:color rgb="FFE5ECF0"/>
      </x:top>
    </x:border>
    <x:border>
      <x:left style="thin">
        <x:color rgb="FFE5ECF0"/>
      </x:left>
      <x:right style="thin">
        <x:color rgb="FFE5ECF0"/>
      </x:right>
      <x:top style="thin">
        <x:color rgb="FFE5ECF0"/>
      </x:top>
    </x:border>
    <x:border>
      <x:left style="thin">
        <x:color rgb="FFE5ECF0"/>
      </x:left>
      <x:top style="thin">
        <x:color rgb="FFE5ECF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c0bf274504e24" /><Relationship Type="http://schemas.openxmlformats.org/officeDocument/2006/relationships/theme" Target="/xl/theme/theme1.xml" Id="R891259e9ece24a94" /><Relationship Type="http://schemas.openxmlformats.org/officeDocument/2006/relationships/sharedStrings" Target="/xl/sharedStrings.xml" Id="R8abbba1e61cd492d" /><Relationship Type="http://schemas.openxmlformats.org/officeDocument/2006/relationships/worksheet" Target="/xl/worksheets/sheet1.xml" Id="Rf5105aff94b84815" /><Relationship Type="http://schemas.openxmlformats.org/officeDocument/2006/relationships/worksheet" Target="/xl/worksheets/sheet2.xml" Id="R6ec439a4c40946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9.329999923706055" hidden="0" customWidth="1"/>
    <x:col min="3" max="3" width="32" hidden="0" customWidth="1"/>
    <x:col min="4" max="4" width="8.670000076293945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8" customHeight="1">
      <x:c r="A1" s="4" t="str">
        <x:v>Matter Alpha | Data Room Index</x:v>
      </x:c>
    </x:row>
    <x:row r="2" ht="24" customHeight="1">
      <x:c r="A2" s="6" t="str">
        <x:v>Synthetic diligence index - Aster Legal | preservation population: 42 | reviewed 2026-06-30</x:v>
      </x:c>
    </x:row>
    <x:row r="4">
      <x:c r="A4" s="15" t="str">
        <x:v>Document ID</x:v>
      </x:c>
      <x:c r="B4" s="16" t="str">
        <x:v>Category</x:v>
      </x:c>
      <x:c r="C4" s="16" t="str">
        <x:v>Title</x:v>
      </x:c>
      <x:c r="D4" s="16" t="str">
        <x:v>Owner</x:v>
      </x:c>
      <x:c r="E4" s="16" t="str">
        <x:v>Review Status</x:v>
      </x:c>
      <x:c r="F4" s="16" t="str">
        <x:v>Last Updated</x:v>
      </x:c>
      <x:c r="G4" s="17" t="str">
        <x:v>Privilege Flag</x:v>
      </x:c>
    </x:row>
    <x:row r="5">
      <x:c r="A5" s="36" t="str">
        <x:v>AL-PA-2606-001</x:v>
      </x:c>
      <x:c r="B5" s="37" t="str">
        <x:v>Policy</x:v>
      </x:c>
      <x:c r="C5" s="37" t="str">
        <x:v>Privacy governance charter</x:v>
      </x:c>
      <x:c r="D5" s="37" t="str">
        <x:v>Aster Legal</x:v>
      </x:c>
      <x:c r="E5" s="37" t="str">
        <x:v>Reviewed</x:v>
      </x:c>
      <x:c r="F5" s="45" t="n">
        <x:v>46191</x:v>
      </x:c>
      <x:c r="G5" s="38" t="str">
        <x:v>No</x:v>
      </x:c>
    </x:row>
    <x:row r="6">
      <x:c r="A6" s="39" t="str">
        <x:v>AL-PA-2606-002</x:v>
      </x:c>
      <x:c r="B6" s="40" t="str">
        <x:v>Inventory</x:v>
      </x:c>
      <x:c r="C6" s="40" t="str">
        <x:v>Processing inventory extract</x:v>
      </x:c>
      <x:c r="D6" s="40" t="str">
        <x:v>Aster Legal</x:v>
      </x:c>
      <x:c r="E6" s="40" t="str">
        <x:v>Reviewed</x:v>
      </x:c>
      <x:c r="F6" s="46" t="n">
        <x:v>46193</x:v>
      </x:c>
      <x:c r="G6" s="41" t="str">
        <x:v>No</x:v>
      </x:c>
    </x:row>
    <x:row r="7">
      <x:c r="A7" s="39" t="str">
        <x:v>AL-PA-2606-003</x:v>
      </x:c>
      <x:c r="B7" s="40" t="str">
        <x:v>Contract</x:v>
      </x:c>
      <x:c r="C7" s="40" t="str">
        <x:v>Vendor addendum register</x:v>
      </x:c>
      <x:c r="D7" s="40" t="str">
        <x:v>Aster Legal</x:v>
      </x:c>
      <x:c r="E7" s="40" t="str">
        <x:v>In review</x:v>
      </x:c>
      <x:c r="F7" s="46" t="n">
        <x:v>46198</x:v>
      </x:c>
      <x:c r="G7" s="41" t="str">
        <x:v>No</x:v>
      </x:c>
    </x:row>
    <x:row r="8">
      <x:c r="A8" s="39" t="str">
        <x:v>AL-PA-2606-004</x:v>
      </x:c>
      <x:c r="B8" s="40" t="str">
        <x:v>Assessment</x:v>
      </x:c>
      <x:c r="C8" s="40" t="str">
        <x:v>Transfer impact summary</x:v>
      </x:c>
      <x:c r="D8" s="40" t="str">
        <x:v>Aster Legal</x:v>
      </x:c>
      <x:c r="E8" s="40" t="str">
        <x:v>Pending</x:v>
      </x:c>
      <x:c r="F8" s="46" t="n">
        <x:v>46203</x:v>
      </x:c>
      <x:c r="G8" s="41" t="str">
        <x:v>No</x:v>
      </x:c>
    </x:row>
    <x:row r="9">
      <x:c r="A9" s="42" t="str">
        <x:v>AL-PA-2606-005</x:v>
      </x:c>
      <x:c r="B9" s="43" t="str">
        <x:v>Evidence</x:v>
      </x:c>
      <x:c r="C9" s="43" t="str">
        <x:v>Control-testing notes</x:v>
      </x:c>
      <x:c r="D9" s="43" t="str">
        <x:v>Aster Legal</x:v>
      </x:c>
      <x:c r="E9" s="43" t="str">
        <x:v>Reviewed</x:v>
      </x:c>
      <x:c r="F9" s="47" t="n">
        <x:v>46201</x:v>
      </x:c>
      <x:c r="G9" s="44" t="str">
        <x:v>No</x:v>
      </x:c>
    </x:row>
  </x:sheetData>
  <x:mergeCells>
    <x:mergeCell ref="A1:G1"/>
    <x:mergeCell ref="A2:G2"/>
  </x:mergeCells>
  <x:conditionalFormatting sqref="E5:E9">
    <x:cfRule type="containsText" dxfId="0" priority="1" operator="containsText" text="Pending"/>
  </x:conditionalFormatting>
  <x:dataValidations count="1">
    <x:dataValidation type="list" sqref="E5:E9">
      <x:formula1>"Reviewed,In review,Pending"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09999656677246" hidden="0" customWidth="1"/>
    <x:col min="2" max="2" width="4.670000076293945" hidden="0" customWidth="1"/>
  </x:cols>
  <x:sheetData>
    <x:row r="1" ht="28" customHeight="1">
      <x:c r="A1" s="4" t="str">
        <x:v>Review Summary</x:v>
      </x:c>
    </x:row>
    <x:row r="2" ht="24" customHeight="1">
      <x:c r="A2" s="6" t="str">
        <x:v>Formula-driven completeness view</x:v>
      </x:c>
    </x:row>
    <x:row r="4">
      <x:c r="A4" s="15" t="str">
        <x:v>Metric</x:v>
      </x:c>
      <x:c r="B4" s="17" t="str">
        <x:v>Value</x:v>
      </x:c>
    </x:row>
    <x:row r="5">
      <x:c r="A5" s="36" t="str">
        <x:v>Documents indexed</x:v>
      </x:c>
      <x:c r="B5" s="38" t="n">
        <x:f>COUNTA(Index!A5:A9)</x:f>
        <x:v>5</x:v>
      </x:c>
    </x:row>
    <x:row r="6">
      <x:c r="A6" s="39" t="str">
        <x:v>Reviewed</x:v>
      </x:c>
      <x:c r="B6" s="41" t="n">
        <x:f>COUNTIF(Index!E5:E9,"Reviewed")</x:f>
        <x:v>3</x:v>
      </x:c>
    </x:row>
    <x:row r="7">
      <x:c r="A7" s="42" t="str">
        <x:v>Pending</x:v>
      </x:c>
      <x:c r="B7" s="44" t="n">
        <x:f>COUNTIF(Index!E5:E9,"Pending")</x:f>
        <x:v>1</x:v>
      </x:c>
    </x:row>
  </x:sheetData>
  <x:mergeCells>
    <x:mergeCell ref="A1:D1"/>
    <x:mergeCell ref="A2:D2"/>
  </x:mergeCells>
  <x:pageMargins left="0.7" right="0.7" top="0.75" bottom="0.75" header="0.3" footer="0.3"/>
</x:worksheet>
</file>