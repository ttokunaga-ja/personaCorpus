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4f75a4a9d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e54fc8e04caa46f3"/>
    <x:sheet xmlns:r="http://schemas.openxmlformats.org/officeDocument/2006/relationships" name="Executive Summary" sheetId="2" r:id="R2d7d25cf6865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bottom style="thin">
        <x:color rgb="FFE5ECF0"/>
      </x:bottom>
    </x:border>
    <x:border>
      <x:left style="thin">
        <x:color rgb="FFE5ECF0"/>
      </x:left>
      <x:bottom style="thin">
        <x:color rgb="FFE5ECF0"/>
      </x:bottom>
    </x:border>
    <x:border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right style="thin">
        <x:color rgb="FFE5ECF0"/>
      </x:right>
      <x:top style="thin">
        <x:color rgb="FFE5ECF0"/>
      </x:top>
      <x:bottom style="thin">
        <x:color rgb="FFE5ECF0"/>
      </x:bottom>
    </x:border>
    <x:border>
      <x:left style="thin">
        <x:color rgb="FFE5ECF0"/>
      </x:left>
      <x:top style="thin">
        <x:color rgb="FFE5ECF0"/>
      </x:top>
      <x:bottom style="thin">
        <x:color rgb="FFE5ECF0"/>
      </x:bottom>
    </x:border>
    <x:border>
      <x:right style="thin">
        <x:color rgb="FFE5ECF0"/>
      </x:right>
      <x:top style="thin">
        <x:color rgb="FFE5ECF0"/>
      </x:top>
    </x:border>
    <x:border>
      <x:left style="thin">
        <x:color rgb="FFE5ECF0"/>
      </x:left>
      <x:right style="thin">
        <x:color rgb="FFE5ECF0"/>
      </x:right>
      <x:top style="thin">
        <x:color rgb="FFE5ECF0"/>
      </x:top>
    </x:border>
    <x:border>
      <x:left style="thin">
        <x:color rgb="FFE5ECF0"/>
      </x:left>
      <x:top style="thin">
        <x:color rgb="FFE5ECF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b1451b1044d37" /><Relationship Type="http://schemas.openxmlformats.org/officeDocument/2006/relationships/theme" Target="/xl/theme/theme1.xml" Id="R8d51c34e9daa44f3" /><Relationship Type="http://schemas.openxmlformats.org/officeDocument/2006/relationships/sharedStrings" Target="/xl/sharedStrings.xml" Id="Rab01148b3d194ddf" /><Relationship Type="http://schemas.openxmlformats.org/officeDocument/2006/relationships/worksheet" Target="/xl/worksheets/sheet1.xml" Id="Re54fc8e04caa46f3" /><Relationship Type="http://schemas.openxmlformats.org/officeDocument/2006/relationships/worksheet" Target="/xl/worksheets/sheet2.xml" Id="R2d7d25cf6865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8" hidden="0" customWidth="1"/>
    <x:col min="3" max="3" width="12" hidden="0" customWidth="1"/>
    <x:col min="4" max="4" width="28" hidden="0" customWidth="1"/>
    <x:col min="5" max="5" width="16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Matter Beta | Issue Tracker</x:v>
      </x:c>
    </x:row>
    <x:row r="2" ht="24" customHeight="1">
      <x:c r="A2" s="6" t="str">
        <x:v>Cinder Bay Processing Ltd. | 12 synthetic findings | high-risk due 2026-08-15</x:v>
      </x:c>
    </x:row>
    <x:row r="4">
      <x:c r="A4" s="15" t="str">
        <x:v>Finding ID</x:v>
      </x:c>
      <x:c r="B4" s="16" t="str">
        <x:v>Title</x:v>
      </x:c>
      <x:c r="C4" s="16" t="str">
        <x:v>Severity</x:v>
      </x:c>
      <x:c r="D4" s="16" t="str">
        <x:v>Owner</x:v>
      </x:c>
      <x:c r="E4" s="16" t="str">
        <x:v>Status</x:v>
      </x:c>
      <x:c r="F4" s="16" t="str">
        <x:v>Due Date</x:v>
      </x:c>
      <x:c r="G4" s="17" t="str">
        <x:v>Evidence</x:v>
      </x:c>
    </x:row>
    <x:row r="5">
      <x:c r="A5" s="36" t="str">
        <x:v>CB-01</x:v>
      </x:c>
      <x:c r="B5" s="37" t="str">
        <x:v>Control evidence gap 1</x:v>
      </x:c>
      <x:c r="C5" s="37" t="str">
        <x:v>High</x:v>
      </x:c>
      <x:c r="D5" s="37" t="str">
        <x:v>Cinder Bay Privacy Office</x:v>
      </x:c>
      <x:c r="E5" s="37" t="str">
        <x:v>Open</x:v>
      </x:c>
      <x:c r="F5" s="45" t="n">
        <x:v>46249</x:v>
      </x:c>
      <x:c r="G5" s="38" t="str">
        <x:v>AL-PA-2606-001</x:v>
      </x:c>
    </x:row>
    <x:row r="6">
      <x:c r="A6" s="39" t="str">
        <x:v>CB-02</x:v>
      </x:c>
      <x:c r="B6" s="40" t="str">
        <x:v>Control evidence gap 2</x:v>
      </x:c>
      <x:c r="C6" s="40" t="str">
        <x:v>High</x:v>
      </x:c>
      <x:c r="D6" s="40" t="str">
        <x:v>Cinder Bay Privacy Office</x:v>
      </x:c>
      <x:c r="E6" s="40" t="str">
        <x:v>Open</x:v>
      </x:c>
      <x:c r="F6" s="46" t="n">
        <x:v>46249</x:v>
      </x:c>
      <x:c r="G6" s="41" t="str">
        <x:v>AL-PA-2606-002</x:v>
      </x:c>
    </x:row>
    <x:row r="7">
      <x:c r="A7" s="39" t="str">
        <x:v>CB-03</x:v>
      </x:c>
      <x:c r="B7" s="40" t="str">
        <x:v>Control evidence gap 3</x:v>
      </x:c>
      <x:c r="C7" s="40" t="str">
        <x:v>High</x:v>
      </x:c>
      <x:c r="D7" s="40" t="str">
        <x:v>Cinder Bay Privacy Office</x:v>
      </x:c>
      <x:c r="E7" s="40" t="str">
        <x:v>Open</x:v>
      </x:c>
      <x:c r="F7" s="46" t="n">
        <x:v>46249</x:v>
      </x:c>
      <x:c r="G7" s="41" t="str">
        <x:v>AL-PA-2606-003</x:v>
      </x:c>
    </x:row>
    <x:row r="8">
      <x:c r="A8" s="39" t="str">
        <x:v>CB-04</x:v>
      </x:c>
      <x:c r="B8" s="40" t="str">
        <x:v>Control evidence gap 4</x:v>
      </x:c>
      <x:c r="C8" s="40" t="str">
        <x:v>Medium</x:v>
      </x:c>
      <x:c r="D8" s="40" t="str">
        <x:v>Cinder Bay Privacy Office</x:v>
      </x:c>
      <x:c r="E8" s="40" t="str">
        <x:v>In remediation</x:v>
      </x:c>
      <x:c r="F8" s="46" t="n">
        <x:v>46280</x:v>
      </x:c>
      <x:c r="G8" s="41" t="str">
        <x:v>AL-PA-2606-004</x:v>
      </x:c>
    </x:row>
    <x:row r="9">
      <x:c r="A9" s="39" t="str">
        <x:v>CB-05</x:v>
      </x:c>
      <x:c r="B9" s="40" t="str">
        <x:v>Control evidence gap 5</x:v>
      </x:c>
      <x:c r="C9" s="40" t="str">
        <x:v>Medium</x:v>
      </x:c>
      <x:c r="D9" s="40" t="str">
        <x:v>Cinder Bay Privacy Office</x:v>
      </x:c>
      <x:c r="E9" s="40" t="str">
        <x:v>In remediation</x:v>
      </x:c>
      <x:c r="F9" s="46" t="n">
        <x:v>46280</x:v>
      </x:c>
      <x:c r="G9" s="41" t="str">
        <x:v>AL-PA-2606-005</x:v>
      </x:c>
    </x:row>
    <x:row r="10">
      <x:c r="A10" s="39" t="str">
        <x:v>CB-06</x:v>
      </x:c>
      <x:c r="B10" s="40" t="str">
        <x:v>Control evidence gap 6</x:v>
      </x:c>
      <x:c r="C10" s="40" t="str">
        <x:v>Medium</x:v>
      </x:c>
      <x:c r="D10" s="40" t="str">
        <x:v>Cinder Bay Privacy Office</x:v>
      </x:c>
      <x:c r="E10" s="40" t="str">
        <x:v>In remediation</x:v>
      </x:c>
      <x:c r="F10" s="46" t="n">
        <x:v>46280</x:v>
      </x:c>
      <x:c r="G10" s="41" t="str">
        <x:v>AL-PA-2606-006</x:v>
      </x:c>
    </x:row>
    <x:row r="11">
      <x:c r="A11" s="39" t="str">
        <x:v>CB-07</x:v>
      </x:c>
      <x:c r="B11" s="40" t="str">
        <x:v>Control evidence gap 7</x:v>
      </x:c>
      <x:c r="C11" s="40" t="str">
        <x:v>Medium</x:v>
      </x:c>
      <x:c r="D11" s="40" t="str">
        <x:v>Cinder Bay Privacy Office</x:v>
      </x:c>
      <x:c r="E11" s="40" t="str">
        <x:v>In remediation</x:v>
      </x:c>
      <x:c r="F11" s="46" t="n">
        <x:v>46280</x:v>
      </x:c>
      <x:c r="G11" s="41" t="str">
        <x:v>AL-PA-2606-007</x:v>
      </x:c>
    </x:row>
    <x:row r="12">
      <x:c r="A12" s="39" t="str">
        <x:v>CB-08</x:v>
      </x:c>
      <x:c r="B12" s="40" t="str">
        <x:v>Control evidence gap 8</x:v>
      </x:c>
      <x:c r="C12" s="40" t="str">
        <x:v>Medium</x:v>
      </x:c>
      <x:c r="D12" s="40" t="str">
        <x:v>Cinder Bay Privacy Office</x:v>
      </x:c>
      <x:c r="E12" s="40" t="str">
        <x:v>In remediation</x:v>
      </x:c>
      <x:c r="F12" s="46" t="n">
        <x:v>46280</x:v>
      </x:c>
      <x:c r="G12" s="41" t="str">
        <x:v>AL-PA-2606-008</x:v>
      </x:c>
    </x:row>
    <x:row r="13">
      <x:c r="A13" s="39" t="str">
        <x:v>CB-09</x:v>
      </x:c>
      <x:c r="B13" s="40" t="str">
        <x:v>Control evidence gap 9</x:v>
      </x:c>
      <x:c r="C13" s="40" t="str">
        <x:v>Medium</x:v>
      </x:c>
      <x:c r="D13" s="40" t="str">
        <x:v>Cinder Bay Privacy Office</x:v>
      </x:c>
      <x:c r="E13" s="40" t="str">
        <x:v>In remediation</x:v>
      </x:c>
      <x:c r="F13" s="46" t="n">
        <x:v>46280</x:v>
      </x:c>
      <x:c r="G13" s="41" t="str">
        <x:v>AL-PA-2606-009</x:v>
      </x:c>
    </x:row>
    <x:row r="14">
      <x:c r="A14" s="39" t="str">
        <x:v>CB-10</x:v>
      </x:c>
      <x:c r="B14" s="40" t="str">
        <x:v>Control evidence gap 10</x:v>
      </x:c>
      <x:c r="C14" s="40" t="str">
        <x:v>Low</x:v>
      </x:c>
      <x:c r="D14" s="40" t="str">
        <x:v>Cinder Bay Privacy Office</x:v>
      </x:c>
      <x:c r="E14" s="40" t="str">
        <x:v>In remediation</x:v>
      </x:c>
      <x:c r="F14" s="46" t="n">
        <x:v>46280</x:v>
      </x:c>
      <x:c r="G14" s="41" t="str">
        <x:v>AL-PA-2606-010</x:v>
      </x:c>
    </x:row>
    <x:row r="15">
      <x:c r="A15" s="39" t="str">
        <x:v>CB-11</x:v>
      </x:c>
      <x:c r="B15" s="40" t="str">
        <x:v>Control evidence gap 11</x:v>
      </x:c>
      <x:c r="C15" s="40" t="str">
        <x:v>Low</x:v>
      </x:c>
      <x:c r="D15" s="40" t="str">
        <x:v>Cinder Bay Privacy Office</x:v>
      </x:c>
      <x:c r="E15" s="40" t="str">
        <x:v>In remediation</x:v>
      </x:c>
      <x:c r="F15" s="46" t="n">
        <x:v>46280</x:v>
      </x:c>
      <x:c r="G15" s="41" t="str">
        <x:v>AL-PA-2606-011</x:v>
      </x:c>
    </x:row>
    <x:row r="16">
      <x:c r="A16" s="42" t="str">
        <x:v>CB-12</x:v>
      </x:c>
      <x:c r="B16" s="43" t="str">
        <x:v>Control evidence gap 12</x:v>
      </x:c>
      <x:c r="C16" s="43" t="str">
        <x:v>Low</x:v>
      </x:c>
      <x:c r="D16" s="43" t="str">
        <x:v>Cinder Bay Privacy Office</x:v>
      </x:c>
      <x:c r="E16" s="43" t="str">
        <x:v>In remediation</x:v>
      </x:c>
      <x:c r="F16" s="47" t="n">
        <x:v>46280</x:v>
      </x:c>
      <x:c r="G16" s="44" t="str">
        <x:v>AL-PA-2606-012</x:v>
      </x:c>
    </x:row>
  </x:sheetData>
  <x:mergeCells>
    <x:mergeCell ref="A1:G1"/>
    <x:mergeCell ref="A2:G2"/>
  </x:mergeCells>
  <x:conditionalFormatting sqref="C5:C16">
    <x:cfRule type="containsText" dxfId="0" priority="1" operator="containsText" text="High"/>
  </x:conditionalFormatting>
  <x:dataValidations count="2">
    <x:dataValidation type="list" sqref="C5:C16">
      <x:formula1>"High,Medium,Low"</x:formula1>
    </x:dataValidation>
    <x:dataValidation type="list" sqref="E5:E16">
      <x:formula1>"Open,In remediation,Closed"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4.670000076293945" hidden="0" customWidth="1"/>
  </x:cols>
  <x:sheetData>
    <x:row r="1" ht="28" customHeight="1">
      <x:c r="A1" s="4" t="str">
        <x:v>Executive Summary</x:v>
      </x:c>
    </x:row>
    <x:row r="2" ht="24" customHeight="1">
      <x:c r="A2" s="6" t="str">
        <x:v>Formula-driven severity mix</x:v>
      </x:c>
    </x:row>
    <x:row r="4">
      <x:c r="A4" s="15" t="str">
        <x:v>Metric</x:v>
      </x:c>
      <x:c r="B4" s="17" t="str">
        <x:v>Value</x:v>
      </x:c>
    </x:row>
    <x:row r="5">
      <x:c r="A5" s="36" t="str">
        <x:v>Total findings</x:v>
      </x:c>
      <x:c r="B5" s="38" t="n">
        <x:f>COUNTA(Findings!A5:A16)</x:f>
        <x:v>12</x:v>
      </x:c>
    </x:row>
    <x:row r="6">
      <x:c r="A6" s="39" t="str">
        <x:v>High</x:v>
      </x:c>
      <x:c r="B6" s="41" t="n">
        <x:f>COUNTIF(Findings!C5:C16,"High")</x:f>
        <x:v>3</x:v>
      </x:c>
    </x:row>
    <x:row r="7">
      <x:c r="A7" s="39" t="str">
        <x:v>Medium</x:v>
      </x:c>
      <x:c r="B7" s="41" t="n">
        <x:f>COUNTIF(Findings!C5:C16,"Medium")</x:f>
        <x:v>6</x:v>
      </x:c>
    </x:row>
    <x:row r="8">
      <x:c r="A8" s="42" t="str">
        <x:v>Low</x:v>
      </x:c>
      <x:c r="B8" s="44" t="n">
        <x:f>COUNTIF(Findings!C5:C16,"Low")</x:f>
        <x:v>3</x:v>
      </x:c>
    </x:row>
  </x:sheetData>
  <x:mergeCells>
    <x:mergeCell ref="A1:C1"/>
    <x:mergeCell ref="A2:C2"/>
  </x:mergeCells>
  <x:pageMargins left="0.7" right="0.7" top="0.75" bottom="0.75" header="0.3" footer="0.3"/>
</x:worksheet>
</file>