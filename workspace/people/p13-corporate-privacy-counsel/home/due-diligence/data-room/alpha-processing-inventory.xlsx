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5d12aa540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ing Inventory" sheetId="1" r:id="Rdc8b46cef3044717"/>
    <x:sheet xmlns:r="http://schemas.openxmlformats.org/officeDocument/2006/relationships" name="Coverage" sheetId="2" r:id="Rc6f9a11881d8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bottom style="thin">
        <x:color rgb="FFE5ECF0"/>
      </x:bottom>
    </x:border>
    <x:border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top style="thin">
        <x:color rgb="FFE5ECF0"/>
      </x:top>
      <x:bottom style="thin">
        <x:color rgb="FFE5ECF0"/>
      </x:bottom>
    </x:border>
    <x:border>
      <x:right style="thin">
        <x:color rgb="FFE5ECF0"/>
      </x:right>
      <x:top style="thin">
        <x:color rgb="FFE5ECF0"/>
      </x:top>
    </x:border>
    <x:border>
      <x:left style="thin">
        <x:color rgb="FFE5ECF0"/>
      </x:left>
      <x:right style="thin">
        <x:color rgb="FFE5ECF0"/>
      </x:right>
      <x:top style="thin">
        <x:color rgb="FFE5ECF0"/>
      </x:top>
    </x:border>
    <x:border>
      <x:left style="thin">
        <x:color rgb="FFE5ECF0"/>
      </x:left>
      <x:top style="thin">
        <x:color rgb="FFE5ECF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c206c1aad4d78" /><Relationship Type="http://schemas.openxmlformats.org/officeDocument/2006/relationships/theme" Target="/xl/theme/theme1.xml" Id="R5b607aea6f06441d" /><Relationship Type="http://schemas.openxmlformats.org/officeDocument/2006/relationships/sharedStrings" Target="/xl/sharedStrings.xml" Id="R648fe0e4bc124894" /><Relationship Type="http://schemas.openxmlformats.org/officeDocument/2006/relationships/worksheet" Target="/xl/worksheets/sheet1.xml" Id="Rdc8b46cef3044717" /><Relationship Type="http://schemas.openxmlformats.org/officeDocument/2006/relationships/worksheet" Target="/xl/worksheets/sheet2.xml" Id="Rc6f9a11881d846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5" hidden="0" customWidth="1"/>
    <x:col min="3" max="3" width="25" hidden="0" customWidth="1"/>
    <x:col min="4" max="4" width="25" hidden="0" customWidth="1"/>
    <x:col min="5" max="5" width="6" hidden="0" customWidth="1"/>
    <x:col min="6" max="6" width="15.329999923706055" hidden="0" customWidth="1"/>
    <x:col min="7" max="7" width="13.890000343322754" hidden="0" customWidth="1"/>
    <x:col min="8" max="8" width="10.220000267028809" hidden="0" customWidth="1"/>
  </x:cols>
  <x:sheetData>
    <x:row r="1" ht="28" customHeight="1">
      <x:c r="A1" s="4" t="str">
        <x:v>Matter Alpha | Processing Inventory</x:v>
      </x:c>
    </x:row>
    <x:row r="2" ht="24" customHeight="1">
      <x:c r="A2" s="6" t="str">
        <x:v>AL-PA-2606 | synthetic operational data map</x:v>
      </x:c>
    </x:row>
    <x:row r="4">
      <x:c r="A4" s="15" t="str">
        <x:v>Activity ID</x:v>
      </x:c>
      <x:c r="B4" s="16" t="str">
        <x:v>Business Process</x:v>
      </x:c>
      <x:c r="C4" s="16" t="str">
        <x:v>Data Category</x:v>
      </x:c>
      <x:c r="D4" s="16" t="str">
        <x:v>Purpose</x:v>
      </x:c>
      <x:c r="E4" s="16" t="str">
        <x:v>Region</x:v>
      </x:c>
      <x:c r="F4" s="16" t="str">
        <x:v>Retention (months)</x:v>
      </x:c>
      <x:c r="G4" s="16" t="str">
        <x:v>Lawful Basis</x:v>
      </x:c>
      <x:c r="H4" s="17" t="str">
        <x:v>Review Date</x:v>
      </x:c>
    </x:row>
    <x:row r="5">
      <x:c r="A5" s="36" t="str">
        <x:v>PA-01</x:v>
      </x:c>
      <x:c r="B5" s="37" t="str">
        <x:v>Customer onboarding</x:v>
      </x:c>
      <x:c r="C5" s="37" t="str">
        <x:v>Account identifiers</x:v>
      </x:c>
      <x:c r="D5" s="37" t="str">
        <x:v>Service delivery</x:v>
      </x:c>
      <x:c r="E5" s="37" t="str">
        <x:v>US</x:v>
      </x:c>
      <x:c r="F5" s="45" t="n">
        <x:v>24</x:v>
      </x:c>
      <x:c r="G5" s="37" t="str">
        <x:v>Contract</x:v>
      </x:c>
      <x:c r="H5" s="48" t="n">
        <x:v>46203</x:v>
      </x:c>
    </x:row>
    <x:row r="6">
      <x:c r="A6" s="39" t="str">
        <x:v>PA-02</x:v>
      </x:c>
      <x:c r="B6" s="40" t="str">
        <x:v>Product analytics</x:v>
      </x:c>
      <x:c r="C6" s="40" t="str">
        <x:v>Pseudonymous events</x:v>
      </x:c>
      <x:c r="D6" s="40" t="str">
        <x:v>Service improvement</x:v>
      </x:c>
      <x:c r="E6" s="40" t="str">
        <x:v>EU</x:v>
      </x:c>
      <x:c r="F6" s="46" t="n">
        <x:v>13</x:v>
      </x:c>
      <x:c r="G6" s="40" t="str">
        <x:v>Legitimate interest</x:v>
      </x:c>
      <x:c r="H6" s="49" t="n">
        <x:v>46203</x:v>
      </x:c>
    </x:row>
    <x:row r="7">
      <x:c r="A7" s="39" t="str">
        <x:v>PA-03</x:v>
      </x:c>
      <x:c r="B7" s="40" t="str">
        <x:v>Support operations</x:v>
      </x:c>
      <x:c r="C7" s="40" t="str">
        <x:v>Support content</x:v>
      </x:c>
      <x:c r="D7" s="40" t="str">
        <x:v>Case resolution</x:v>
      </x:c>
      <x:c r="E7" s="40" t="str">
        <x:v>US</x:v>
      </x:c>
      <x:c r="F7" s="46" t="n">
        <x:v>18</x:v>
      </x:c>
      <x:c r="G7" s="40" t="str">
        <x:v>Contract</x:v>
      </x:c>
      <x:c r="H7" s="49" t="n">
        <x:v>46203</x:v>
      </x:c>
    </x:row>
    <x:row r="8">
      <x:c r="A8" s="42" t="str">
        <x:v>PA-04</x:v>
      </x:c>
      <x:c r="B8" s="43" t="str">
        <x:v>Security logging</x:v>
      </x:c>
      <x:c r="C8" s="43" t="str">
        <x:v>Device telemetry</x:v>
      </x:c>
      <x:c r="D8" s="43" t="str">
        <x:v>Security monitoring</x:v>
      </x:c>
      <x:c r="E8" s="43" t="str">
        <x:v>Global</x:v>
      </x:c>
      <x:c r="F8" s="47" t="n">
        <x:v>12</x:v>
      </x:c>
      <x:c r="G8" s="43" t="str">
        <x:v>Legitimate interest</x:v>
      </x:c>
      <x:c r="H8" s="50" t="n">
        <x:v>46203</x:v>
      </x:c>
    </x:row>
  </x:sheetData>
  <x:mergeCells>
    <x:mergeCell ref="A1:H1"/>
    <x:mergeCell ref="A2:H2"/>
  </x:mergeCells>
  <x:dataValidations count="1">
    <x:dataValidation type="list" sqref="G5:G8">
      <x:formula1>"Contract,Legitimate interest,Consent"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4.670000076293945" hidden="0" customWidth="1"/>
  </x:cols>
  <x:sheetData>
    <x:row r="1" ht="28" customHeight="1">
      <x:c r="A1" s="4" t="str">
        <x:v>Inventory Coverage</x:v>
      </x:c>
    </x:row>
    <x:row r="2" ht="24" customHeight="1">
      <x:c r="A2" s="6" t="str">
        <x:v>Formula-driven review indicators</x:v>
      </x:c>
    </x:row>
    <x:row r="4">
      <x:c r="A4" s="15" t="str">
        <x:v>Metric</x:v>
      </x:c>
      <x:c r="B4" s="17" t="str">
        <x:v>Value</x:v>
      </x:c>
    </x:row>
    <x:row r="5">
      <x:c r="A5" s="36" t="str">
        <x:v>Activities</x:v>
      </x:c>
      <x:c r="B5" s="38" t="n">
        <x:f>COUNTA('Processing Inventory'!A5:A8)</x:f>
        <x:v>4</x:v>
      </x:c>
    </x:row>
    <x:row r="6">
      <x:c r="A6" s="39" t="str">
        <x:v>Global activities</x:v>
      </x:c>
      <x:c r="B6" s="41" t="n">
        <x:f>COUNTIF('Processing Inventory'!E5:E8,"Global")</x:f>
        <x:v>1</x:v>
      </x:c>
    </x:row>
    <x:row r="7">
      <x:c r="A7" s="42" t="str">
        <x:v>Average retention</x:v>
      </x:c>
      <x:c r="B7" s="51" t="n">
        <x:f>AVERAGE('Processing Inventory'!F5:F8)</x:f>
        <x:v>16.75</x:v>
      </x:c>
    </x:row>
  </x:sheetData>
  <x:mergeCells>
    <x:mergeCell ref="A1:C1"/>
    <x:mergeCell ref="A2:C2"/>
  </x:mergeCells>
  <x:pageMargins left="0.7" right="0.7" top="0.75" bottom="0.75" header="0.3" footer="0.3"/>
</x:worksheet>
</file>