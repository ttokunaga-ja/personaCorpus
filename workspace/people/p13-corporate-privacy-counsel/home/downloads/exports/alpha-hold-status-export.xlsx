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8b664e1a7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79634b319d4324"/>
    <x:sheet xmlns:r="http://schemas.openxmlformats.org/officeDocument/2006/relationships" name="Custodian Status" sheetId="2" r:id="R03627b18075d4089"/>
    <x:sheet xmlns:r="http://schemas.openxmlformats.org/officeDocument/2006/relationships" name="Exception Register" sheetId="3" r:id="Rb3c719abcd4d4059"/>
    <x:sheet xmlns:r="http://schemas.openxmlformats.org/officeDocument/2006/relationships" name="Controls" sheetId="4" r:id="R397b5d7afe13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14529780d4ffb" /><Relationship Type="http://schemas.openxmlformats.org/officeDocument/2006/relationships/theme" Target="/xl/theme/theme1.xml" Id="R5dd397dec6034b44" /><Relationship Type="http://schemas.openxmlformats.org/officeDocument/2006/relationships/sharedStrings" Target="/xl/sharedStrings.xml" Id="R24d47e5f2f2e4f7a" /><Relationship Type="http://schemas.openxmlformats.org/officeDocument/2006/relationships/worksheet" Target="/xl/worksheets/sheet1.xml" Id="R7b79634b319d4324" /><Relationship Type="http://schemas.openxmlformats.org/officeDocument/2006/relationships/worksheet" Target="/xl/worksheets/sheet2.xml" Id="R03627b18075d4089" /><Relationship Type="http://schemas.openxmlformats.org/officeDocument/2006/relationships/worksheet" Target="/xl/worksheets/sheet3.xml" Id="Rb3c719abcd4d4059" /><Relationship Type="http://schemas.openxmlformats.org/officeDocument/2006/relationships/worksheet" Target="/xl/worksheets/sheet4.xml" Id="R397b5d7afe134f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4" hidden="0" customWidth="1"/>
    <x:col min="4" max="4" width="23" hidden="0" customWidth="1"/>
    <x:col min="5" max="5" width="18" hidden="0" customWidth="1"/>
    <x:col min="6" max="6" width="14" hidden="0" customWidth="1"/>
  </x:cols>
  <x:sheetData>
    <x:row r="1" ht="28" customHeight="1">
      <x:c r="A1" s="3" t="str">
        <x:v>ASTER LEGAL | MATTER ALPHA HOLD STATUS</x:v>
      </x:c>
      <x:c r="B1" s="3" t="str">
        <x:v>ASTER LEGAL | MATTER ALPHA HOLD STATUS</x:v>
      </x:c>
      <x:c r="C1" s="3" t="str">
        <x:v>ASTER LEGAL | MATTER ALPHA HOLD STATUS</x:v>
      </x:c>
      <x:c r="D1" s="3" t="str">
        <x:v>ASTER LEGAL | MATTER ALPHA HOLD STATUS</x:v>
      </x:c>
      <x:c r="E1" s="3" t="str">
        <x:v>ASTER LEGAL | MATTER ALPHA HOLD STATUS</x:v>
      </x:c>
      <x:c r="F1" s="3" t="str">
        <x:v>ASTER LEGAL | MATTER ALPHA HOLD STATUS</x:v>
      </x:c>
    </x:row>
    <x:row r="3">
      <x:c r="A3" s="5" t="str">
        <x:v>Audit ID</x:v>
      </x:c>
      <x:c r="B3" t="str">
        <x:v>AL-PA-2606</x:v>
      </x:c>
      <x:c r="D3" s="12" t="str">
        <x:v>Metric</x:v>
      </x:c>
      <x:c r="E3" s="12" t="str">
        <x:v>Formula result</x:v>
      </x:c>
    </x:row>
    <x:row r="4">
      <x:c r="A4" s="5" t="str">
        <x:v>Matter</x:v>
      </x:c>
      <x:c r="B4" t="str">
        <x:v>Matter Alpha</x:v>
      </x:c>
      <x:c r="D4" t="str">
        <x:v>Custodians targeted</x:v>
      </x:c>
      <x:c r="E4" t="n">
        <x:f>COUNTA('Custodian Status'!A4:A45)</x:f>
        <x:v>42</x:v>
      </x:c>
    </x:row>
    <x:row r="5">
      <x:c r="A5" s="5" t="str">
        <x:v>Hold activation</x:v>
      </x:c>
      <x:c r="B5" s="6" t="n">
        <x:v>46203</x:v>
      </x:c>
      <x:c r="D5" t="str">
        <x:v>Acknowledged</x:v>
      </x:c>
      <x:c r="E5" t="n">
        <x:f>COUNTIF('Custodian Status'!F4:F45,"Acknowledged")</x:f>
        <x:v>42</x:v>
      </x:c>
    </x:row>
    <x:row r="6">
      <x:c r="A6" s="5" t="str">
        <x:v>Exception deadline</x:v>
      </x:c>
      <x:c r="B6" s="6" t="n">
        <x:v>46215</x:v>
      </x:c>
      <x:c r="D6" t="str">
        <x:v>Open exceptions</x:v>
      </x:c>
      <x:c r="E6" t="n">
        <x:f>COUNTIF('Exception Register'!G4:G8,"Open")</x:f>
        <x:v>0</x:v>
      </x:c>
    </x:row>
    <x:row r="7">
      <x:c r="A7" s="5" t="str">
        <x:v>Organization</x:v>
      </x:c>
      <x:c r="B7" t="str">
        <x:v>Aster Legal</x:v>
      </x:c>
      <x:c r="D7" t="str">
        <x:v>Closed exceptions</x:v>
      </x:c>
      <x:c r="E7" t="n">
        <x:f>COUNTIF('Exception Register'!G4:G8,"Closed")</x:f>
        <x:v>5</x:v>
      </x:c>
    </x:row>
    <x:row r="8">
      <x:c r="A8" s="5" t="str">
        <x:v>Synthetic record</x:v>
      </x:c>
      <x:c r="B8" t="str">
        <x:v>Yes</x:v>
      </x:c>
      <x:c r="D8" t="str">
        <x:v>Reconciliation</x:v>
      </x:c>
      <x:c r="E8" t="str">
        <x:f>IF(AND(E4=42,E5=42,E6=0,E7=5),"PASS","REVIEW")</x:f>
        <x:v>PASS</x:v>
      </x:c>
    </x:row>
    <x:row r="9">
      <x:c r="A9" s="5" t="str">
        <x:v>Control purpose</x:v>
      </x:c>
      <x:c r="B9" t="str">
        <x:v>Preservation readiness</x:v>
      </x:c>
    </x:row>
  </x:sheetData>
  <x:mergeCells>
    <x:mergeCell ref="A1:F1"/>
  </x:mergeCells>
  <x:conditionalFormatting sqref="E8:E8">
    <x:cfRule type="containsText" dxfId="0" priority="1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5" hidden="0" customWidth="1"/>
    <x:col min="5" max="5" width="20" hidden="0" customWidth="1"/>
    <x:col min="6" max="6" width="16" hidden="0" customWidth="1"/>
    <x:col min="7" max="7" width="24" hidden="0" customWidth="1"/>
    <x:col min="8" max="8" width="15" hidden="0" customWidth="1"/>
  </x:cols>
  <x:sheetData>
    <x:row r="1" ht="28" customHeight="1">
      <x:c r="A1" s="3" t="str">
        <x:v>CUSTODIAN HOLD STATUS EXPORT</x:v>
      </x:c>
      <x:c r="B1" s="3" t="str">
        <x:v>CUSTODIAN HOLD STATUS EXPORT</x:v>
      </x:c>
      <x:c r="C1" s="3" t="str">
        <x:v>CUSTODIAN HOLD STATUS EXPORT</x:v>
      </x:c>
      <x:c r="D1" s="3" t="str">
        <x:v>CUSTODIAN HOLD STATUS EXPORT</x:v>
      </x:c>
      <x:c r="E1" s="3" t="str">
        <x:v>CUSTODIAN HOLD STATUS EXPORT</x:v>
      </x:c>
      <x:c r="F1" s="3" t="str">
        <x:v>CUSTODIAN HOLD STATUS EXPORT</x:v>
      </x:c>
      <x:c r="G1" s="3" t="str">
        <x:v>CUSTODIAN HOLD STATUS EXPORT</x:v>
      </x:c>
      <x:c r="H1" s="3" t="str">
        <x:v>CUSTODIAN HOLD STATUS EXPORT</x:v>
      </x:c>
    </x:row>
    <x:row r="3">
      <x:c r="A3" s="13" t="str">
        <x:v>Custodian ID</x:v>
      </x:c>
      <x:c r="B3" s="13" t="str">
        <x:v>Alias</x:v>
      </x:c>
      <x:c r="C3" s="13" t="str">
        <x:v>Matter</x:v>
      </x:c>
      <x:c r="D3" s="13" t="str">
        <x:v>Notice date</x:v>
      </x:c>
      <x:c r="E3" s="13" t="str">
        <x:v>Acknowledgment date</x:v>
      </x:c>
      <x:c r="F3" s="13" t="str">
        <x:v>Status</x:v>
      </x:c>
      <x:c r="G3" s="13" t="str">
        <x:v>Record class</x:v>
      </x:c>
      <x:c r="H3" s="13" t="str">
        <x:v>Review flag</x:v>
      </x:c>
    </x:row>
    <x:row r="4">
      <x:c r="A4" s="14" t="str">
        <x:v>CUS-AL-001</x:v>
      </x:c>
      <x:c r="B4" s="14" t="str">
        <x:v>custodian-01</x:v>
      </x:c>
      <x:c r="C4" s="14" t="str">
        <x:v>Matter Alpha</x:v>
      </x:c>
      <x:c r="D4" s="15" t="n">
        <x:v>46203</x:v>
      </x:c>
      <x:c r="E4" s="15" t="n">
        <x:v>46205</x:v>
      </x:c>
      <x:c r="F4" s="14" t="str">
        <x:v>Acknowledged</x:v>
      </x:c>
      <x:c r="G4" s="14" t="str">
        <x:v>Business records</x:v>
      </x:c>
      <x:c r="H4" s="14" t="str">
        <x:v>Clear</x:v>
      </x:c>
    </x:row>
    <x:row r="5">
      <x:c r="A5" s="14" t="str">
        <x:v>CUS-AL-002</x:v>
      </x:c>
      <x:c r="B5" s="14" t="str">
        <x:v>custodian-02</x:v>
      </x:c>
      <x:c r="C5" s="14" t="str">
        <x:v>Matter Alpha</x:v>
      </x:c>
      <x:c r="D5" s="15" t="n">
        <x:v>46203</x:v>
      </x:c>
      <x:c r="E5" s="15" t="n">
        <x:v>46206</x:v>
      </x:c>
      <x:c r="F5" s="14" t="str">
        <x:v>Acknowledged</x:v>
      </x:c>
      <x:c r="G5" s="14" t="str">
        <x:v>Business records</x:v>
      </x:c>
      <x:c r="H5" s="14" t="str">
        <x:v>Clear</x:v>
      </x:c>
    </x:row>
    <x:row r="6">
      <x:c r="A6" s="14" t="str">
        <x:v>CUS-AL-003</x:v>
      </x:c>
      <x:c r="B6" s="14" t="str">
        <x:v>custodian-03</x:v>
      </x:c>
      <x:c r="C6" s="14" t="str">
        <x:v>Matter Alpha</x:v>
      </x:c>
      <x:c r="D6" s="15" t="n">
        <x:v>46203</x:v>
      </x:c>
      <x:c r="E6" s="15" t="n">
        <x:v>46207</x:v>
      </x:c>
      <x:c r="F6" s="14" t="str">
        <x:v>Acknowledged</x:v>
      </x:c>
      <x:c r="G6" s="14" t="str">
        <x:v>Business records</x:v>
      </x:c>
      <x:c r="H6" s="14" t="str">
        <x:v>Clear</x:v>
      </x:c>
    </x:row>
    <x:row r="7">
      <x:c r="A7" s="14" t="str">
        <x:v>CUS-AL-004</x:v>
      </x:c>
      <x:c r="B7" s="14" t="str">
        <x:v>custodian-04</x:v>
      </x:c>
      <x:c r="C7" s="14" t="str">
        <x:v>Matter Alpha</x:v>
      </x:c>
      <x:c r="D7" s="15" t="n">
        <x:v>46203</x:v>
      </x:c>
      <x:c r="E7" s="15" t="n">
        <x:v>46208</x:v>
      </x:c>
      <x:c r="F7" s="14" t="str">
        <x:v>Acknowledged</x:v>
      </x:c>
      <x:c r="G7" s="14" t="str">
        <x:v>Business records</x:v>
      </x:c>
      <x:c r="H7" s="14" t="str">
        <x:v>Clear</x:v>
      </x:c>
    </x:row>
    <x:row r="8">
      <x:c r="A8" s="14" t="str">
        <x:v>CUS-AL-005</x:v>
      </x:c>
      <x:c r="B8" s="14" t="str">
        <x:v>custodian-05</x:v>
      </x:c>
      <x:c r="C8" s="14" t="str">
        <x:v>Matter Alpha</x:v>
      </x:c>
      <x:c r="D8" s="15" t="n">
        <x:v>46203</x:v>
      </x:c>
      <x:c r="E8" s="15" t="n">
        <x:v>46209</x:v>
      </x:c>
      <x:c r="F8" s="14" t="str">
        <x:v>Acknowledged</x:v>
      </x:c>
      <x:c r="G8" s="14" t="str">
        <x:v>Business records</x:v>
      </x:c>
      <x:c r="H8" s="14" t="str">
        <x:v>Clear</x:v>
      </x:c>
    </x:row>
    <x:row r="9">
      <x:c r="A9" s="14" t="str">
        <x:v>CUS-AL-006</x:v>
      </x:c>
      <x:c r="B9" s="14" t="str">
        <x:v>custodian-06</x:v>
      </x:c>
      <x:c r="C9" s="14" t="str">
        <x:v>Matter Alpha</x:v>
      </x:c>
      <x:c r="D9" s="15" t="n">
        <x:v>46203</x:v>
      </x:c>
      <x:c r="E9" s="15" t="n">
        <x:v>46210</x:v>
      </x:c>
      <x:c r="F9" s="14" t="str">
        <x:v>Acknowledged</x:v>
      </x:c>
      <x:c r="G9" s="14" t="str">
        <x:v>Business records</x:v>
      </x:c>
      <x:c r="H9" s="14" t="str">
        <x:v>Clear</x:v>
      </x:c>
    </x:row>
    <x:row r="10">
      <x:c r="A10" s="14" t="str">
        <x:v>CUS-AL-007</x:v>
      </x:c>
      <x:c r="B10" s="14" t="str">
        <x:v>custodian-07</x:v>
      </x:c>
      <x:c r="C10" s="14" t="str">
        <x:v>Matter Alpha</x:v>
      </x:c>
      <x:c r="D10" s="15" t="n">
        <x:v>46203</x:v>
      </x:c>
      <x:c r="E10" s="15" t="n">
        <x:v>46211</x:v>
      </x:c>
      <x:c r="F10" s="14" t="str">
        <x:v>Acknowledged</x:v>
      </x:c>
      <x:c r="G10" s="14" t="str">
        <x:v>Business records</x:v>
      </x:c>
      <x:c r="H10" s="14" t="str">
        <x:v>Clear</x:v>
      </x:c>
    </x:row>
    <x:row r="11">
      <x:c r="A11" s="14" t="str">
        <x:v>CUS-AL-008</x:v>
      </x:c>
      <x:c r="B11" s="14" t="str">
        <x:v>custodian-08</x:v>
      </x:c>
      <x:c r="C11" s="14" t="str">
        <x:v>Matter Alpha</x:v>
      </x:c>
      <x:c r="D11" s="15" t="n">
        <x:v>46203</x:v>
      </x:c>
      <x:c r="E11" s="15" t="n">
        <x:v>46212</x:v>
      </x:c>
      <x:c r="F11" s="14" t="str">
        <x:v>Acknowledged</x:v>
      </x:c>
      <x:c r="G11" s="14" t="str">
        <x:v>Business records</x:v>
      </x:c>
      <x:c r="H11" s="14" t="str">
        <x:v>Clear</x:v>
      </x:c>
    </x:row>
    <x:row r="12">
      <x:c r="A12" s="14" t="str">
        <x:v>CUS-AL-009</x:v>
      </x:c>
      <x:c r="B12" s="14" t="str">
        <x:v>custodian-09</x:v>
      </x:c>
      <x:c r="C12" s="14" t="str">
        <x:v>Matter Alpha</x:v>
      </x:c>
      <x:c r="D12" s="15" t="n">
        <x:v>46203</x:v>
      </x:c>
      <x:c r="E12" s="15" t="n">
        <x:v>46204</x:v>
      </x:c>
      <x:c r="F12" s="14" t="str">
        <x:v>Acknowledged</x:v>
      </x:c>
      <x:c r="G12" s="14" t="str">
        <x:v>Business records</x:v>
      </x:c>
      <x:c r="H12" s="14" t="str">
        <x:v>Clear</x:v>
      </x:c>
    </x:row>
    <x:row r="13">
      <x:c r="A13" s="14" t="str">
        <x:v>CUS-AL-010</x:v>
      </x:c>
      <x:c r="B13" s="14" t="str">
        <x:v>custodian-10</x:v>
      </x:c>
      <x:c r="C13" s="14" t="str">
        <x:v>Matter Alpha</x:v>
      </x:c>
      <x:c r="D13" s="15" t="n">
        <x:v>46203</x:v>
      </x:c>
      <x:c r="E13" s="15" t="n">
        <x:v>46205</x:v>
      </x:c>
      <x:c r="F13" s="14" t="str">
        <x:v>Acknowledged</x:v>
      </x:c>
      <x:c r="G13" s="14" t="str">
        <x:v>Business records</x:v>
      </x:c>
      <x:c r="H13" s="14" t="str">
        <x:v>Clear</x:v>
      </x:c>
    </x:row>
    <x:row r="14">
      <x:c r="A14" s="14" t="str">
        <x:v>CUS-AL-011</x:v>
      </x:c>
      <x:c r="B14" s="14" t="str">
        <x:v>custodian-11</x:v>
      </x:c>
      <x:c r="C14" s="14" t="str">
        <x:v>Matter Alpha</x:v>
      </x:c>
      <x:c r="D14" s="15" t="n">
        <x:v>46203</x:v>
      </x:c>
      <x:c r="E14" s="15" t="n">
        <x:v>46206</x:v>
      </x:c>
      <x:c r="F14" s="14" t="str">
        <x:v>Acknowledged</x:v>
      </x:c>
      <x:c r="G14" s="14" t="str">
        <x:v>Business records</x:v>
      </x:c>
      <x:c r="H14" s="14" t="str">
        <x:v>Clear</x:v>
      </x:c>
    </x:row>
    <x:row r="15">
      <x:c r="A15" s="14" t="str">
        <x:v>CUS-AL-012</x:v>
      </x:c>
      <x:c r="B15" s="14" t="str">
        <x:v>custodian-12</x:v>
      </x:c>
      <x:c r="C15" s="14" t="str">
        <x:v>Matter Alpha</x:v>
      </x:c>
      <x:c r="D15" s="15" t="n">
        <x:v>46203</x:v>
      </x:c>
      <x:c r="E15" s="15" t="n">
        <x:v>46207</x:v>
      </x:c>
      <x:c r="F15" s="14" t="str">
        <x:v>Acknowledged</x:v>
      </x:c>
      <x:c r="G15" s="14" t="str">
        <x:v>Business records</x:v>
      </x:c>
      <x:c r="H15" s="14" t="str">
        <x:v>Clear</x:v>
      </x:c>
    </x:row>
    <x:row r="16">
      <x:c r="A16" s="14" t="str">
        <x:v>CUS-AL-013</x:v>
      </x:c>
      <x:c r="B16" s="14" t="str">
        <x:v>custodian-13</x:v>
      </x:c>
      <x:c r="C16" s="14" t="str">
        <x:v>Matter Alpha</x:v>
      </x:c>
      <x:c r="D16" s="15" t="n">
        <x:v>46203</x:v>
      </x:c>
      <x:c r="E16" s="15" t="n">
        <x:v>46208</x:v>
      </x:c>
      <x:c r="F16" s="14" t="str">
        <x:v>Acknowledged</x:v>
      </x:c>
      <x:c r="G16" s="14" t="str">
        <x:v>Business records</x:v>
      </x:c>
      <x:c r="H16" s="14" t="str">
        <x:v>Clear</x:v>
      </x:c>
    </x:row>
    <x:row r="17">
      <x:c r="A17" s="14" t="str">
        <x:v>CUS-AL-014</x:v>
      </x:c>
      <x:c r="B17" s="14" t="str">
        <x:v>custodian-14</x:v>
      </x:c>
      <x:c r="C17" s="14" t="str">
        <x:v>Matter Alpha</x:v>
      </x:c>
      <x:c r="D17" s="15" t="n">
        <x:v>46203</x:v>
      </x:c>
      <x:c r="E17" s="15" t="n">
        <x:v>46209</x:v>
      </x:c>
      <x:c r="F17" s="14" t="str">
        <x:v>Acknowledged</x:v>
      </x:c>
      <x:c r="G17" s="14" t="str">
        <x:v>Business records</x:v>
      </x:c>
      <x:c r="H17" s="14" t="str">
        <x:v>Clear</x:v>
      </x:c>
    </x:row>
    <x:row r="18">
      <x:c r="A18" s="14" t="str">
        <x:v>CUS-AL-015</x:v>
      </x:c>
      <x:c r="B18" s="14" t="str">
        <x:v>custodian-15</x:v>
      </x:c>
      <x:c r="C18" s="14" t="str">
        <x:v>Matter Alpha</x:v>
      </x:c>
      <x:c r="D18" s="15" t="n">
        <x:v>46203</x:v>
      </x:c>
      <x:c r="E18" s="15" t="n">
        <x:v>46210</x:v>
      </x:c>
      <x:c r="F18" s="14" t="str">
        <x:v>Acknowledged</x:v>
      </x:c>
      <x:c r="G18" s="14" t="str">
        <x:v>Business records</x:v>
      </x:c>
      <x:c r="H18" s="14" t="str">
        <x:v>Clear</x:v>
      </x:c>
    </x:row>
    <x:row r="19">
      <x:c r="A19" s="14" t="str">
        <x:v>CUS-AL-016</x:v>
      </x:c>
      <x:c r="B19" s="14" t="str">
        <x:v>custodian-16</x:v>
      </x:c>
      <x:c r="C19" s="14" t="str">
        <x:v>Matter Alpha</x:v>
      </x:c>
      <x:c r="D19" s="15" t="n">
        <x:v>46203</x:v>
      </x:c>
      <x:c r="E19" s="15" t="n">
        <x:v>46211</x:v>
      </x:c>
      <x:c r="F19" s="14" t="str">
        <x:v>Acknowledged</x:v>
      </x:c>
      <x:c r="G19" s="14" t="str">
        <x:v>Business records</x:v>
      </x:c>
      <x:c r="H19" s="14" t="str">
        <x:v>Clear</x:v>
      </x:c>
    </x:row>
    <x:row r="20">
      <x:c r="A20" s="14" t="str">
        <x:v>CUS-AL-017</x:v>
      </x:c>
      <x:c r="B20" s="14" t="str">
        <x:v>custodian-17</x:v>
      </x:c>
      <x:c r="C20" s="14" t="str">
        <x:v>Matter Alpha</x:v>
      </x:c>
      <x:c r="D20" s="15" t="n">
        <x:v>46203</x:v>
      </x:c>
      <x:c r="E20" s="15" t="n">
        <x:v>46212</x:v>
      </x:c>
      <x:c r="F20" s="14" t="str">
        <x:v>Acknowledged</x:v>
      </x:c>
      <x:c r="G20" s="14" t="str">
        <x:v>Business records</x:v>
      </x:c>
      <x:c r="H20" s="14" t="str">
        <x:v>Clear</x:v>
      </x:c>
    </x:row>
    <x:row r="21">
      <x:c r="A21" s="14" t="str">
        <x:v>CUS-AL-018</x:v>
      </x:c>
      <x:c r="B21" s="14" t="str">
        <x:v>custodian-18</x:v>
      </x:c>
      <x:c r="C21" s="14" t="str">
        <x:v>Matter Alpha</x:v>
      </x:c>
      <x:c r="D21" s="15" t="n">
        <x:v>46203</x:v>
      </x:c>
      <x:c r="E21" s="15" t="n">
        <x:v>46204</x:v>
      </x:c>
      <x:c r="F21" s="14" t="str">
        <x:v>Acknowledged</x:v>
      </x:c>
      <x:c r="G21" s="14" t="str">
        <x:v>Business records</x:v>
      </x:c>
      <x:c r="H21" s="14" t="str">
        <x:v>Clear</x:v>
      </x:c>
    </x:row>
    <x:row r="22">
      <x:c r="A22" s="14" t="str">
        <x:v>CUS-AL-019</x:v>
      </x:c>
      <x:c r="B22" s="14" t="str">
        <x:v>custodian-19</x:v>
      </x:c>
      <x:c r="C22" s="14" t="str">
        <x:v>Matter Alpha</x:v>
      </x:c>
      <x:c r="D22" s="15" t="n">
        <x:v>46203</x:v>
      </x:c>
      <x:c r="E22" s="15" t="n">
        <x:v>46205</x:v>
      </x:c>
      <x:c r="F22" s="14" t="str">
        <x:v>Acknowledged</x:v>
      </x:c>
      <x:c r="G22" s="14" t="str">
        <x:v>Business records</x:v>
      </x:c>
      <x:c r="H22" s="14" t="str">
        <x:v>Clear</x:v>
      </x:c>
    </x:row>
    <x:row r="23">
      <x:c r="A23" s="14" t="str">
        <x:v>CUS-AL-020</x:v>
      </x:c>
      <x:c r="B23" s="14" t="str">
        <x:v>custodian-20</x:v>
      </x:c>
      <x:c r="C23" s="14" t="str">
        <x:v>Matter Alpha</x:v>
      </x:c>
      <x:c r="D23" s="15" t="n">
        <x:v>46203</x:v>
      </x:c>
      <x:c r="E23" s="15" t="n">
        <x:v>46206</x:v>
      </x:c>
      <x:c r="F23" s="14" t="str">
        <x:v>Acknowledged</x:v>
      </x:c>
      <x:c r="G23" s="14" t="str">
        <x:v>Business records</x:v>
      </x:c>
      <x:c r="H23" s="14" t="str">
        <x:v>Clear</x:v>
      </x:c>
    </x:row>
    <x:row r="24">
      <x:c r="A24" s="14" t="str">
        <x:v>CUS-AL-021</x:v>
      </x:c>
      <x:c r="B24" s="14" t="str">
        <x:v>custodian-21</x:v>
      </x:c>
      <x:c r="C24" s="14" t="str">
        <x:v>Matter Alpha</x:v>
      </x:c>
      <x:c r="D24" s="15" t="n">
        <x:v>46203</x:v>
      </x:c>
      <x:c r="E24" s="15" t="n">
        <x:v>46207</x:v>
      </x:c>
      <x:c r="F24" s="14" t="str">
        <x:v>Acknowledged</x:v>
      </x:c>
      <x:c r="G24" s="14" t="str">
        <x:v>Business records</x:v>
      </x:c>
      <x:c r="H24" s="14" t="str">
        <x:v>Clear</x:v>
      </x:c>
    </x:row>
    <x:row r="25">
      <x:c r="A25" s="14" t="str">
        <x:v>CUS-AL-022</x:v>
      </x:c>
      <x:c r="B25" s="14" t="str">
        <x:v>custodian-22</x:v>
      </x:c>
      <x:c r="C25" s="14" t="str">
        <x:v>Matter Alpha</x:v>
      </x:c>
      <x:c r="D25" s="15" t="n">
        <x:v>46203</x:v>
      </x:c>
      <x:c r="E25" s="15" t="n">
        <x:v>46208</x:v>
      </x:c>
      <x:c r="F25" s="14" t="str">
        <x:v>Acknowledged</x:v>
      </x:c>
      <x:c r="G25" s="14" t="str">
        <x:v>Business records</x:v>
      </x:c>
      <x:c r="H25" s="14" t="str">
        <x:v>Clear</x:v>
      </x:c>
    </x:row>
    <x:row r="26">
      <x:c r="A26" s="14" t="str">
        <x:v>CUS-AL-023</x:v>
      </x:c>
      <x:c r="B26" s="14" t="str">
        <x:v>custodian-23</x:v>
      </x:c>
      <x:c r="C26" s="14" t="str">
        <x:v>Matter Alpha</x:v>
      </x:c>
      <x:c r="D26" s="15" t="n">
        <x:v>46203</x:v>
      </x:c>
      <x:c r="E26" s="15" t="n">
        <x:v>46209</x:v>
      </x:c>
      <x:c r="F26" s="14" t="str">
        <x:v>Acknowledged</x:v>
      </x:c>
      <x:c r="G26" s="14" t="str">
        <x:v>Business records</x:v>
      </x:c>
      <x:c r="H26" s="14" t="str">
        <x:v>Clear</x:v>
      </x:c>
    </x:row>
    <x:row r="27">
      <x:c r="A27" s="14" t="str">
        <x:v>CUS-AL-024</x:v>
      </x:c>
      <x:c r="B27" s="14" t="str">
        <x:v>custodian-24</x:v>
      </x:c>
      <x:c r="C27" s="14" t="str">
        <x:v>Matter Alpha</x:v>
      </x:c>
      <x:c r="D27" s="15" t="n">
        <x:v>46203</x:v>
      </x:c>
      <x:c r="E27" s="15" t="n">
        <x:v>46210</x:v>
      </x:c>
      <x:c r="F27" s="14" t="str">
        <x:v>Acknowledged</x:v>
      </x:c>
      <x:c r="G27" s="14" t="str">
        <x:v>Business records</x:v>
      </x:c>
      <x:c r="H27" s="14" t="str">
        <x:v>Clear</x:v>
      </x:c>
    </x:row>
    <x:row r="28">
      <x:c r="A28" s="14" t="str">
        <x:v>CUS-AL-025</x:v>
      </x:c>
      <x:c r="B28" s="14" t="str">
        <x:v>custodian-25</x:v>
      </x:c>
      <x:c r="C28" s="14" t="str">
        <x:v>Matter Alpha</x:v>
      </x:c>
      <x:c r="D28" s="15" t="n">
        <x:v>46203</x:v>
      </x:c>
      <x:c r="E28" s="15" t="n">
        <x:v>46211</x:v>
      </x:c>
      <x:c r="F28" s="14" t="str">
        <x:v>Acknowledged</x:v>
      </x:c>
      <x:c r="G28" s="14" t="str">
        <x:v>Business records</x:v>
      </x:c>
      <x:c r="H28" s="14" t="str">
        <x:v>Clear</x:v>
      </x:c>
    </x:row>
    <x:row r="29">
      <x:c r="A29" s="14" t="str">
        <x:v>CUS-AL-026</x:v>
      </x:c>
      <x:c r="B29" s="14" t="str">
        <x:v>custodian-26</x:v>
      </x:c>
      <x:c r="C29" s="14" t="str">
        <x:v>Matter Alpha</x:v>
      </x:c>
      <x:c r="D29" s="15" t="n">
        <x:v>46203</x:v>
      </x:c>
      <x:c r="E29" s="15" t="n">
        <x:v>46212</x:v>
      </x:c>
      <x:c r="F29" s="14" t="str">
        <x:v>Acknowledged</x:v>
      </x:c>
      <x:c r="G29" s="14" t="str">
        <x:v>Business records</x:v>
      </x:c>
      <x:c r="H29" s="14" t="str">
        <x:v>Clear</x:v>
      </x:c>
    </x:row>
    <x:row r="30">
      <x:c r="A30" s="14" t="str">
        <x:v>CUS-AL-027</x:v>
      </x:c>
      <x:c r="B30" s="14" t="str">
        <x:v>custodian-27</x:v>
      </x:c>
      <x:c r="C30" s="14" t="str">
        <x:v>Matter Alpha</x:v>
      </x:c>
      <x:c r="D30" s="15" t="n">
        <x:v>46203</x:v>
      </x:c>
      <x:c r="E30" s="15" t="n">
        <x:v>46204</x:v>
      </x:c>
      <x:c r="F30" s="14" t="str">
        <x:v>Acknowledged</x:v>
      </x:c>
      <x:c r="G30" s="14" t="str">
        <x:v>Business records</x:v>
      </x:c>
      <x:c r="H30" s="14" t="str">
        <x:v>Clear</x:v>
      </x:c>
    </x:row>
    <x:row r="31">
      <x:c r="A31" s="14" t="str">
        <x:v>CUS-AL-028</x:v>
      </x:c>
      <x:c r="B31" s="14" t="str">
        <x:v>custodian-28</x:v>
      </x:c>
      <x:c r="C31" s="14" t="str">
        <x:v>Matter Alpha</x:v>
      </x:c>
      <x:c r="D31" s="15" t="n">
        <x:v>46203</x:v>
      </x:c>
      <x:c r="E31" s="15" t="n">
        <x:v>46205</x:v>
      </x:c>
      <x:c r="F31" s="14" t="str">
        <x:v>Acknowledged</x:v>
      </x:c>
      <x:c r="G31" s="14" t="str">
        <x:v>Business records</x:v>
      </x:c>
      <x:c r="H31" s="14" t="str">
        <x:v>Clear</x:v>
      </x:c>
    </x:row>
    <x:row r="32">
      <x:c r="A32" s="14" t="str">
        <x:v>CUS-AL-029</x:v>
      </x:c>
      <x:c r="B32" s="14" t="str">
        <x:v>custodian-29</x:v>
      </x:c>
      <x:c r="C32" s="14" t="str">
        <x:v>Matter Alpha</x:v>
      </x:c>
      <x:c r="D32" s="15" t="n">
        <x:v>46203</x:v>
      </x:c>
      <x:c r="E32" s="15" t="n">
        <x:v>46206</x:v>
      </x:c>
      <x:c r="F32" s="14" t="str">
        <x:v>Acknowledged</x:v>
      </x:c>
      <x:c r="G32" s="14" t="str">
        <x:v>Business records</x:v>
      </x:c>
      <x:c r="H32" s="14" t="str">
        <x:v>Clear</x:v>
      </x:c>
    </x:row>
    <x:row r="33">
      <x:c r="A33" s="14" t="str">
        <x:v>CUS-AL-030</x:v>
      </x:c>
      <x:c r="B33" s="14" t="str">
        <x:v>custodian-30</x:v>
      </x:c>
      <x:c r="C33" s="14" t="str">
        <x:v>Matter Alpha</x:v>
      </x:c>
      <x:c r="D33" s="15" t="n">
        <x:v>46203</x:v>
      </x:c>
      <x:c r="E33" s="15" t="n">
        <x:v>46207</x:v>
      </x:c>
      <x:c r="F33" s="14" t="str">
        <x:v>Acknowledged</x:v>
      </x:c>
      <x:c r="G33" s="14" t="str">
        <x:v>Business records</x:v>
      </x:c>
      <x:c r="H33" s="14" t="str">
        <x:v>Clear</x:v>
      </x:c>
    </x:row>
    <x:row r="34">
      <x:c r="A34" s="14" t="str">
        <x:v>CUS-AL-031</x:v>
      </x:c>
      <x:c r="B34" s="14" t="str">
        <x:v>custodian-31</x:v>
      </x:c>
      <x:c r="C34" s="14" t="str">
        <x:v>Matter Alpha</x:v>
      </x:c>
      <x:c r="D34" s="15" t="n">
        <x:v>46203</x:v>
      </x:c>
      <x:c r="E34" s="15" t="n">
        <x:v>46208</x:v>
      </x:c>
      <x:c r="F34" s="14" t="str">
        <x:v>Acknowledged</x:v>
      </x:c>
      <x:c r="G34" s="14" t="str">
        <x:v>Business records</x:v>
      </x:c>
      <x:c r="H34" s="14" t="str">
        <x:v>Clear</x:v>
      </x:c>
    </x:row>
    <x:row r="35">
      <x:c r="A35" s="14" t="str">
        <x:v>CUS-AL-032</x:v>
      </x:c>
      <x:c r="B35" s="14" t="str">
        <x:v>custodian-32</x:v>
      </x:c>
      <x:c r="C35" s="14" t="str">
        <x:v>Matter Alpha</x:v>
      </x:c>
      <x:c r="D35" s="15" t="n">
        <x:v>46203</x:v>
      </x:c>
      <x:c r="E35" s="15" t="n">
        <x:v>46209</x:v>
      </x:c>
      <x:c r="F35" s="14" t="str">
        <x:v>Acknowledged</x:v>
      </x:c>
      <x:c r="G35" s="14" t="str">
        <x:v>Business records</x:v>
      </x:c>
      <x:c r="H35" s="14" t="str">
        <x:v>Clear</x:v>
      </x:c>
    </x:row>
    <x:row r="36">
      <x:c r="A36" s="14" t="str">
        <x:v>CUS-AL-033</x:v>
      </x:c>
      <x:c r="B36" s="14" t="str">
        <x:v>custodian-33</x:v>
      </x:c>
      <x:c r="C36" s="14" t="str">
        <x:v>Matter Alpha</x:v>
      </x:c>
      <x:c r="D36" s="15" t="n">
        <x:v>46203</x:v>
      </x:c>
      <x:c r="E36" s="15" t="n">
        <x:v>46210</x:v>
      </x:c>
      <x:c r="F36" s="14" t="str">
        <x:v>Acknowledged</x:v>
      </x:c>
      <x:c r="G36" s="14" t="str">
        <x:v>Business records</x:v>
      </x:c>
      <x:c r="H36" s="14" t="str">
        <x:v>Clear</x:v>
      </x:c>
    </x:row>
    <x:row r="37">
      <x:c r="A37" s="14" t="str">
        <x:v>CUS-AL-034</x:v>
      </x:c>
      <x:c r="B37" s="14" t="str">
        <x:v>custodian-34</x:v>
      </x:c>
      <x:c r="C37" s="14" t="str">
        <x:v>Matter Alpha</x:v>
      </x:c>
      <x:c r="D37" s="15" t="n">
        <x:v>46203</x:v>
      </x:c>
      <x:c r="E37" s="15" t="n">
        <x:v>46211</x:v>
      </x:c>
      <x:c r="F37" s="14" t="str">
        <x:v>Acknowledged</x:v>
      </x:c>
      <x:c r="G37" s="14" t="str">
        <x:v>Business records</x:v>
      </x:c>
      <x:c r="H37" s="14" t="str">
        <x:v>Clear</x:v>
      </x:c>
    </x:row>
    <x:row r="38">
      <x:c r="A38" s="14" t="str">
        <x:v>CUS-AL-035</x:v>
      </x:c>
      <x:c r="B38" s="14" t="str">
        <x:v>custodian-35</x:v>
      </x:c>
      <x:c r="C38" s="14" t="str">
        <x:v>Matter Alpha</x:v>
      </x:c>
      <x:c r="D38" s="15" t="n">
        <x:v>46203</x:v>
      </x:c>
      <x:c r="E38" s="15" t="n">
        <x:v>46212</x:v>
      </x:c>
      <x:c r="F38" s="14" t="str">
        <x:v>Acknowledged</x:v>
      </x:c>
      <x:c r="G38" s="14" t="str">
        <x:v>Business records</x:v>
      </x:c>
      <x:c r="H38" s="14" t="str">
        <x:v>Clear</x:v>
      </x:c>
    </x:row>
    <x:row r="39">
      <x:c r="A39" s="14" t="str">
        <x:v>CUS-AL-036</x:v>
      </x:c>
      <x:c r="B39" s="14" t="str">
        <x:v>custodian-36</x:v>
      </x:c>
      <x:c r="C39" s="14" t="str">
        <x:v>Matter Alpha</x:v>
      </x:c>
      <x:c r="D39" s="15" t="n">
        <x:v>46203</x:v>
      </x:c>
      <x:c r="E39" s="15" t="n">
        <x:v>46204</x:v>
      </x:c>
      <x:c r="F39" s="14" t="str">
        <x:v>Acknowledged</x:v>
      </x:c>
      <x:c r="G39" s="14" t="str">
        <x:v>Business records</x:v>
      </x:c>
      <x:c r="H39" s="14" t="str">
        <x:v>Clear</x:v>
      </x:c>
    </x:row>
    <x:row r="40">
      <x:c r="A40" s="14" t="str">
        <x:v>CUS-AL-037</x:v>
      </x:c>
      <x:c r="B40" s="14" t="str">
        <x:v>custodian-37</x:v>
      </x:c>
      <x:c r="C40" s="14" t="str">
        <x:v>Matter Alpha</x:v>
      </x:c>
      <x:c r="D40" s="15" t="n">
        <x:v>46203</x:v>
      </x:c>
      <x:c r="E40" s="15" t="n">
        <x:v>46205</x:v>
      </x:c>
      <x:c r="F40" s="14" t="str">
        <x:v>Acknowledged</x:v>
      </x:c>
      <x:c r="G40" s="14" t="str">
        <x:v>Business records</x:v>
      </x:c>
      <x:c r="H40" s="14" t="str">
        <x:v>Clear</x:v>
      </x:c>
    </x:row>
    <x:row r="41">
      <x:c r="A41" s="14" t="str">
        <x:v>CUS-AL-038</x:v>
      </x:c>
      <x:c r="B41" s="14" t="str">
        <x:v>custodian-38</x:v>
      </x:c>
      <x:c r="C41" s="14" t="str">
        <x:v>Matter Alpha</x:v>
      </x:c>
      <x:c r="D41" s="15" t="n">
        <x:v>46203</x:v>
      </x:c>
      <x:c r="E41" s="15" t="n">
        <x:v>46206</x:v>
      </x:c>
      <x:c r="F41" s="14" t="str">
        <x:v>Acknowledged</x:v>
      </x:c>
      <x:c r="G41" s="14" t="str">
        <x:v>Business records</x:v>
      </x:c>
      <x:c r="H41" s="14" t="str">
        <x:v>Clear</x:v>
      </x:c>
    </x:row>
    <x:row r="42">
      <x:c r="A42" s="14" t="str">
        <x:v>CUS-AL-039</x:v>
      </x:c>
      <x:c r="B42" s="14" t="str">
        <x:v>custodian-39</x:v>
      </x:c>
      <x:c r="C42" s="14" t="str">
        <x:v>Matter Alpha</x:v>
      </x:c>
      <x:c r="D42" s="15" t="n">
        <x:v>46203</x:v>
      </x:c>
      <x:c r="E42" s="15" t="n">
        <x:v>46207</x:v>
      </x:c>
      <x:c r="F42" s="14" t="str">
        <x:v>Acknowledged</x:v>
      </x:c>
      <x:c r="G42" s="14" t="str">
        <x:v>Business records</x:v>
      </x:c>
      <x:c r="H42" s="14" t="str">
        <x:v>Clear</x:v>
      </x:c>
    </x:row>
    <x:row r="43">
      <x:c r="A43" s="14" t="str">
        <x:v>CUS-AL-040</x:v>
      </x:c>
      <x:c r="B43" s="14" t="str">
        <x:v>custodian-40</x:v>
      </x:c>
      <x:c r="C43" s="14" t="str">
        <x:v>Matter Alpha</x:v>
      </x:c>
      <x:c r="D43" s="15" t="n">
        <x:v>46203</x:v>
      </x:c>
      <x:c r="E43" s="15" t="n">
        <x:v>46208</x:v>
      </x:c>
      <x:c r="F43" s="14" t="str">
        <x:v>Acknowledged</x:v>
      </x:c>
      <x:c r="G43" s="14" t="str">
        <x:v>Business records</x:v>
      </x:c>
      <x:c r="H43" s="14" t="str">
        <x:v>Clear</x:v>
      </x:c>
    </x:row>
    <x:row r="44">
      <x:c r="A44" s="14" t="str">
        <x:v>CUS-AL-041</x:v>
      </x:c>
      <x:c r="B44" s="14" t="str">
        <x:v>custodian-41</x:v>
      </x:c>
      <x:c r="C44" s="14" t="str">
        <x:v>Matter Alpha</x:v>
      </x:c>
      <x:c r="D44" s="15" t="n">
        <x:v>46203</x:v>
      </x:c>
      <x:c r="E44" s="15" t="n">
        <x:v>46209</x:v>
      </x:c>
      <x:c r="F44" s="14" t="str">
        <x:v>Acknowledged</x:v>
      </x:c>
      <x:c r="G44" s="14" t="str">
        <x:v>Business records</x:v>
      </x:c>
      <x:c r="H44" s="14" t="str">
        <x:v>Clear</x:v>
      </x:c>
    </x:row>
    <x:row r="45">
      <x:c r="A45" s="14" t="str">
        <x:v>CUS-AL-042</x:v>
      </x:c>
      <x:c r="B45" s="14" t="str">
        <x:v>custodian-42</x:v>
      </x:c>
      <x:c r="C45" s="14" t="str">
        <x:v>Matter Alpha</x:v>
      </x:c>
      <x:c r="D45" s="15" t="n">
        <x:v>46203</x:v>
      </x:c>
      <x:c r="E45" s="15" t="n">
        <x:v>46210</x:v>
      </x:c>
      <x:c r="F45" s="14" t="str">
        <x:v>Acknowledged</x:v>
      </x:c>
      <x:c r="G45" s="14" t="str">
        <x:v>Business records</x:v>
      </x:c>
      <x:c r="H45" s="14" t="str">
        <x:v>Clear</x:v>
      </x:c>
    </x:row>
  </x:sheetData>
  <x:mergeCells>
    <x:mergeCell ref="A1:H1"/>
  </x:mergeCells>
  <x:conditionalFormatting sqref="F4:F45">
    <x:cfRule type="containsText" dxfId="1" priority="1" operator="containsText" text="Acknowledged"/>
  </x:conditionalFormatting>
  <x:dataValidations count="2">
    <x:dataValidation type="list" sqref="F4:F45">
      <x:formula1>"Acknowledged,Pending,Escalated"</x:formula1>
    </x:dataValidation>
    <x:dataValidation type="list" sqref="G4:G45">
      <x:formula1>"Business records,Approved work channels,Other"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9" hidden="0" customWidth="1"/>
    <x:col min="4" max="4" width="15" hidden="0" customWidth="1"/>
    <x:col min="5" max="5" width="25" hidden="0" customWidth="1"/>
    <x:col min="6" max="6" width="26" hidden="0" customWidth="1"/>
    <x:col min="7" max="7" width="15" hidden="0" customWidth="1"/>
    <x:col min="8" max="8" width="19" hidden="0" customWidth="1"/>
  </x:cols>
  <x:sheetData>
    <x:row r="1" ht="28" customHeight="1">
      <x:c r="A1" s="3" t="str">
        <x:v>EXCEPTION REGISTER EXPORT</x:v>
      </x:c>
      <x:c r="B1" s="3" t="str">
        <x:v>EXCEPTION REGISTER EXPORT</x:v>
      </x:c>
      <x:c r="C1" s="3" t="str">
        <x:v>EXCEPTION REGISTER EXPORT</x:v>
      </x:c>
      <x:c r="D1" s="3" t="str">
        <x:v>EXCEPTION REGISTER EXPORT</x:v>
      </x:c>
      <x:c r="E1" s="3" t="str">
        <x:v>EXCEPTION REGISTER EXPORT</x:v>
      </x:c>
      <x:c r="F1" s="3" t="str">
        <x:v>EXCEPTION REGISTER EXPORT</x:v>
      </x:c>
      <x:c r="G1" s="3" t="str">
        <x:v>EXCEPTION REGISTER EXPORT</x:v>
      </x:c>
      <x:c r="H1" s="3" t="str">
        <x:v>EXCEPTION REGISTER EXPORT</x:v>
      </x:c>
    </x:row>
    <x:row r="3">
      <x:c r="A3" s="13" t="str">
        <x:v>Exception ID</x:v>
      </x:c>
      <x:c r="B3" s="13" t="str">
        <x:v>Custodian ID</x:v>
      </x:c>
      <x:c r="C3" s="13" t="str">
        <x:v>Opened at</x:v>
      </x:c>
      <x:c r="D3" s="13" t="str">
        <x:v>Due date</x:v>
      </x:c>
      <x:c r="E3" s="13" t="str">
        <x:v>Reason category</x:v>
      </x:c>
      <x:c r="F3" s="13" t="str">
        <x:v>Disposition</x:v>
      </x:c>
      <x:c r="G3" s="13" t="str">
        <x:v>Status</x:v>
      </x:c>
      <x:c r="H3" s="13" t="str">
        <x:v>Review alias</x:v>
      </x:c>
    </x:row>
    <x:row r="4">
      <x:c r="A4" s="14" t="str">
        <x:v>AL-EXC-001</x:v>
      </x:c>
      <x:c r="B4" s="14" t="str">
        <x:v>CUS-AL-001</x:v>
      </x:c>
      <x:c r="C4" s="15" t="n">
        <x:v>46206</x:v>
      </x:c>
      <x:c r="D4" s="15" t="n">
        <x:v>46215</x:v>
      </x:c>
      <x:c r="E4" s="14" t="str">
        <x:v>Documented timing</x:v>
      </x:c>
      <x:c r="F4" s="14" t="str">
        <x:v>Documented and closed</x:v>
      </x:c>
      <x:c r="G4" s="14" t="str">
        <x:v>Closed</x:v>
      </x:c>
      <x:c r="H4" s="14" t="str">
        <x:v>privacy-review-1</x:v>
      </x:c>
    </x:row>
    <x:row r="5">
      <x:c r="A5" s="14" t="str">
        <x:v>AL-EXC-002</x:v>
      </x:c>
      <x:c r="B5" s="14" t="str">
        <x:v>CUS-AL-002</x:v>
      </x:c>
      <x:c r="C5" s="15" t="n">
        <x:v>46207</x:v>
      </x:c>
      <x:c r="D5" s="15" t="n">
        <x:v>46215</x:v>
      </x:c>
      <x:c r="E5" s="14" t="str">
        <x:v>Documented timing</x:v>
      </x:c>
      <x:c r="F5" s="14" t="str">
        <x:v>Documented and closed</x:v>
      </x:c>
      <x:c r="G5" s="14" t="str">
        <x:v>Closed</x:v>
      </x:c>
      <x:c r="H5" s="14" t="str">
        <x:v>privacy-review-2</x:v>
      </x:c>
    </x:row>
    <x:row r="6">
      <x:c r="A6" s="14" t="str">
        <x:v>AL-EXC-003</x:v>
      </x:c>
      <x:c r="B6" s="14" t="str">
        <x:v>CUS-AL-003</x:v>
      </x:c>
      <x:c r="C6" s="15" t="n">
        <x:v>46208</x:v>
      </x:c>
      <x:c r="D6" s="15" t="n">
        <x:v>46215</x:v>
      </x:c>
      <x:c r="E6" s="14" t="str">
        <x:v>Documented timing</x:v>
      </x:c>
      <x:c r="F6" s="14" t="str">
        <x:v>Documented and closed</x:v>
      </x:c>
      <x:c r="G6" s="14" t="str">
        <x:v>Closed</x:v>
      </x:c>
      <x:c r="H6" s="14" t="str">
        <x:v>privacy-review-3</x:v>
      </x:c>
    </x:row>
    <x:row r="7">
      <x:c r="A7" s="14" t="str">
        <x:v>AL-EXC-004</x:v>
      </x:c>
      <x:c r="B7" s="14" t="str">
        <x:v>CUS-AL-004</x:v>
      </x:c>
      <x:c r="C7" s="15" t="n">
        <x:v>46209</x:v>
      </x:c>
      <x:c r="D7" s="15" t="n">
        <x:v>46215</x:v>
      </x:c>
      <x:c r="E7" s="14" t="str">
        <x:v>Documented timing</x:v>
      </x:c>
      <x:c r="F7" s="14" t="str">
        <x:v>Documented and closed</x:v>
      </x:c>
      <x:c r="G7" s="14" t="str">
        <x:v>Closed</x:v>
      </x:c>
      <x:c r="H7" s="14" t="str">
        <x:v>privacy-review-4</x:v>
      </x:c>
    </x:row>
    <x:row r="8">
      <x:c r="A8" s="14" t="str">
        <x:v>AL-EXC-005</x:v>
      </x:c>
      <x:c r="B8" s="14" t="str">
        <x:v>CUS-AL-005</x:v>
      </x:c>
      <x:c r="C8" s="15" t="n">
        <x:v>46210</x:v>
      </x:c>
      <x:c r="D8" s="15" t="n">
        <x:v>46215</x:v>
      </x:c>
      <x:c r="E8" s="14" t="str">
        <x:v>Documented timing</x:v>
      </x:c>
      <x:c r="F8" s="14" t="str">
        <x:v>Documented and closed</x:v>
      </x:c>
      <x:c r="G8" s="14" t="str">
        <x:v>Closed</x:v>
      </x:c>
      <x:c r="H8" s="14" t="str">
        <x:v>privacy-review-5</x:v>
      </x:c>
    </x:row>
  </x:sheetData>
  <x:mergeCells>
    <x:mergeCell ref="A1:H1"/>
  </x:mergeCells>
  <x:conditionalFormatting sqref="G4:G8">
    <x:cfRule type="containsText" dxfId="2" priority="1" operator="containsText" text="Closed"/>
    <x:cfRule type="containsText" dxfId="3" priority="2" operator="containsText" text="Open"/>
  </x:conditionalFormatting>
  <x:dataValidations count="1">
    <x:dataValidation type="list" sqref="G4:G8">
      <x:formula1>"Open,Closed,Escalated"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35" hidden="0" customWidth="1"/>
  </x:cols>
  <x:sheetData>
    <x:row r="1" ht="28" customHeight="1">
      <x:c r="A1" s="3" t="str">
        <x:v>AUDIT CONTROLS</x:v>
      </x:c>
      <x:c r="B1" s="3" t="str">
        <x:v>AUDIT CONTROLS</x:v>
      </x:c>
      <x:c r="C1" s="3" t="str">
        <x:v>AUDIT CONTROLS</x:v>
      </x:c>
      <x:c r="D1" s="3" t="str">
        <x:v>AUDIT CONTROLS</x:v>
      </x:c>
    </x:row>
    <x:row r="3">
      <x:c r="A3" s="13" t="str">
        <x:v>Control</x:v>
      </x:c>
      <x:c r="B3" s="13" t="str">
        <x:v>Result</x:v>
      </x:c>
      <x:c r="C3" s="13" t="str">
        <x:v>Expected</x:v>
      </x:c>
      <x:c r="D3" s="13" t="str">
        <x:v>Note</x:v>
      </x:c>
    </x:row>
    <x:row r="4">
      <x:c r="A4" s="14" t="str">
        <x:v>Custodian count</x:v>
      </x:c>
      <x:c r="B4" s="14" t="n">
        <x:f>'Summary'!E4</x:f>
        <x:v>42</x:v>
      </x:c>
      <x:c r="C4" s="14" t="n">
        <x:v>42</x:v>
      </x:c>
      <x:c r="D4" s="14" t="str">
        <x:v>Must match preservation scope</x:v>
      </x:c>
    </x:row>
    <x:row r="5">
      <x:c r="A5" s="14" t="str">
        <x:v>Acknowledgment count</x:v>
      </x:c>
      <x:c r="B5" s="14" t="n">
        <x:f>'Summary'!E5</x:f>
        <x:v>42</x:v>
      </x:c>
      <x:c r="C5" s="14" t="n">
        <x:v>42</x:v>
      </x:c>
      <x:c r="D5" s="14" t="str">
        <x:v>All synthetic custodians acknowledged</x:v>
      </x:c>
    </x:row>
    <x:row r="6">
      <x:c r="A6" s="14" t="str">
        <x:v>Exception closure</x:v>
      </x:c>
      <x:c r="B6" s="14" t="n">
        <x:f>'Summary'!E7</x:f>
        <x:v>5</x:v>
      </x:c>
      <x:c r="C6" s="14" t="n">
        <x:v>5</x:v>
      </x:c>
      <x:c r="D6" s="14" t="str">
        <x:v>All exceptions closed by deadline</x:v>
      </x:c>
    </x:row>
    <x:row r="7">
      <x:c r="A7" s="14" t="str">
        <x:v>Overall control</x:v>
      </x:c>
      <x:c r="B7" s="14" t="str">
        <x:f>IF(AND(B4=C4,B5=C5,B6=C6),"PASS","FAIL")</x:f>
        <x:v>PASS</x:v>
      </x:c>
      <x:c r="C7" s="14" t="str">
        <x:v>PASS</x:v>
      </x:c>
      <x:c r="D7" s="14" t="str">
        <x:v>No unresolved items</x:v>
      </x:c>
    </x:row>
  </x:sheetData>
  <x:mergeCells>
    <x:mergeCell ref="A1:D1"/>
  </x:mergeCells>
  <x:conditionalFormatting sqref="B7:B7">
    <x:cfRule type="containsText" dxfId="4" priority="1" operator="containsText" text="PASS"/>
  </x:conditionalFormatting>
  <x:pageMargins left="0.7" right="0.7" top="0.75" bottom="0.75" header="0.3" footer="0.3"/>
</x:worksheet>
</file>