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2696da67914d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31c4562a50934703"/>
    <x:sheet xmlns:r="http://schemas.openxmlformats.org/officeDocument/2006/relationships" name="Scoring" sheetId="2" r:id="R61d18ee629494775"/>
    <x:sheet xmlns:r="http://schemas.openxmlformats.org/officeDocument/2006/relationships" name="Summary" sheetId="3" r:id="Rd1794152383746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%"/>
    <x:numFmt numFmtId="202" formatCode="0.0"/>
  </x:numFmts>
  <x:fonts count="5">
    <x:font>
      <x:sz val="11"/>
      <x:name val="Carlito"/>
    </x:font>
    <x:font>
      <x:b/>
      <x:sz val="14"/>
      <x:color rgb="FF18324A"/>
      <x:name val="Carlito"/>
    </x:font>
    <x:font>
      <x:b/>
      <x:sz val="11"/>
      <x:name val="Carlito"/>
    </x:font>
    <x:font>
      <x:b/>
      <x:sz val="11"/>
      <x:color rgb="FF18324A"/>
      <x:name val="Aptos"/>
    </x:font>
    <x:font>
      <x:sz val="11"/>
      <x:color rgb="FF18324A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DCECF7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1" fontId="4" fillId="0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9b91f4ef784a1c" /><Relationship Type="http://schemas.openxmlformats.org/officeDocument/2006/relationships/theme" Target="/xl/theme/theme1.xml" Id="R04d6d4b9fa1a4411" /><Relationship Type="http://schemas.openxmlformats.org/officeDocument/2006/relationships/sharedStrings" Target="/xl/sharedStrings.xml" Id="Raede771d40414bca" /><Relationship Type="http://schemas.openxmlformats.org/officeDocument/2006/relationships/worksheet" Target="/xl/worksheets/sheet1.xml" Id="R31c4562a50934703" /><Relationship Type="http://schemas.openxmlformats.org/officeDocument/2006/relationships/worksheet" Target="/xl/worksheets/sheet2.xml" Id="R61d18ee629494775" /><Relationship Type="http://schemas.openxmlformats.org/officeDocument/2006/relationships/worksheet" Target="/xl/worksheets/sheet3.xml" Id="Rd1794152383746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.88999938964844" hidden="0" customWidth="1"/>
    <x:col min="2" max="2" width="11.4399995803833" hidden="0" customWidth="1"/>
    <x:col min="3" max="3" width="13.890000343322754" hidden="0" customWidth="1"/>
    <x:col min="4" max="4" width="15.220000267028809" hidden="0" customWidth="1"/>
    <x:col min="5" max="5" width="10.779999732971191" hidden="0" customWidth="1"/>
  </x:cols>
  <x:sheetData>
    <x:row r="1">
      <x:c r="A1" s="8" t="str">
        <x:v>Aster Loop K.K. | Product Alpha R7 platform evaluation | 2026-07-13</x:v>
      </x:c>
      <x:c r="B1" s="8"/>
      <x:c r="C1" s="8"/>
      <x:c r="D1" s="8"/>
      <x:c r="E1" s="8"/>
    </x:row>
    <x:row r="2">
      <x:c r="A2" s="9"/>
      <x:c r="B2" s="9"/>
      <x:c r="C2" s="9"/>
      <x:c r="D2" s="9"/>
      <x:c r="E2" s="9"/>
    </x:row>
    <x:row r="3">
      <x:c r="A3" s="8" t="str">
        <x:v>Tier</x:v>
      </x:c>
      <x:c r="B3" s="8" t="str">
        <x:v>Latency score</x:v>
      </x:c>
      <x:c r="C3" s="8" t="str">
        <x:v>Operations score</x:v>
      </x:c>
      <x:c r="D3" s="8" t="str">
        <x:v>Portability score</x:v>
      </x:c>
      <x:c r="E3" s="8" t="str">
        <x:v>Review date</x:v>
      </x:c>
    </x:row>
    <x:row r="4">
      <x:c r="A4" s="9" t="str">
        <x:v>Nimbus</x:v>
      </x:c>
      <x:c r="B4" s="9" t="n">
        <x:v>92</x:v>
      </x:c>
      <x:c r="C4" s="9" t="n">
        <x:v>76</x:v>
      </x:c>
      <x:c r="D4" s="9" t="n">
        <x:v>72</x:v>
      </x:c>
      <x:c r="E4" s="10" t="n">
        <x:v>46209</x:v>
      </x:c>
    </x:row>
    <x:row r="5">
      <x:c r="A5" s="9" t="str">
        <x:v>Orbit</x:v>
      </x:c>
      <x:c r="B5" s="9" t="n">
        <x:v>84</x:v>
      </x:c>
      <x:c r="C5" s="9" t="n">
        <x:v>94</x:v>
      </x:c>
      <x:c r="D5" s="9" t="n">
        <x:v>79</x:v>
      </x:c>
      <x:c r="E5" s="10" t="n">
        <x:v>46209</x:v>
      </x:c>
    </x:row>
    <x:row r="6">
      <x:c r="A6" s="9" t="str">
        <x:v>Harbor</x:v>
      </x:c>
      <x:c r="B6" s="9" t="n">
        <x:v>78</x:v>
      </x:c>
      <x:c r="C6" s="9" t="n">
        <x:v>81</x:v>
      </x:c>
      <x:c r="D6" s="9" t="n">
        <x:v>96</x:v>
      </x:c>
      <x:c r="E6" s="10" t="n">
        <x:v>46209</x:v>
      </x:c>
    </x:row>
    <x:row r="7">
      <x:c r="A7" s="9" t="str">
        <x:v>Context</x:v>
      </x:c>
      <x:c r="B7" s="9" t="str">
        <x:v>p95 184 ms</x:v>
      </x:c>
      <x:c r="C7" s="9" t="str">
        <x:v>ADR-042</x:v>
      </x:c>
      <x:c r="D7" s="9" t="str">
        <x:v>Release 2026-07-13</x:v>
      </x:c>
      <x:c r="E7" s="9" t="str">
        <x:v>Synthetic only</x:v>
      </x:c>
    </x:row>
  </x:sheetData>
  <x:mergeCells>
    <x:mergeCell ref="A1:E1"/>
  </x:mergeCells>
  <x:dataValidations count="1">
    <x:dataValidation type="whole" operator="between" sqref="B4:D6">
      <x:formula1>0</x:formula1>
      <x:formula2>100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.11000061035156" hidden="0" customWidth="1"/>
    <x:col min="2" max="2" width="6.670000076293945" hidden="0" customWidth="1"/>
    <x:col min="3" max="3" width="14.4399995803833" hidden="0" customWidth="1"/>
    <x:col min="4" max="4" width="12.220000267028809" hidden="0" customWidth="1"/>
    <x:col min="5" max="5" width="12.5600004196167" hidden="0" customWidth="1"/>
  </x:cols>
  <x:sheetData>
    <x:row r="1">
      <x:c r="A1" s="8" t="str">
        <x:v>Weighted scoring | criteria are editable on Inputs</x:v>
      </x:c>
      <x:c r="B1" s="8"/>
      <x:c r="C1" s="8"/>
      <x:c r="D1" s="8"/>
      <x:c r="E1" s="8"/>
      <x:c r="F1" s="2"/>
    </x:row>
    <x:row r="2">
      <x:c r="A2" s="9"/>
      <x:c r="B2" s="9"/>
      <x:c r="C2" s="9"/>
      <x:c r="D2" s="9"/>
      <x:c r="E2" s="9"/>
    </x:row>
    <x:row r="3">
      <x:c r="A3" s="8" t="str">
        <x:v>Criterion</x:v>
      </x:c>
      <x:c r="B3" s="8" t="str">
        <x:v>Weight</x:v>
      </x:c>
      <x:c r="C3" s="8" t="str">
        <x:v>Rationale</x:v>
      </x:c>
      <x:c r="D3" s="8" t="str">
        <x:v>Control</x:v>
      </x:c>
      <x:c r="E3" s="9"/>
    </x:row>
    <x:row r="4">
      <x:c r="A4" s="9" t="str">
        <x:v>Latency</x:v>
      </x:c>
      <x:c r="B4" s="15" t="n">
        <x:v>0.7</x:v>
      </x:c>
      <x:c r="C4" s="9" t="str">
        <x:v>p95 184 ms target</x:v>
      </x:c>
      <x:c r="D4" s="9" t="str">
        <x:v>Control-plane fit</x:v>
      </x:c>
      <x:c r="E4" s="9"/>
    </x:row>
    <x:row r="5">
      <x:c r="A5" s="9" t="str">
        <x:v>Operations</x:v>
      </x:c>
      <x:c r="B5" s="15" t="n">
        <x:v>0.15</x:v>
      </x:c>
      <x:c r="C5" s="9" t="str">
        <x:v>Lifecycle visibility</x:v>
      </x:c>
      <x:c r="D5" s="9" t="str">
        <x:v>Runbook fit</x:v>
      </x:c>
      <x:c r="E5" s="9"/>
    </x:row>
    <x:row r="6">
      <x:c r="A6" s="9" t="str">
        <x:v>Portability</x:v>
      </x:c>
      <x:c r="B6" s="15" t="n">
        <x:v>0.15</x:v>
      </x:c>
      <x:c r="C6" s="9" t="str">
        <x:v>Adapter exit option</x:v>
      </x:c>
      <x:c r="D6" s="9" t="str">
        <x:v>Boundary fit</x:v>
      </x:c>
      <x:c r="E6" s="9"/>
    </x:row>
    <x:row r="7">
      <x:c r="A7" s="9"/>
      <x:c r="B7" s="9"/>
      <x:c r="C7" s="9"/>
      <x:c r="D7" s="9"/>
      <x:c r="E7" s="9"/>
    </x:row>
    <x:row r="8">
      <x:c r="A8" s="8" t="str">
        <x:v>Tier</x:v>
      </x:c>
      <x:c r="B8" s="8" t="str">
        <x:v>Latency</x:v>
      </x:c>
      <x:c r="C8" s="8" t="str">
        <x:v>Operations</x:v>
      </x:c>
      <x:c r="D8" s="8" t="str">
        <x:v>Portability</x:v>
      </x:c>
      <x:c r="E8" s="8" t="str">
        <x:v>Weighted score</x:v>
      </x:c>
    </x:row>
    <x:row r="9">
      <x:c r="A9" s="9" t="str">
        <x:v>Nimbus</x:v>
      </x:c>
      <x:c r="B9" s="9" t="n">
        <x:f>'Inputs'!B4</x:f>
        <x:v>92</x:v>
      </x:c>
      <x:c r="C9" s="9" t="n">
        <x:f>'Inputs'!C4</x:f>
        <x:v>76</x:v>
      </x:c>
      <x:c r="D9" s="9" t="n">
        <x:f>'Inputs'!D4</x:f>
        <x:v>72</x:v>
      </x:c>
      <x:c r="E9" s="16" t="n">
        <x:f>B9*$B$4+C9*$B$5+D9*$B$6</x:f>
        <x:v>86.6</x:v>
      </x:c>
    </x:row>
    <x:row r="10">
      <x:c r="A10" s="9" t="str">
        <x:v>Orbit</x:v>
      </x:c>
      <x:c r="B10" s="9" t="n">
        <x:f>'Inputs'!B5</x:f>
        <x:v>84</x:v>
      </x:c>
      <x:c r="C10" s="9" t="n">
        <x:f>'Inputs'!C5</x:f>
        <x:v>94</x:v>
      </x:c>
      <x:c r="D10" s="9" t="n">
        <x:f>'Inputs'!D5</x:f>
        <x:v>79</x:v>
      </x:c>
      <x:c r="E10" s="16" t="n">
        <x:f>B10*$B$4+C10*$B$5+D10*$B$6</x:f>
        <x:v>84.74999999999999</x:v>
      </x:c>
    </x:row>
    <x:row r="11">
      <x:c r="A11" s="9" t="str">
        <x:v>Harbor</x:v>
      </x:c>
      <x:c r="B11" s="9" t="n">
        <x:f>'Inputs'!B6</x:f>
        <x:v>78</x:v>
      </x:c>
      <x:c r="C11" s="9" t="n">
        <x:f>'Inputs'!C6</x:f>
        <x:v>81</x:v>
      </x:c>
      <x:c r="D11" s="9" t="n">
        <x:f>'Inputs'!D6</x:f>
        <x:v>96</x:v>
      </x:c>
      <x:c r="E11" s="16" t="n">
        <x:f>B11*$B$4+C11*$B$5+D11*$B$6</x:f>
        <x:v>81.15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7.670000076293945" hidden="0" customWidth="1"/>
    <x:col min="3" max="3" width="31.329999923706055" hidden="0" customWidth="1"/>
    <x:col min="4" max="4" width="18.110000610351562" hidden="0" customWidth="1"/>
  </x:cols>
  <x:sheetData>
    <x:row r="1">
      <x:c r="A1" s="8" t="str">
        <x:v>Recommendation summary | ADR-042 retains application-owned approval</x:v>
      </x:c>
      <x:c r="B1" s="8"/>
      <x:c r="C1" s="8"/>
      <x:c r="D1" s="8"/>
    </x:row>
    <x:row r="2">
      <x:c r="A2" s="9"/>
      <x:c r="B2" s="9"/>
      <x:c r="C2" s="9"/>
      <x:c r="D2" s="9"/>
    </x:row>
    <x:row r="3">
      <x:c r="A3" s="8" t="str">
        <x:v>Metric</x:v>
      </x:c>
      <x:c r="B3" s="8" t="str">
        <x:v>Value</x:v>
      </x:c>
      <x:c r="C3" s="9"/>
      <x:c r="D3" s="9"/>
    </x:row>
    <x:row r="4">
      <x:c r="A4" s="9" t="str">
        <x:v>Top tier</x:v>
      </x:c>
      <x:c r="B4" s="9" t="str">
        <x:f>INDEX('Scoring'!A9:A11,MATCH(MAX('Scoring'!E9:E11),'Scoring'!E9:E11,0))</x:f>
        <x:v>Nimbus</x:v>
      </x:c>
      <x:c r="C4" s="9"/>
      <x:c r="D4" s="9"/>
    </x:row>
    <x:row r="5">
      <x:c r="A5" s="9" t="str">
        <x:v>Top weighted score</x:v>
      </x:c>
      <x:c r="B5" s="16" t="n">
        <x:f>MAX('Scoring'!E9:E11)</x:f>
        <x:v>86.6</x:v>
      </x:c>
      <x:c r="C5" s="9"/>
      <x:c r="D5" s="9"/>
    </x:row>
    <x:row r="6">
      <x:c r="A6" s="9" t="str">
        <x:v>Latency target</x:v>
      </x:c>
      <x:c r="B6" s="9" t="str">
        <x:v>p95 184 ms</x:v>
      </x:c>
      <x:c r="C6" s="9"/>
      <x:c r="D6" s="9"/>
    </x:row>
    <x:row r="7">
      <x:c r="A7" s="9" t="str">
        <x:v>Release</x:v>
      </x:c>
      <x:c r="B7" s="9" t="str">
        <x:v>2026-07-13</x:v>
      </x:c>
      <x:c r="C7" s="9"/>
      <x:c r="D7" s="9"/>
    </x:row>
    <x:row r="8">
      <x:c r="A8" s="9"/>
      <x:c r="B8" s="9"/>
      <x:c r="C8" s="9"/>
      <x:c r="D8" s="9"/>
    </x:row>
    <x:row r="9">
      <x:c r="A9" s="8" t="str">
        <x:v>Decision</x:v>
      </x:c>
      <x:c r="B9" s="8" t="str">
        <x:v>Rationale</x:v>
      </x:c>
      <x:c r="C9" s="8" t="str">
        <x:v>Constraint</x:v>
      </x:c>
      <x:c r="D9" s="8" t="str">
        <x:v>Owner</x:v>
      </x:c>
    </x:row>
    <x:row r="10">
      <x:c r="A10" s="9" t="str">
        <x:v>Nimbus control tier</x:v>
      </x:c>
      <x:c r="B10" s="9" t="str">
        <x:v>Highest weighted score</x:v>
      </x:c>
      <x:c r="C10" s="9" t="str">
        <x:v>ADR-042 gate remains app-owned</x:v>
      </x:c>
      <x:c r="D10" s="9" t="str">
        <x:v>Platform Release Owner</x:v>
      </x:c>
    </x:row>
    <x:row r="11">
      <x:c r="A11" s="9" t="str">
        <x:v>Harbor adapter boundary</x:v>
      </x:c>
      <x:c r="B11" s="9" t="str">
        <x:v>Portability contingency</x:v>
      </x:c>
      <x:c r="C11" s="9" t="str">
        <x:v>No vendor-specific execution dependency</x:v>
      </x:c>
      <x:c r="D11" s="9" t="str">
        <x:v>Adapter Owner</x:v>
      </x:c>
    </x:row>
  </x:sheetData>
  <x:mergeCells>
    <x:mergeCell ref="A1:D1"/>
  </x:mergeCells>
  <x:pageMargins left="0.7" right="0.7" top="0.75" bottom="0.75" header="0.3" footer="0.3"/>
</x:worksheet>
</file>