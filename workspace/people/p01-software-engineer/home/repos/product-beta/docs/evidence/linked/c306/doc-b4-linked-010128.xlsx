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91d03ee51a45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lease Metrics" sheetId="1" r:id="R9a5a511d8d9441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"/>
    <x:numFmt numFmtId="202" formatCode="0.00%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F4D78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i/>
      <x:sz val="11"/>
      <x:color rgb="FF5B4A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8EEF5"/>
      </x:patternFill>
    </x:fill>
    <x:fill>
      <x:patternFill patternType="solid">
        <x:fgColor rgb="FF2E74B5"/>
      </x:patternFill>
    </x:fill>
    <x:fill>
      <x:patternFill patternType="solid">
        <x:fgColor rgb="FFF4F6F9"/>
      </x:patternFill>
    </x:fill>
    <x:fill>
      <x:patternFill patternType="solid">
        <x:fgColor rgb="FFFFF8E8"/>
      </x:patternFill>
    </x:fill>
  </x:fills>
  <x:borders count="2">
    <x:border/>
    <x:border>
      <x:left style="thin">
        <x:color rgb="FFD9E2F0"/>
      </x:left>
      <x:right style="thin">
        <x:color rgb="FFD9E2F0"/>
      </x:right>
      <x:top style="thin">
        <x:color rgb="FFD9E2F0"/>
      </x:top>
      <x:bottom style="thin">
        <x:color rgb="FFD9E2F0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20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0" fontId="3" fillId="4" borderId="1" xfId="0" applyNumberFormat="1" applyFont="1" applyFill="1" applyBorder="1"/>
    <x:xf numFmtId="0" fontId="4" fillId="5" borderId="1" xfId="0" applyNumberFormat="1" applyFont="1" applyFill="1" applyBorder="1"/>
    <x:xf numFmtId="201" fontId="0" fillId="0" borderId="1" xfId="0" applyNumberFormat="1" applyFont="1" applyFill="1" applyBorder="1"/>
    <x:xf numFmtId="202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7babe163ae431d" /><Relationship Type="http://schemas.openxmlformats.org/officeDocument/2006/relationships/theme" Target="/xl/theme/theme1.xml" Id="R5e1ee669a9984005" /><Relationship Type="http://schemas.openxmlformats.org/officeDocument/2006/relationships/sharedStrings" Target="/xl/sharedStrings.xml" Id="Rbbfd2c91a8f14f6a" /><Relationship Type="http://schemas.openxmlformats.org/officeDocument/2006/relationships/worksheet" Target="/xl/worksheets/sheet1.xml" Id="R9a5a511d8d94411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2" hidden="0" customWidth="1"/>
    <x:col min="3" max="3" width="4" hidden="0" customWidth="1"/>
    <x:col min="4" max="4" width="27" hidden="0" customWidth="1"/>
    <x:col min="5" max="5" width="44" hidden="0" customWidth="1"/>
    <x:col min="6" max="6" width="6" hidden="0" customWidth="1"/>
  </x:cols>
  <x:sheetData>
    <x:row r="1" ht="30" customHeight="1">
      <x:c r="A1" s="24" t="str">
        <x:v>Product Beta R4 | Exception triage</x:v>
      </x:c>
      <x:c r="B1" s="24"/>
      <x:c r="C1" s="24"/>
      <x:c r="D1" s="24"/>
      <x:c r="E1" s="24"/>
      <x:c r="F1" s="24"/>
    </x:row>
    <x:row r="2">
      <x:c r="A2" s="25"/>
      <x:c r="B2" s="25"/>
      <x:c r="C2" s="25"/>
      <x:c r="D2" s="25"/>
      <x:c r="E2" s="25"/>
      <x:c r="F2" s="25"/>
    </x:row>
    <x:row r="3">
      <x:c r="A3" s="26" t="str">
        <x:v>Organization</x:v>
      </x:c>
      <x:c r="B3" s="27" t="str">
        <x:v>Aster Loop Product Engineering</x:v>
      </x:c>
      <x:c r="C3" s="25"/>
      <x:c r="D3" s="26" t="str">
        <x:v>Focus</x:v>
      </x:c>
      <x:c r="E3" s="27" t="str">
        <x:v>Compatibility criteria</x:v>
      </x:c>
      <x:c r="F3" s="27"/>
    </x:row>
    <x:row r="4">
      <x:c r="A4" s="26" t="str">
        <x:v>Artifact ID</x:v>
      </x:c>
      <x:c r="B4" s="27" t="str">
        <x:v>p01-full-010128</x:v>
      </x:c>
      <x:c r="C4" s="25"/>
      <x:c r="D4" s="26" t="str">
        <x:v>Dependency path</x:v>
      </x:c>
      <x:c r="E4" s="27" t="str">
        <x:v>repos/product-beta/docs/beta-r4-docs-yaml-src-000649.yaml</x:v>
      </x:c>
      <x:c r="F4" s="27"/>
    </x:row>
    <x:row r="5">
      <x:c r="A5" s="26" t="str">
        <x:v>Source ID</x:v>
      </x:c>
      <x:c r="B5" s="27" t="str">
        <x:v>p01-src-010128</x:v>
      </x:c>
      <x:c r="C5" s="25"/>
      <x:c r="D5" s="26" t="str">
        <x:v>Architecture review</x:v>
      </x:c>
      <x:c r="E5" s="28" t="n">
        <x:v>46251</x:v>
      </x:c>
      <x:c r="F5" s="27"/>
    </x:row>
    <x:row r="6">
      <x:c r="A6" s="26" t="str">
        <x:v>Dependency</x:v>
      </x:c>
      <x:c r="B6" s="27" t="str">
        <x:v>p01-full-000649</x:v>
      </x:c>
      <x:c r="C6" s="25"/>
      <x:c r="D6" s="26" t="str">
        <x:v>Target release</x:v>
      </x:c>
      <x:c r="E6" s="28" t="n">
        <x:v>46293</x:v>
      </x:c>
      <x:c r="F6" s="27"/>
    </x:row>
    <x:row r="7">
      <x:c r="A7" s="26" t="str">
        <x:v>Schema freeze</x:v>
      </x:c>
      <x:c r="B7" s="28" t="n">
        <x:v>46269</x:v>
      </x:c>
      <x:c r="C7" s="25"/>
      <x:c r="D7" s="26" t="str">
        <x:v>Artifact type</x:v>
      </x:c>
      <x:c r="E7" s="27" t="str">
        <x:v>Typed engineering release metric</x:v>
      </x:c>
      <x:c r="F7" s="27"/>
    </x:row>
    <x:row r="8">
      <x:c r="A8" s="25"/>
      <x:c r="B8" s="25"/>
      <x:c r="C8" s="25"/>
      <x:c r="D8" s="25"/>
      <x:c r="E8" s="25"/>
      <x:c r="F8" s="25"/>
    </x:row>
    <x:row r="9">
      <x:c r="A9" s="29" t="str">
        <x:v>Measure</x:v>
      </x:c>
      <x:c r="B9" s="29" t="str">
        <x:v>Value</x:v>
      </x:c>
      <x:c r="C9" s="25"/>
      <x:c r="D9" s="29" t="str">
        <x:v>Release control</x:v>
      </x:c>
      <x:c r="E9" s="29" t="str">
        <x:v>Typed status</x:v>
      </x:c>
      <x:c r="F9" s="25"/>
    </x:row>
    <x:row r="10">
      <x:c r="A10" s="30" t="str">
        <x:v>Design latency target (ms)</x:v>
      </x:c>
      <x:c r="B10" s="31" t="n">
        <x:v>225</x:v>
      </x:c>
      <x:c r="C10" s="25"/>
      <x:c r="D10" s="30" t="str">
        <x:v>Record dependency</x:v>
      </x:c>
      <x:c r="E10" s="27" t="str">
        <x:v>p01-full-000649</x:v>
      </x:c>
      <x:c r="F10" s="25"/>
    </x:row>
    <x:row r="11">
      <x:c r="A11" s="30" t="str">
        <x:v>Contract tests</x:v>
      </x:c>
      <x:c r="B11" s="31" t="n">
        <x:v>1240</x:v>
      </x:c>
      <x:c r="C11" s="25"/>
      <x:c r="D11" s="30" t="str">
        <x:v>Persist gate first</x:v>
      </x:c>
      <x:c r="E11" s="27" t="str">
        <x:v>Required before downstream delivery</x:v>
      </x:c>
      <x:c r="F11" s="25"/>
    </x:row>
    <x:row r="12">
      <x:c r="A12" s="30" t="str">
        <x:v>Passing tests</x:v>
      </x:c>
      <x:c r="B12" s="31" t="n">
        <x:v>1231</x:v>
      </x:c>
      <x:c r="C12" s="25"/>
      <x:c r="D12" s="30" t="str">
        <x:v>Design target status</x:v>
      </x:c>
      <x:c r="E12" s="27" t="str">
        <x:v>Reference only, not observed telemetry</x:v>
      </x:c>
      <x:c r="F12" s="25"/>
    </x:row>
    <x:row r="13">
      <x:c r="A13" s="30" t="str">
        <x:v>Failing tests</x:v>
      </x:c>
      <x:c r="B13" s="31" t="n">
        <x:v>9</x:v>
      </x:c>
      <x:c r="C13" s="25"/>
      <x:c r="D13" s="30" t="str">
        <x:v>Data classification</x:v>
      </x:c>
      <x:c r="E13" s="27" t="str">
        <x:v>Synthetic repository facts only</x:v>
      </x:c>
      <x:c r="F13" s="25"/>
    </x:row>
    <x:row r="14">
      <x:c r="A14" s="30" t="str">
        <x:v>Pass rate</x:v>
      </x:c>
      <x:c r="B14" s="32" t="n">
        <x:f>B12/B11</x:f>
        <x:v>0.992741935483871</x:v>
      </x:c>
      <x:c r="C14" s="25"/>
      <x:c r="D14" s="30" t="str">
        <x:v>Decision state</x:v>
      </x:c>
      <x:c r="E14" s="27" t="str">
        <x:f>IF(B15=0,"Reconciled","Review")</x:f>
        <x:v>Reconciled</x:v>
      </x:c>
      <x:c r="F14" s="25"/>
    </x:row>
    <x:row r="15">
      <x:c r="A15" s="30" t="str">
        <x:v>Reconciliation delta</x:v>
      </x:c>
      <x:c r="B15" s="31" t="n">
        <x:f>B12+B13-B11</x:f>
        <x:v>0</x:v>
      </x:c>
      <x:c r="C15" s="25"/>
      <x:c r="D15" s="25"/>
      <x:c r="E15" s="25"/>
      <x:c r="F15" s="25"/>
    </x:row>
    <x:row r="16">
      <x:c r="A16" s="25"/>
      <x:c r="B16" s="25"/>
      <x:c r="C16" s="25"/>
      <x:c r="D16" s="25"/>
      <x:c r="E16" s="25"/>
      <x:c r="F16" s="25"/>
    </x:row>
    <x:row r="17" ht="30" customHeight="1">
      <x:c r="A17" s="16" t="str">
        <x:v>Cross-format relationship: p01-full-010128 summarizes typed facts from p01-full-000649; preserve identifiers, dates, measures, and terminology.</x:v>
      </x:c>
      <x:c r="B17" s="16"/>
      <x:c r="C17" s="16"/>
      <x:c r="D17" s="16"/>
      <x:c r="E17" s="16"/>
      <x:c r="F17" s="16"/>
    </x:row>
  </x:sheetData>
  <x:mergeCells>
    <x:mergeCell ref="A1:F1"/>
    <x:mergeCell ref="A17:F17"/>
  </x:mergeCells>
  <x:pageMargins left="0.7" right="0.7" top="0.75" bottom="0.75" header="0.3" footer="0.3"/>
</x:worksheet>
</file>