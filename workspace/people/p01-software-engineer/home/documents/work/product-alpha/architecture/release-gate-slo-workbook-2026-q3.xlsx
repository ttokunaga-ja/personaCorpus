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93d84591b0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Summary" sheetId="1" r:id="Rea778859d12d4e58"/>
    <x:sheet xmlns:r="http://schemas.openxmlformats.org/officeDocument/2006/relationships" name="Latency" sheetId="2" r:id="R40eaf0f1ab5e4909"/>
    <x:sheet xmlns:r="http://schemas.openxmlformats.org/officeDocument/2006/relationships" name="Source Data" sheetId="3" r:id="R8cd5cdd0d72a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%"/>
    <x:numFmt numFmtId="202" formatCode="0.0%"/>
    <x:numFmt numFmtId="203" formatCode="0 &quot;ms&quot;"/>
  </x:numFmts>
  <x:fonts count="5">
    <x:font>
      <x:sz val="11"/>
      <x:name val="Carlito"/>
    </x:font>
    <x:font>
      <x:sz val="11"/>
      <x:name val="Aptos"/>
    </x:font>
    <x:font>
      <x:b/>
      <x:sz val="20"/>
      <x:color rgb="FFFFFFFF"/>
      <x:name val="Aptos Display"/>
    </x:font>
    <x:font>
      <x:b/>
      <x:sz val="11"/>
      <x:color rgb="FF17365D"/>
      <x:name val="Aptos"/>
    </x:font>
    <x:font>
      <x:b/>
      <x:sz val="11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08bef83394ba5" /><Relationship Type="http://schemas.openxmlformats.org/officeDocument/2006/relationships/theme" Target="/xl/theme/theme1.xml" Id="Redc2c7650224442f" /><Relationship Type="http://schemas.openxmlformats.org/officeDocument/2006/relationships/sharedStrings" Target="/xl/sharedStrings.xml" Id="R2171f04d78af4d20" /><Relationship Type="http://schemas.openxmlformats.org/officeDocument/2006/relationships/worksheet" Target="/xl/worksheets/sheet1.xml" Id="Rea778859d12d4e58" /><Relationship Type="http://schemas.openxmlformats.org/officeDocument/2006/relationships/worksheet" Target="/xl/worksheets/sheet2.xml" Id="R40eaf0f1ab5e4909" /><Relationship Type="http://schemas.openxmlformats.org/officeDocument/2006/relationships/worksheet" Target="/xl/worksheets/sheet3.xml" Id="R8cd5cdd0d72a49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d767787b374d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p95 latency contribution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p95 contribution (ms)</c:v>
          </c:tx>
          <c:cat>
            <c:strRef>
              <c:f>'Latency'!$A$2:$A$7</c:f>
              <c:strCache>
                <c:ptCount val="0"/>
              </c:strCache>
            </c:strRef>
          </c:cat>
          <c:val>
            <c:numRef>
              <c:f>'Latency'!$B$2:$B$7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767787b374d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7921f9419fb439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</x:cols>
  <x:sheetData>
    <x:row r="1">
      <x:c r="A1" s="12" t="str">
        <x:v>Product Alpha R7 — Release Gate SLO Evidence</x:v>
      </x:c>
      <x:c r="B1" s="12"/>
      <x:c r="C1" s="12"/>
      <x:c r="D1" s="12"/>
    </x:row>
    <x:row r="2">
      <x:c r="A2" s="13"/>
      <x:c r="B2" s="13"/>
      <x:c r="C2" s="13"/>
      <x:c r="D2" s="13"/>
    </x:row>
    <x:row r="3">
      <x:c r="A3" s="14" t="str">
        <x:v>Organization</x:v>
      </x:c>
      <x:c r="B3" s="13" t="str">
        <x:v>Aster Loop株式会社（synthetic）</x:v>
      </x:c>
      <x:c r="C3" s="13"/>
      <x:c r="D3" s="13"/>
    </x:row>
    <x:row r="4">
      <x:c r="A4" s="14" t="str">
        <x:v>Release date</x:v>
      </x:c>
      <x:c r="B4" s="13" t="str">
        <x:v>2026-07-13</x:v>
      </x:c>
      <x:c r="C4" s="13"/>
      <x:c r="D4" s="13"/>
    </x:row>
    <x:row r="5">
      <x:c r="A5" s="14" t="str">
        <x:v>Evidence window</x:v>
      </x:c>
      <x:c r="B5" s="13" t="str">
        <x:v>2026-07-13..2026-07-20</x:v>
      </x:c>
      <x:c r="C5" s="13"/>
      <x:c r="D5" s="13"/>
    </x:row>
    <x:row r="6">
      <x:c r="A6" s="14" t="str">
        <x:v>Review date</x:v>
      </x:c>
      <x:c r="B6" s="13" t="str">
        <x:v>2026-07-20</x:v>
      </x:c>
      <x:c r="C6" s="13"/>
      <x:c r="D6" s="13"/>
    </x:row>
    <x:row r="7">
      <x:c r="A7" s="14" t="str">
        <x:v>Decision</x:v>
      </x:c>
      <x:c r="B7" s="13" t="str">
        <x:v>ADR-042</x:v>
      </x:c>
      <x:c r="C7" s="13"/>
      <x:c r="D7" s="13"/>
    </x:row>
    <x:row r="8">
      <x:c r="A8" s="14" t="str">
        <x:v>Disposition</x:v>
      </x:c>
      <x:c r="B8" s="13" t="str">
        <x:v>keep ADR-042</x:v>
      </x:c>
      <x:c r="C8" s="13"/>
      <x:c r="D8" s="13"/>
    </x:row>
    <x:row r="9">
      <x:c r="A9" s="14" t="str">
        <x:v>Observed requests</x:v>
      </x:c>
      <x:c r="B9" s="15" t="n">
        <x:v>84200</x:v>
      </x:c>
      <x:c r="C9" s="13"/>
      <x:c r="D9" s="13"/>
    </x:row>
    <x:row r="10">
      <x:c r="A10" s="14" t="str">
        <x:v>Successful requests</x:v>
      </x:c>
      <x:c r="B10" s="15" t="n">
        <x:v>84149</x:v>
      </x:c>
      <x:c r="C10" s="13"/>
      <x:c r="D10" s="13"/>
    </x:row>
    <x:row r="11">
      <x:c r="A11" s="14" t="str">
        <x:v>Success rate</x:v>
      </x:c>
      <x:c r="B11" s="16" t="n">
        <x:f>B10/B9</x:f>
        <x:v>0.999394299287411</x:v>
      </x:c>
      <x:c r="C11" s="13"/>
      <x:c r="D11" s="13"/>
    </x:row>
    <x:row r="12">
      <x:c r="A12" s="14" t="str">
        <x:v>Unsuccessful requests</x:v>
      </x:c>
      <x:c r="B12" s="15" t="n">
        <x:f>B9-B10</x:f>
        <x:v>51</x:v>
      </x:c>
      <x:c r="C12" s="13"/>
      <x:c r="D12" s="13"/>
    </x:row>
    <x:row r="13">
      <x:c r="A13" s="14" t="str">
        <x:v>Gate decisions sampled</x:v>
      </x:c>
      <x:c r="B13" s="15" t="n">
        <x:v>9000</x:v>
      </x:c>
      <x:c r="C13" s="13"/>
      <x:c r="D13" s="13"/>
    </x:row>
    <x:row r="14">
      <x:c r="A14" s="14" t="str">
        <x:v>Approved decisions</x:v>
      </x:c>
      <x:c r="B14" s="15" t="n">
        <x:v>8883</x:v>
      </x:c>
      <x:c r="C14" s="13"/>
      <x:c r="D14" s="13"/>
    </x:row>
    <x:row r="15">
      <x:c r="A15" s="14" t="str">
        <x:v>Approval rate</x:v>
      </x:c>
      <x:c r="B15" s="17" t="n">
        <x:f>B14/B13</x:f>
        <x:v>0.987</x:v>
      </x:c>
      <x:c r="C15" s="13"/>
      <x:c r="D15" s="13"/>
    </x:row>
    <x:row r="16">
      <x:c r="A16" s="14" t="str">
        <x:v>Non-approved decisions</x:v>
      </x:c>
      <x:c r="B16" s="15" t="n">
        <x:f>B13-B14</x:f>
        <x:v>117</x:v>
      </x:c>
      <x:c r="C16" s="13"/>
      <x:c r="D16" s="13"/>
    </x:row>
    <x:row r="17">
      <x:c r="A17" s="14" t="str">
        <x:v>Rollback drill</x:v>
      </x:c>
      <x:c r="B17" s="13" t="str">
        <x:v>2026-07-17</x:v>
      </x:c>
      <x:c r="C17" s="13"/>
      <x:c r="D17" s="13"/>
    </x:row>
    <x:row r="18">
      <x:c r="A18" s="14" t="str">
        <x:v>Recovery seconds</x:v>
      </x:c>
      <x:c r="B18" s="15" t="n">
        <x:v>702</x:v>
      </x:c>
      <x:c r="C18" s="13"/>
      <x:c r="D18" s="13"/>
    </x:row>
    <x:row r="19">
      <x:c r="A19" s="14" t="str">
        <x:v>Recovery duration</x:v>
      </x:c>
      <x:c r="B19" s="13" t="str">
        <x:v>11m42s</x:v>
      </x:c>
      <x:c r="C19" s="13"/>
      <x:c r="D19" s="13"/>
    </x:row>
    <x:row r="20">
      <x:c r="A20" s="14" t="str">
        <x:v>End-to-end p95</x:v>
      </x:c>
      <x:c r="B20" s="18" t="n">
        <x:f>SUM('Latency'!B2:B7)</x:f>
        <x:v>184</x:v>
      </x:c>
      <x:c r="C20" s="13"/>
      <x:c r="D20" s="13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>
      <x:c r="A1" s="19" t="str">
        <x:v>Ordered stage</x:v>
      </x:c>
      <x:c r="B1" s="19" t="str">
        <x:v>p95 contribution (ms)</x:v>
      </x:c>
    </x:row>
    <x:row r="2">
      <x:c r="A2" s="2" t="str">
        <x:v>Request intake</x:v>
      </x:c>
      <x:c r="B2" s="2" t="n">
        <x:v>28</x:v>
      </x:c>
    </x:row>
    <x:row r="3">
      <x:c r="A3" s="2" t="str">
        <x:v>Edge API</x:v>
      </x:c>
      <x:c r="B3" s="2" t="n">
        <x:v>32</x:v>
      </x:c>
    </x:row>
    <x:row r="4">
      <x:c r="A4" s="2" t="str">
        <x:v>Release Coordinator</x:v>
      </x:c>
      <x:c r="B4" s="2" t="n">
        <x:v>46</x:v>
      </x:c>
    </x:row>
    <x:row r="5">
      <x:c r="A5" s="2" t="str">
        <x:v>Decision Store</x:v>
      </x:c>
      <x:c r="B5" s="2" t="n">
        <x:v>24</x:v>
      </x:c>
    </x:row>
    <x:row r="6">
      <x:c r="A6" s="2" t="str">
        <x:v>Event Bus</x:v>
      </x:c>
      <x:c r="B6" s="2" t="n">
        <x:v>18</x:v>
      </x:c>
    </x:row>
    <x:row r="7">
      <x:c r="A7" s="2" t="str">
        <x:v>Observability confirmation</x:v>
      </x:c>
      <x:c r="B7" s="2" t="n">
        <x:v>36</x:v>
      </x:c>
    </x:row>
    <x:row r="8">
      <x:c r="A8" s="7" t="str">
        <x:v>Total</x:v>
      </x:c>
      <x:c r="B8" s="7" t="n">
        <x:f>SUM(B2:B7)</x:f>
        <x:v>184</x:v>
      </x:c>
    </x:row>
  </x:sheetData>
  <x:pageMargins left="0.7" right="0.7" top="0.75" bottom="0.75" header="0.3" footer="0.3"/>
  <x:drawing xmlns:r="http://schemas.openxmlformats.org/officeDocument/2006/relationships" r:id="Rf7921f9419fb439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19" t="str">
        <x:v>Metric</x:v>
      </x:c>
      <x:c r="B1" s="19" t="str">
        <x:v>Numerator</x:v>
      </x:c>
      <x:c r="C1" s="19" t="str">
        <x:v>Denominator</x:v>
      </x:c>
      <x:c r="D1" s="19" t="str">
        <x:v>Recorded value</x:v>
      </x:c>
      <x:c r="E1" s="19" t="str">
        <x:v>Unit</x:v>
      </x:c>
    </x:row>
    <x:row r="2">
      <x:c r="A2" s="2" t="str">
        <x:v>Requests</x:v>
      </x:c>
      <x:c r="B2" s="2" t="n">
        <x:v>84200</x:v>
      </x:c>
      <x:c r="C2" s="2"/>
      <x:c r="D2" s="2" t="n">
        <x:v>84200</x:v>
      </x:c>
      <x:c r="E2" s="2" t="str">
        <x:v>requests</x:v>
      </x:c>
    </x:row>
    <x:row r="3">
      <x:c r="A3" s="2" t="str">
        <x:v>Successful</x:v>
      </x:c>
      <x:c r="B3" s="2" t="n">
        <x:v>84149</x:v>
      </x:c>
      <x:c r="C3" s="2" t="n">
        <x:v>84200</x:v>
      </x:c>
      <x:c r="D3" s="2" t="n">
        <x:v>84149</x:v>
      </x:c>
      <x:c r="E3" s="2" t="str">
        <x:v>requests</x:v>
      </x:c>
    </x:row>
    <x:row r="4">
      <x:c r="A4" s="2" t="str">
        <x:v>Unsuccessful</x:v>
      </x:c>
      <x:c r="B4" s="2" t="n">
        <x:v>51</x:v>
      </x:c>
      <x:c r="C4" s="2" t="n">
        <x:v>84200</x:v>
      </x:c>
      <x:c r="D4" s="2" t="n">
        <x:v>51</x:v>
      </x:c>
      <x:c r="E4" s="2" t="str">
        <x:v>requests</x:v>
      </x:c>
    </x:row>
    <x:row r="5">
      <x:c r="A5" s="2" t="str">
        <x:v>Approved</x:v>
      </x:c>
      <x:c r="B5" s="2" t="n">
        <x:v>8883</x:v>
      </x:c>
      <x:c r="C5" s="2" t="n">
        <x:v>9000</x:v>
      </x:c>
      <x:c r="D5" s="2" t="n">
        <x:v>8883</x:v>
      </x:c>
      <x:c r="E5" s="2" t="str">
        <x:v>decisions</x:v>
      </x:c>
    </x:row>
    <x:row r="6">
      <x:c r="A6" s="2" t="str">
        <x:v>Non-approved</x:v>
      </x:c>
      <x:c r="B6" s="2" t="n">
        <x:v>117</x:v>
      </x:c>
      <x:c r="C6" s="2" t="n">
        <x:v>9000</x:v>
      </x:c>
      <x:c r="D6" s="2" t="n">
        <x:v>117</x:v>
      </x:c>
      <x:c r="E6" s="2" t="str">
        <x:v>decisions</x:v>
      </x:c>
    </x:row>
    <x:row r="7">
      <x:c r="A7" s="2" t="str">
        <x:v>Recovery</x:v>
      </x:c>
      <x:c r="B7" s="2" t="n">
        <x:v>702</x:v>
      </x:c>
      <x:c r="C7" s="2"/>
      <x:c r="D7" s="2" t="n">
        <x:v>702</x:v>
      </x:c>
      <x:c r="E7" s="2" t="str">
        <x:v>seconds</x:v>
      </x:c>
    </x:row>
  </x:sheetData>
  <x:pageMargins left="0.7" right="0.7" top="0.75" bottom="0.75" header="0.3" footer="0.3"/>
</x:worksheet>
</file>