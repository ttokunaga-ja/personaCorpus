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96000d4dcb4e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ecks" sheetId="1" r:id="R4d5c089c1f954967"/>
    <x:sheet xmlns:r="http://schemas.openxmlformats.org/officeDocument/2006/relationships" name="Metrics" sheetId="2" r:id="Rdd3b6d75d49f4572"/>
    <x:sheet xmlns:r="http://schemas.openxmlformats.org/officeDocument/2006/relationships" name="Summary" sheetId="3" r:id="Ra727aa0035f244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.0%"/>
    <x:numFmt numFmtId="203" formatCode="#,##0 &quot;ms&quot;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242A56"/>
      <x:name val="Carlito"/>
    </x:font>
    <x:font>
      <x:i/>
      <x:sz val="11"/>
      <x:color rgb="FF303A7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42A56"/>
      </x:patternFill>
    </x:fill>
    <x:fill>
      <x:patternFill patternType="solid">
        <x:fgColor rgb="FFE8ECFF"/>
      </x:patternFill>
    </x:fill>
    <x:fill>
      <x:patternFill patternType="solid">
        <x:fgColor rgb="FFF1F3FA"/>
      </x:patternFill>
    </x:fill>
  </x:fills>
  <x:borders count="13">
    <x:border/>
    <x:border>
      <x:left style="thin">
        <x:color rgb="FFB8C0E6"/>
      </x:left>
      <x:top style="thin">
        <x:color rgb="FFB8C0E6"/>
      </x:top>
      <x:bottom style="thin">
        <x:color rgb="FFB8C0E6"/>
      </x:bottom>
    </x:border>
    <x:border>
      <x:top style="thin">
        <x:color rgb="FFB8C0E6"/>
      </x:top>
      <x:bottom style="thin">
        <x:color rgb="FFB8C0E6"/>
      </x:bottom>
    </x:border>
    <x:border>
      <x:right style="thin">
        <x:color rgb="FFB8C0E6"/>
      </x:right>
      <x:top style="thin">
        <x:color rgb="FFB8C0E6"/>
      </x:top>
      <x:bottom style="thin">
        <x:color rgb="FFB8C0E6"/>
      </x:bottom>
    </x:border>
    <x:border>
      <x:right style="thin">
        <x:color rgb="FFD9DDEA"/>
      </x:right>
      <x:bottom style="thin">
        <x:color rgb="FFD9DDEA"/>
      </x:bottom>
    </x:border>
    <x:border>
      <x:left style="thin">
        <x:color rgb="FFD9DDEA"/>
      </x:left>
      <x:right style="thin">
        <x:color rgb="FFD9DDEA"/>
      </x:right>
      <x:bottom style="thin">
        <x:color rgb="FFD9DDEA"/>
      </x:bottom>
    </x:border>
    <x:border>
      <x:left style="thin">
        <x:color rgb="FFD9DDEA"/>
      </x:left>
      <x:bottom style="thin">
        <x:color rgb="FFD9DDEA"/>
      </x:bottom>
    </x:border>
    <x:border>
      <x:right style="thin">
        <x:color rgb="FFD9DDEA"/>
      </x:right>
      <x:top style="thin">
        <x:color rgb="FFD9DDEA"/>
      </x:top>
      <x:bottom style="thin">
        <x:color rgb="FFD9DDEA"/>
      </x:bottom>
    </x:border>
    <x:border>
      <x:left style="thin">
        <x:color rgb="FFD9DDEA"/>
      </x:left>
      <x:right style="thin">
        <x:color rgb="FFD9DDEA"/>
      </x:right>
      <x:top style="thin">
        <x:color rgb="FFD9DDEA"/>
      </x:top>
      <x:bottom style="thin">
        <x:color rgb="FFD9DDEA"/>
      </x:bottom>
    </x:border>
    <x:border>
      <x:left style="thin">
        <x:color rgb="FFD9DDEA"/>
      </x:left>
      <x:top style="thin">
        <x:color rgb="FFD9DDEA"/>
      </x:top>
      <x:bottom style="thin">
        <x:color rgb="FFD9DDEA"/>
      </x:bottom>
    </x:border>
    <x:border>
      <x:right style="thin">
        <x:color rgb="FFD9DDEA"/>
      </x:right>
      <x:top style="thin">
        <x:color rgb="FFD9DDEA"/>
      </x:top>
    </x:border>
    <x:border>
      <x:left style="thin">
        <x:color rgb="FFD9DDEA"/>
      </x:left>
      <x:right style="thin">
        <x:color rgb="FFD9DDEA"/>
      </x:right>
      <x:top style="thin">
        <x:color rgb="FFD9DDEA"/>
      </x:top>
    </x:border>
    <x:border>
      <x:left style="thin">
        <x:color rgb="FFD9DDEA"/>
      </x:left>
      <x:top style="thin">
        <x:color rgb="FFD9DDEA"/>
      </x:top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200" fontId="0" fillId="0" borderId="5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200" fontId="0" fillId="0" borderId="1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6" xfId="0" applyNumberFormat="1" applyFont="1" applyFill="1" applyBorder="1" applyAlignment="1">
      <x:alignment vertical="center" wrapText="1"/>
    </x:xf>
    <x:xf numFmtId="203" fontId="0" fillId="0" borderId="9" xfId="0" applyNumberFormat="1" applyFont="1" applyFill="1" applyBorder="1" applyAlignment="1">
      <x:alignment vertical="center" wrapText="1"/>
    </x:xf>
    <x:xf numFmtId="201" fontId="0" fillId="0" borderId="9" xfId="0" applyNumberFormat="1" applyFont="1" applyFill="1" applyBorder="1" applyAlignment="1">
      <x:alignment vertical="center" wrapText="1"/>
    </x:xf>
    <x:xf numFmtId="0" fontId="0" fillId="4" borderId="4" xfId="0" applyNumberFormat="1" applyFont="1" applyFill="1" applyBorder="1" applyAlignment="1">
      <x:alignment vertical="center" wrapText="1"/>
    </x:xf>
    <x:xf numFmtId="0" fontId="0" fillId="4" borderId="7" xfId="0" applyNumberFormat="1" applyFont="1" applyFill="1" applyBorder="1" applyAlignment="1">
      <x:alignment vertical="center" wrapText="1"/>
    </x:xf>
    <x:xf numFmtId="0" fontId="0" fillId="4" borderId="10" xfId="0" applyNumberFormat="1" applyFont="1" applyFill="1" applyBorder="1" applyAlignment="1">
      <x:alignment vertical="center" wrapText="1"/>
    </x:xf>
    <x:xf numFmtId="0" fontId="2" fillId="4" borderId="4" xfId="0" applyNumberFormat="1" applyFont="1" applyFill="1" applyBorder="1" applyAlignment="1">
      <x:alignment vertical="center" wrapText="1"/>
    </x:xf>
    <x:xf numFmtId="0" fontId="2" fillId="4" borderId="7" xfId="0" applyNumberFormat="1" applyFont="1" applyFill="1" applyBorder="1" applyAlignment="1">
      <x:alignment vertical="center" wrapText="1"/>
    </x:xf>
    <x:xf numFmtId="0" fontId="2" fillId="4" borderId="10" xfId="0" applyNumberFormat="1" applyFont="1" applyFill="1" applyBorder="1" applyAlignment="1">
      <x:alignment vertical="center" wrapText="1"/>
    </x:xf>
    <x:xf numFmtId="202" fontId="0" fillId="0" borderId="9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76543"/>
      </x:font>
      <x:fill>
        <x:patternFill patternType="solid">
          <x:bgColor rgb="FFDDF4E7"/>
        </x:patternFill>
      </x:fill>
    </x:dxf>
    <x:dxf>
      <x:font>
        <x:b/>
        <x:color rgb="FF176543"/>
      </x:font>
      <x:fill>
        <x:patternFill patternType="solid">
          <x:bgColor rgb="FFDDF4E7"/>
        </x:patternFill>
      </x:fill>
    </x:dxf>
    <x:dxf>
      <x:font>
        <x:b/>
        <x:color rgb="FF176543"/>
      </x:font>
      <x:fill>
        <x:patternFill patternType="solid">
          <x:bgColor rgb="FFDDF4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a30d5a32724475" /><Relationship Type="http://schemas.openxmlformats.org/officeDocument/2006/relationships/theme" Target="/xl/theme/theme1.xml" Id="R885412f653b243e0" /><Relationship Type="http://schemas.openxmlformats.org/officeDocument/2006/relationships/sharedStrings" Target="/xl/sharedStrings.xml" Id="R80e04a5628c14ddd" /><Relationship Type="http://schemas.openxmlformats.org/officeDocument/2006/relationships/worksheet" Target="/xl/worksheets/sheet1.xml" Id="R4d5c089c1f954967" /><Relationship Type="http://schemas.openxmlformats.org/officeDocument/2006/relationships/worksheet" Target="/xl/worksheets/sheet2.xml" Id="Rdd3b6d75d49f4572" /><Relationship Type="http://schemas.openxmlformats.org/officeDocument/2006/relationships/worksheet" Target="/xl/worksheets/sheet3.xml" Id="Ra727aa0035f244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9" hidden="0" customWidth="1"/>
    <x:col min="3" max="3" width="7.21999979019165" hidden="0" customWidth="1"/>
    <x:col min="4" max="4" width="13.5600004196167" hidden="0" customWidth="1"/>
    <x:col min="5" max="5" width="5.440000057220459" hidden="0" customWidth="1"/>
    <x:col min="6" max="6" width="23" hidden="0" customWidth="1"/>
  </x:cols>
  <x:sheetData>
    <x:row r="1" ht="28" customHeight="1">
      <x:c r="A1" s="4" t="str">
        <x:v>Product Alpha R7 · Release Verification Checks</x:v>
      </x:c>
      <x:c r="B1" s="4"/>
      <x:c r="C1" s="4"/>
      <x:c r="D1" s="4"/>
      <x:c r="E1" s="4"/>
      <x:c r="F1" s="4"/>
    </x:row>
    <x:row r="2">
      <x:c r="A2" s="13" t="str">
        <x:v>Release</x:v>
      </x:c>
      <x:c r="B2" s="14" t="str">
        <x:v>Date</x:v>
      </x:c>
      <x:c r="C2" s="14" t="str">
        <x:v>Decision</x:v>
      </x:c>
      <x:c r="D2" s="14" t="str">
        <x:v>Check</x:v>
      </x:c>
      <x:c r="E2" s="14" t="str">
        <x:v>Result</x:v>
      </x:c>
      <x:c r="F2" s="15" t="str">
        <x:v>Evidence</x:v>
      </x:c>
    </x:row>
    <x:row r="3">
      <x:c r="A3" s="34" t="str">
        <x:v>Product Alpha R7</x:v>
      </x:c>
      <x:c r="B3" s="43" t="str">
        <x:v>2026-07-13</x:v>
      </x:c>
      <x:c r="C3" s="35" t="str">
        <x:v>ADR-042</x:v>
      </x:c>
      <x:c r="D3" s="35" t="str">
        <x:v>Unit suite</x:v>
      </x:c>
      <x:c r="E3" s="35" t="str">
        <x:v>Pass</x:v>
      </x:c>
      <x:c r="F3" s="36" t="str">
        <x:v>186 / 186</x:v>
      </x:c>
    </x:row>
    <x:row r="4">
      <x:c r="A4" s="37" t="str">
        <x:v>Product Alpha R7</x:v>
      </x:c>
      <x:c r="B4" s="44" t="str">
        <x:v>2026-07-13</x:v>
      </x:c>
      <x:c r="C4" s="38" t="str">
        <x:v>ADR-042</x:v>
      </x:c>
      <x:c r="D4" s="38" t="str">
        <x:v>Contract suite</x:v>
      </x:c>
      <x:c r="E4" s="38" t="str">
        <x:v>Pass</x:v>
      </x:c>
      <x:c r="F4" s="39" t="str">
        <x:v>42 / 42</x:v>
      </x:c>
    </x:row>
    <x:row r="5">
      <x:c r="A5" s="37" t="str">
        <x:v>Product Alpha R7</x:v>
      </x:c>
      <x:c r="B5" s="44" t="str">
        <x:v>2026-07-13</x:v>
      </x:c>
      <x:c r="C5" s="38" t="str">
        <x:v>ADR-042</x:v>
      </x:c>
      <x:c r="D5" s="38" t="str">
        <x:v>R6 compatibility</x:v>
      </x:c>
      <x:c r="E5" s="38" t="str">
        <x:v>Pass</x:v>
      </x:c>
      <x:c r="F5" s="39" t="str">
        <x:v>18 / 18</x:v>
      </x:c>
    </x:row>
    <x:row r="6">
      <x:c r="A6" s="37" t="str">
        <x:v>Product Alpha R7</x:v>
      </x:c>
      <x:c r="B6" s="44" t="str">
        <x:v>2026-07-13</x:v>
      </x:c>
      <x:c r="C6" s="38" t="str">
        <x:v>ADR-042</x:v>
      </x:c>
      <x:c r="D6" s="38" t="str">
        <x:v>Synthetic canary</x:v>
      </x:c>
      <x:c r="E6" s="38" t="str">
        <x:v>Pass</x:v>
      </x:c>
      <x:c r="F6" s="39" t="str">
        <x:v>48 / 48 terminal</x:v>
      </x:c>
    </x:row>
    <x:row r="7">
      <x:c r="A7" s="37" t="str">
        <x:v>Product Alpha R7</x:v>
      </x:c>
      <x:c r="B7" s="44" t="str">
        <x:v>2026-07-13</x:v>
      </x:c>
      <x:c r="C7" s="38" t="str">
        <x:v>ADR-042</x:v>
      </x:c>
      <x:c r="D7" s="38" t="str">
        <x:v>Recovery drill</x:v>
      </x:c>
      <x:c r="E7" s="38" t="str">
        <x:v>Pass</x:v>
      </x:c>
      <x:c r="F7" s="39" t="str">
        <x:v>6 / 6 steps</x:v>
      </x:c>
    </x:row>
    <x:row r="8">
      <x:c r="A8" s="37" t="str">
        <x:v>Product Alpha R7</x:v>
      </x:c>
      <x:c r="B8" s="44" t="str">
        <x:v>2026-07-13</x:v>
      </x:c>
      <x:c r="C8" s="38" t="str">
        <x:v>ADR-042</x:v>
      </x:c>
      <x:c r="D8" s="38" t="str">
        <x:v>p95 threshold</x:v>
      </x:c>
      <x:c r="E8" s="38" t="str">
        <x:v>Pass</x:v>
      </x:c>
      <x:c r="F8" s="39" t="str">
        <x:v>184 ms ≤ 200 ms</x:v>
      </x:c>
    </x:row>
    <x:row r="9">
      <x:c r="A9" s="40" t="str">
        <x:v>Product Alpha R7</x:v>
      </x:c>
      <x:c r="B9" s="45" t="str">
        <x:v>2026-07-13</x:v>
      </x:c>
      <x:c r="C9" s="41" t="str">
        <x:v>ADR-042</x:v>
      </x:c>
      <x:c r="D9" s="41" t="str">
        <x:v>Resolved warning</x:v>
      </x:c>
      <x:c r="E9" s="41" t="str">
        <x:v>Pass</x:v>
      </x:c>
      <x:c r="F9" s="42" t="str">
        <x:v>warm pool restored</x:v>
      </x:c>
    </x:row>
    <x:row r="11">
      <x:c r="A11" s="47" t="str">
        <x:v>Check total</x:v>
      </x:c>
      <x:c r="B11" s="48" t="n">
        <x:f>COUNTA(E3:E9)</x:f>
        <x:v>7</x:v>
      </x:c>
    </x:row>
    <x:row r="12">
      <x:c r="A12" s="47" t="str">
        <x:v>Pass count</x:v>
      </x:c>
      <x:c r="B12" s="48" t="n">
        <x:f>COUNTIF(E3:E9,"Pass")</x:f>
        <x:v>7</x:v>
      </x:c>
    </x:row>
    <x:row r="13">
      <x:c r="A13" s="47" t="str">
        <x:v>Pass rate</x:v>
      </x:c>
      <x:c r="B13" s="49" t="n">
        <x:f>B12/B11</x:f>
        <x:v>1</x:v>
      </x:c>
    </x:row>
  </x:sheetData>
  <x:mergeCells>
    <x:mergeCell ref="A1:F1"/>
  </x:mergeCells>
  <x:conditionalFormatting sqref="E3:E9">
    <x:cfRule type="cellIs" dxfId="0" priority="1" operator="equal">
      <x:formula>"Pass"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1.670000076293945" hidden="0" customWidth="1"/>
    <x:col min="3" max="3" width="7.110000133514404" hidden="0" customWidth="1"/>
    <x:col min="4" max="4" width="7.110000133514404" hidden="0" customWidth="1"/>
    <x:col min="5" max="5" width="14.329999923706055" hidden="0" customWidth="1"/>
  </x:cols>
  <x:sheetData>
    <x:row r="1" ht="28" customHeight="1">
      <x:c r="A1" s="4" t="str">
        <x:v>Product Alpha R7 · Synthetic Canary Metrics</x:v>
      </x:c>
      <x:c r="B1" s="4"/>
      <x:c r="C1" s="4"/>
      <x:c r="D1" s="4"/>
      <x:c r="E1" s="4"/>
    </x:row>
    <x:row r="2">
      <x:c r="A2" s="13" t="str">
        <x:v>Observation</x:v>
      </x:c>
      <x:c r="B2" s="14" t="str">
        <x:v>p50 (ms)</x:v>
      </x:c>
      <x:c r="C2" s="14" t="str">
        <x:v>p95 (ms)</x:v>
      </x:c>
      <x:c r="D2" s="14" t="str">
        <x:v>p99 (ms)</x:v>
      </x:c>
      <x:c r="E2" s="15" t="str">
        <x:v>Terminal requests</x:v>
      </x:c>
    </x:row>
    <x:row r="3">
      <x:c r="A3" s="34" t="str">
        <x:v>2026-07-13 08:55 UTC</x:v>
      </x:c>
      <x:c r="B3" s="35" t="n">
        <x:v>91</x:v>
      </x:c>
      <x:c r="C3" s="35" t="n">
        <x:v>176</x:v>
      </x:c>
      <x:c r="D3" s="35" t="n">
        <x:v>221</x:v>
      </x:c>
      <x:c r="E3" s="36" t="n">
        <x:v>12</x:v>
      </x:c>
    </x:row>
    <x:row r="4">
      <x:c r="A4" s="37" t="str">
        <x:v>2026-07-13 09:10 UTC</x:v>
      </x:c>
      <x:c r="B4" s="38" t="n">
        <x:v>94</x:v>
      </x:c>
      <x:c r="C4" s="38" t="n">
        <x:v>184</x:v>
      </x:c>
      <x:c r="D4" s="38" t="n">
        <x:v>236</x:v>
      </x:c>
      <x:c r="E4" s="39" t="n">
        <x:v>12</x:v>
      </x:c>
    </x:row>
    <x:row r="5">
      <x:c r="A5" s="37" t="str">
        <x:v>2026-07-13 09:25 UTC</x:v>
      </x:c>
      <x:c r="B5" s="38" t="n">
        <x:v>88</x:v>
      </x:c>
      <x:c r="C5" s="38" t="n">
        <x:v>181</x:v>
      </x:c>
      <x:c r="D5" s="38" t="n">
        <x:v>271</x:v>
      </x:c>
      <x:c r="E5" s="39" t="n">
        <x:v>12</x:v>
      </x:c>
    </x:row>
    <x:row r="6">
      <x:c r="A6" s="40" t="str">
        <x:v>2026-07-13 09:40 UTC</x:v>
      </x:c>
      <x:c r="B6" s="41" t="n">
        <x:v>90</x:v>
      </x:c>
      <x:c r="C6" s="41" t="n">
        <x:v>179</x:v>
      </x:c>
      <x:c r="D6" s="41" t="n">
        <x:v>228</x:v>
      </x:c>
      <x:c r="E6" s="42" t="n">
        <x:v>12</x:v>
      </x:c>
    </x:row>
    <x:row r="8">
      <x:c r="A8" s="13" t="str">
        <x:v>Metric</x:v>
      </x:c>
      <x:c r="B8" s="15" t="str">
        <x:v>Formula result</x:v>
      </x:c>
    </x:row>
    <x:row r="9">
      <x:c r="A9" s="34" t="str">
        <x:v>Target p95 (ms)</x:v>
      </x:c>
      <x:c r="B9" s="50" t="n">
        <x:v>200</x:v>
      </x:c>
    </x:row>
    <x:row r="10">
      <x:c r="A10" s="37" t="str">
        <x:v>Observed p95 (ms)</x:v>
      </x:c>
      <x:c r="B10" s="51" t="n">
        <x:f>MAX(C3:C6)</x:f>
        <x:v>184</x:v>
      </x:c>
    </x:row>
    <x:row r="11">
      <x:c r="A11" s="37" t="str">
        <x:v>p95 margin (ms)</x:v>
      </x:c>
      <x:c r="B11" s="51" t="n">
        <x:f>B9-B10</x:f>
        <x:v>16</x:v>
      </x:c>
    </x:row>
    <x:row r="12">
      <x:c r="A12" s="37" t="str">
        <x:v>Total terminal requests</x:v>
      </x:c>
      <x:c r="B12" s="52" t="n">
        <x:f>SUM(E3:E6)</x:f>
        <x:v>48</x:v>
      </x:c>
    </x:row>
    <x:row r="13">
      <x:c r="A13" s="40" t="str">
        <x:v>p99 warning resolved</x:v>
      </x:c>
      <x:c r="B13" s="42" t="str">
        <x:v>Yes</x:v>
      </x:c>
    </x:row>
  </x:sheetData>
  <x:mergeCells>
    <x:mergeCell ref="A1:E1"/>
  </x:mergeCells>
  <x:conditionalFormatting sqref="B10:B11">
    <x:cfRule type="cellIs" dxfId="1" priority="1" operator="lessThanOrEqual">
      <x:formula>200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" hidden="0" customWidth="1"/>
  </x:cols>
  <x:sheetData>
    <x:row r="1" ht="28" customHeight="1">
      <x:c r="A1" s="4" t="str">
        <x:v>Product Alpha R7 · Release Readiness Summary</x:v>
      </x:c>
      <x:c r="B1" s="4"/>
      <x:c r="C1" s="4"/>
      <x:c r="D1" s="4"/>
      <x:c r="E1" s="4"/>
      <x:c r="F1" s="4"/>
    </x:row>
    <x:row r="3">
      <x:c r="A3" s="13" t="str">
        <x:v>Readiness signal</x:v>
      </x:c>
      <x:c r="B3" s="15" t="str">
        <x:v>Value</x:v>
      </x:c>
    </x:row>
    <x:row r="4">
      <x:c r="A4" s="56" t="str">
        <x:v>Release date</x:v>
      </x:c>
      <x:c r="B4" s="36" t="str">
        <x:v>2026-07-13</x:v>
      </x:c>
    </x:row>
    <x:row r="5">
      <x:c r="A5" s="57" t="str">
        <x:v>Decision reference</x:v>
      </x:c>
      <x:c r="B5" s="39" t="str">
        <x:v>ADR-042</x:v>
      </x:c>
    </x:row>
    <x:row r="6">
      <x:c r="A6" s="57" t="str">
        <x:v>Pass rate</x:v>
      </x:c>
      <x:c r="B6" s="59" t="n">
        <x:f>'Checks'!B13</x:f>
        <x:v>1</x:v>
      </x:c>
    </x:row>
    <x:row r="7">
      <x:c r="A7" s="57" t="str">
        <x:v>Observed p95</x:v>
      </x:c>
      <x:c r="B7" s="51" t="n">
        <x:f>'Metrics'!B10</x:f>
        <x:v>184</x:v>
      </x:c>
    </x:row>
    <x:row r="8">
      <x:c r="A8" s="57" t="str">
        <x:v>p95 margin</x:v>
      </x:c>
      <x:c r="B8" s="51" t="n">
        <x:f>'Metrics'!B11</x:f>
        <x:v>16</x:v>
      </x:c>
    </x:row>
    <x:row r="9">
      <x:c r="A9" s="58" t="str">
        <x:v>Promotion decision</x:v>
      </x:c>
      <x:c r="B9" s="42" t="str">
        <x:f>IF(AND(B6=1,B7&lt;=200,B8&gt;=0),"Approved","Hold")</x:f>
        <x:v>Approved</x:v>
      </x:c>
    </x:row>
    <x:row r="11">
      <x:c r="A11" s="61" t="str">
        <x:v>Synthetic release evidence only. Product Alpha R7 · Aster Loop 株式会社 · 2026-07-13.</x:v>
      </x:c>
      <x:c r="B11" s="61"/>
      <x:c r="C11" s="61"/>
      <x:c r="D11" s="61"/>
      <x:c r="E11" s="61"/>
      <x:c r="F11" s="61"/>
    </x:row>
  </x:sheetData>
  <x:mergeCells>
    <x:mergeCell ref="A1:F1"/>
    <x:mergeCell ref="A11:F11"/>
  </x:mergeCells>
  <x:conditionalFormatting sqref="B9:B9">
    <x:cfRule type="cellIs" dxfId="2" priority="1" operator="equal">
      <x:formula>"Approved"</x:formula>
    </x:cfRule>
  </x:conditionalFormatting>
  <x:pageMargins left="0.7" right="0.7" top="0.75" bottom="0.75" header="0.3" footer="0.3"/>
</x:worksheet>
</file>