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7c0f91663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ummary" sheetId="1" r:id="Rb9ed1aff41934d64"/>
    <x:sheet xmlns:r="http://schemas.openxmlformats.org/officeDocument/2006/relationships" name="Evidence" sheetId="2" r:id="R1cec9f6defaa4f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bb91a5a9b54a94" /><Relationship Type="http://schemas.openxmlformats.org/officeDocument/2006/relationships/theme" Target="/xl/theme/theme1.xml" Id="R1830b4f9ecd64c45" /><Relationship Type="http://schemas.openxmlformats.org/officeDocument/2006/relationships/sharedStrings" Target="/xl/sharedStrings.xml" Id="R4d838920bf254ce9" /><Relationship Type="http://schemas.openxmlformats.org/officeDocument/2006/relationships/worksheet" Target="/xl/worksheets/sheet1.xml" Id="Rb9ed1aff41934d64" /><Relationship Type="http://schemas.openxmlformats.org/officeDocument/2006/relationships/worksheet" Target="/xl/worksheets/sheet2.xml" Id="R1cec9f6defaa4f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13" t="str">
        <x:v>Product Alpha R7 release tracker - SRC-001925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15" t="str">
        <x:v>Record</x:v>
      </x:c>
      <x:c r="B3" s="14" t="str">
        <x:v>p01-full-001925</x:v>
      </x:c>
      <x:c r="C3" s="14"/>
      <x:c r="D3" s="16" t="str">
        <x:v>Measure</x:v>
      </x:c>
      <x:c r="E3" s="16" t="str">
        <x:v>Observed</x:v>
      </x:c>
      <x:c r="F3" s="16" t="str">
        <x:v>Target</x:v>
      </x:c>
    </x:row>
    <x:row r="4">
      <x:c r="A4" s="15" t="str">
        <x:v>Source</x:v>
      </x:c>
      <x:c r="B4" s="14" t="str">
        <x:v>p01-src-001925</x:v>
      </x:c>
      <x:c r="C4" s="14"/>
      <x:c r="D4" s="17" t="str">
        <x:v>p95 latency (ms)</x:v>
      </x:c>
      <x:c r="E4" s="17" t="n">
        <x:v>184</x:v>
      </x:c>
      <x:c r="F4" s="17" t="n">
        <x:v>200</x:v>
      </x:c>
    </x:row>
    <x:row r="5">
      <x:c r="A5" s="15" t="str">
        <x:v>Dependency</x:v>
      </x:c>
      <x:c r="B5" s="14" t="str">
        <x:v>p01-full-000812</x:v>
      </x:c>
      <x:c r="C5" s="14"/>
      <x:c r="D5" s="17" t="str">
        <x:v>Requests</x:v>
      </x:c>
      <x:c r="E5" s="17" t="n">
        <x:v>84200</x:v>
      </x:c>
      <x:c r="F5" s="17" t="n">
        <x:v>84200</x:v>
      </x:c>
    </x:row>
    <x:row r="6">
      <x:c r="A6" s="15" t="str">
        <x:v>Release date</x:v>
      </x:c>
      <x:c r="B6" s="18" t="n">
        <x:v>46216</x:v>
      </x:c>
      <x:c r="C6" s="14"/>
      <x:c r="D6" s="17" t="str">
        <x:v>Successes</x:v>
      </x:c>
      <x:c r="E6" s="17" t="n">
        <x:v>84149</x:v>
      </x:c>
      <x:c r="F6" s="17" t="n">
        <x:v>84200</x:v>
      </x:c>
    </x:row>
    <x:row r="7">
      <x:c r="A7" s="15" t="str">
        <x:v>Review date</x:v>
      </x:c>
      <x:c r="B7" s="18" t="n">
        <x:v>46223</x:v>
      </x:c>
      <x:c r="C7" s="14"/>
      <x:c r="D7" s="14"/>
      <x:c r="E7" s="14"/>
      <x:c r="F7" s="14"/>
    </x:row>
    <x:row r="8">
      <x:c r="A8" s="15" t="str">
        <x:v>Gate</x:v>
      </x:c>
      <x:c r="B8" s="14" t="str">
        <x:v>ADR-042 async release gate</x:v>
      </x:c>
      <x:c r="C8" s="14"/>
      <x:c r="D8" s="15" t="str">
        <x:v>Derived metric</x:v>
      </x:c>
      <x:c r="E8" s="15" t="str">
        <x:v>Value</x:v>
      </x:c>
      <x:c r="F8" s="14"/>
    </x:row>
    <x:row r="9">
      <x:c r="A9" s="14"/>
      <x:c r="B9" s="14"/>
      <x:c r="C9" s="14"/>
      <x:c r="D9" s="14" t="str">
        <x:v>Success rate</x:v>
      </x:c>
      <x:c r="E9" s="19" t="n">
        <x:f>E6/E5</x:f>
        <x:v>0.999394299287411</x:v>
      </x:c>
      <x:c r="F9" s="14"/>
    </x:row>
    <x:row r="10">
      <x:c r="A10" s="14"/>
      <x:c r="B10" s="14"/>
      <x:c r="C10" s="14"/>
      <x:c r="D10" s="14" t="str">
        <x:v>Unsuccessful requests</x:v>
      </x:c>
      <x:c r="E10" s="14" t="n">
        <x:f>E5-E6</x:f>
        <x:v>51</x:v>
      </x:c>
      <x:c r="F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0" t="str">
        <x:v>Evidence item</x:v>
      </x:c>
      <x:c r="B1" s="20" t="str">
        <x:v>Value</x:v>
      </x:c>
      <x:c r="C1" s="20" t="str">
        <x:v>Interpretation</x:v>
      </x:c>
      <x:c r="D1" s="20" t="str">
        <x:v>Owner</x:v>
      </x:c>
    </x:row>
    <x:row r="2">
      <x:c r="A2" s="14" t="str">
        <x:v>Release decision</x:v>
      </x:c>
      <x:c r="B2" s="14" t="str">
        <x:v>2026-07-13</x:v>
      </x:c>
      <x:c r="C2" s="14" t="str">
        <x:v>Product Alpha R7 observation window begins</x:v>
      </x:c>
      <x:c r="D2" s="14" t="str">
        <x:v>Release Engineering</x:v>
      </x:c>
    </x:row>
    <x:row r="3">
      <x:c r="A3" s="14" t="str">
        <x:v>Latency</x:v>
      </x:c>
      <x:c r="B3" s="14" t="str">
        <x:v>184 ms</x:v>
      </x:c>
      <x:c r="C3" s="14" t="str">
        <x:v>Within 200 ms p95 SLO</x:v>
      </x:c>
      <x:c r="D3" s="14" t="str">
        <x:v>Platform</x:v>
      </x:c>
    </x:row>
    <x:row r="4">
      <x:c r="A4" s="14" t="str">
        <x:v>Request outcome</x:v>
      </x:c>
      <x:c r="B4" s="14" t="str">
        <x:v>84,149 / 84,200</x:v>
      </x:c>
      <x:c r="C4" s="14" t="str">
        <x:v>51 requests require review context</x:v>
      </x:c>
      <x:c r="D4" s="14" t="str">
        <x:v>Reliability</x:v>
      </x:c>
    </x:row>
    <x:row r="5">
      <x:c r="A5" s="14" t="str">
        <x:v>Follow-up</x:v>
      </x:c>
      <x:c r="B5" s="14" t="str">
        <x:v>2026-07-20</x:v>
      </x:c>
      <x:c r="C5" s="14" t="str">
        <x:v>Gate and impact review</x:v>
      </x:c>
      <x:c r="D5" s="14" t="str">
        <x:v>Cross-functional</x:v>
      </x:c>
    </x:row>
  </x:sheetData>
  <x:pageMargins left="0.7" right="0.7" top="0.75" bottom="0.75" header="0.3" footer="0.3"/>
</x:worksheet>
</file>