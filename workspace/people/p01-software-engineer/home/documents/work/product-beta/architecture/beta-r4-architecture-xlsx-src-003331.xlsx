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33687662be4c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Metrics" sheetId="1" r:id="R2a3f918835ce47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0%"/>
    <x:numFmt numFmtId="203" formatCode="#,##0 &quot;ms&quot;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4A556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F3F6F9"/>
      </x:patternFill>
    </x:fill>
  </x:fills>
  <x:borders count="2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7F8C8D"/>
      </x:left>
      <x:top style="thin">
        <x:color rgb="FF7F8C8D"/>
      </x:top>
    </x:border>
    <x:border>
      <x:top style="thin">
        <x:color rgb="FF7F8C8D"/>
      </x:top>
    </x:border>
    <x:border>
      <x:right style="thin">
        <x:color rgb="FF7F8C8D"/>
      </x:right>
      <x:top style="thin">
        <x:color rgb="FF7F8C8D"/>
      </x:top>
    </x:border>
    <x:border>
      <x:left style="thin">
        <x:color rgb="FF7F8C8D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7F8C8D"/>
      </x:right>
      <x:bottom style="thin">
        <x:color rgb="FFD9E2F3"/>
      </x:bottom>
    </x:border>
    <x:border>
      <x:left style="thin">
        <x:color rgb="FF7F8C8D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7F8C8D"/>
      </x:right>
      <x:top style="thin">
        <x:color rgb="FFD9E2F3"/>
      </x:top>
      <x:bottom style="thin">
        <x:color rgb="FFD9E2F3"/>
      </x:bottom>
    </x:border>
    <x:border>
      <x:left style="thin">
        <x:color rgb="FF7F8C8D"/>
      </x:left>
      <x:right style="thin">
        <x:color rgb="FFD9E2F3"/>
      </x:right>
      <x:top style="thin">
        <x:color rgb="FFD9E2F3"/>
      </x:top>
      <x:bottom style="thin">
        <x:color rgb="FF7F8C8D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7F8C8D"/>
      </x:bottom>
    </x:border>
    <x:border>
      <x:left style="thin">
        <x:color rgb="FFD9E2F3"/>
      </x:left>
      <x:right style="thin">
        <x:color rgb="FF7F8C8D"/>
      </x:right>
      <x:top style="thin">
        <x:color rgb="FFD9E2F3"/>
      </x:top>
      <x:bottom style="thin">
        <x:color rgb="FF7F8C8D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4" fillId="5" borderId="10" xfId="0" applyNumberFormat="1" applyFont="1" applyFill="1" applyBorder="1" applyAlignment="1">
      <x:alignment horizontal="center"/>
    </x:xf>
    <x:xf numFmtId="0" fontId="4" fillId="5" borderId="11" xfId="0" applyNumberFormat="1" applyFont="1" applyFill="1" applyBorder="1" applyAlignment="1">
      <x:alignment horizontal="center"/>
    </x:xf>
    <x:xf numFmtId="0" fontId="4" fillId="5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2" xfId="0" applyNumberFormat="1" applyFont="1" applyFill="1" applyBorder="1"/>
    <x:xf numFmtId="201" fontId="0" fillId="0" borderId="5" xfId="0" applyNumberFormat="1" applyFont="1" applyFill="1" applyBorder="1"/>
    <x:xf numFmtId="201" fontId="0" fillId="0" borderId="18" xfId="0" applyNumberFormat="1" applyFont="1" applyFill="1" applyBorder="1"/>
    <x:xf numFmtId="202" fontId="0" fillId="0" borderId="5" xfId="0" applyNumberFormat="1" applyFont="1" applyFill="1" applyBorder="1"/>
    <x:xf numFmtId="203" fontId="0" fillId="0" borderId="18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4" fillId="5" borderId="10" xfId="0" applyNumberFormat="1" applyFont="1" applyFill="1" applyBorder="1" applyAlignment="1">
      <x:alignment horizontal="center" vertical="center"/>
    </x:xf>
    <x:xf numFmtId="0" fontId="4" fillId="5" borderId="11" xfId="0" applyNumberFormat="1" applyFont="1" applyFill="1" applyBorder="1" applyAlignment="1">
      <x:alignment horizontal="center" vertical="center"/>
    </x:xf>
    <x:xf numFmtId="0" fontId="4" fillId="5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201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3" fontId="0" fillId="0" borderId="18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201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202" fontId="0" fillId="0" borderId="5" xfId="0" applyNumberFormat="1" applyFont="1" applyFill="1" applyBorder="1" applyAlignment="1">
      <x:alignment vertical="center" wrapText="1"/>
    </x:xf>
    <x:xf numFmtId="203" fontId="0" fillId="0" borderId="1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ad9f8457a94228" /><Relationship Type="http://schemas.openxmlformats.org/officeDocument/2006/relationships/theme" Target="/xl/theme/theme1.xml" Id="Rb6a0af6b4ee947e0" /><Relationship Type="http://schemas.openxmlformats.org/officeDocument/2006/relationships/sharedStrings" Target="/xl/sharedStrings.xml" Id="R6c1d341ea0604570" /><Relationship Type="http://schemas.openxmlformats.org/officeDocument/2006/relationships/worksheet" Target="/xl/worksheets/sheet1.xml" Id="R2a3f918835ce47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42" hidden="0" customWidth="1"/>
    <x:col min="4" max="4" width="20" hidden="0" customWidth="1"/>
    <x:col min="5" max="5" width="28" hidden="0" customWidth="1"/>
    <x:col min="6" max="6" width="4" hidden="0" customWidth="1"/>
  </x:cols>
  <x:sheetData>
    <x:row r="1" ht="30" customHeight="1">
      <x:c r="A1" s="60" t="str">
        <x:v>Product Beta R4 — Architecture Review Metrics</x:v>
      </x:c>
      <x:c r="B1" s="60"/>
      <x:c r="C1" s="60"/>
      <x:c r="D1" s="60"/>
      <x:c r="E1" s="60"/>
      <x:c r="F1" s="60"/>
    </x:row>
    <x:row r="2" ht="22" customHeight="1">
      <x:c r="A2" s="61" t="str">
        <x:v>Aster Loop株式会社 (synthetic) | 2026-08-17 architecture review | 225 ms design budget</x:v>
      </x:c>
      <x:c r="B2" s="61"/>
      <x:c r="C2" s="61"/>
      <x:c r="D2" s="61"/>
      <x:c r="E2" s="61"/>
      <x:c r="F2" s="61"/>
    </x:row>
    <x:row r="3">
      <x:c r="A3" s="62"/>
      <x:c r="B3" s="62"/>
      <x:c r="C3" s="62"/>
      <x:c r="D3" s="62"/>
      <x:c r="E3" s="62"/>
      <x:c r="F3" s="62"/>
    </x:row>
    <x:row r="4">
      <x:c r="A4" s="63" t="str">
        <x:v>Artifact ID</x:v>
      </x:c>
      <x:c r="B4" s="62" t="str">
        <x:v>p01-full-003331</x:v>
      </x:c>
      <x:c r="C4" s="62"/>
      <x:c r="D4" s="63" t="str">
        <x:v>Project</x:v>
      </x:c>
      <x:c r="E4" s="62" t="str">
        <x:v>Product Beta R4</x:v>
      </x:c>
      <x:c r="F4" s="62"/>
    </x:row>
    <x:row r="5">
      <x:c r="A5" s="63" t="str">
        <x:v>Source ID</x:v>
      </x:c>
      <x:c r="B5" s="62" t="str">
        <x:v>p01-src-003331</x:v>
      </x:c>
      <x:c r="C5" s="62"/>
      <x:c r="D5" s="63" t="str">
        <x:v>Scope</x:v>
      </x:c>
      <x:c r="E5" s="62" t="str">
        <x:v>Architecture</x:v>
      </x:c>
      <x:c r="F5" s="62"/>
    </x:row>
    <x:row r="6">
      <x:c r="A6" s="63" t="str">
        <x:v>Dependency</x:v>
      </x:c>
      <x:c r="B6" s="62" t="str">
        <x:v>p01-full-001019 · beta-r4-architecture-sql-src-001019.sql</x:v>
      </x:c>
      <x:c r="C6" s="62"/>
      <x:c r="D6" s="63" t="str">
        <x:v>Service flow</x:v>
      </x:c>
      <x:c r="E6" s="62" t="str">
        <x:v>Edge API → Decision Store</x:v>
      </x:c>
      <x:c r="F6" s="62"/>
    </x:row>
    <x:row r="7">
      <x:c r="A7" s="63" t="str">
        <x:v>Dependency family</x:v>
      </x:c>
      <x:c r="B7" s="62" t="str">
        <x:v>structured_text</x:v>
      </x:c>
      <x:c r="C7" s="62"/>
      <x:c r="D7" s="63" t="str">
        <x:v>Status</x:v>
      </x:c>
      <x:c r="E7" s="62" t="str">
        <x:v>Planned review</x:v>
      </x:c>
      <x:c r="F7" s="62"/>
    </x:row>
    <x:row r="8">
      <x:c r="A8" s="63" t="str">
        <x:v>Review date</x:v>
      </x:c>
      <x:c r="B8" s="64" t="n">
        <x:v>46251</x:v>
      </x:c>
      <x:c r="C8" s="62"/>
      <x:c r="D8" s="63" t="str">
        <x:v>Measure unit</x:v>
      </x:c>
      <x:c r="E8" s="62" t="str">
        <x:v>milliseconds / tests</x:v>
      </x:c>
      <x:c r="F8" s="62"/>
    </x:row>
    <x:row r="9">
      <x:c r="A9" s="62"/>
      <x:c r="B9" s="62"/>
      <x:c r="C9" s="62"/>
      <x:c r="D9" s="62"/>
      <x:c r="E9" s="62"/>
      <x:c r="F9" s="62"/>
    </x:row>
    <x:row r="10">
      <x:c r="A10" s="65" t="str">
        <x:v>Metric</x:v>
      </x:c>
      <x:c r="B10" s="66" t="str">
        <x:v>Value</x:v>
      </x:c>
      <x:c r="C10" s="67" t="str">
        <x:v>Interpretation</x:v>
      </x:c>
      <x:c r="D10" s="62"/>
      <x:c r="E10" s="62"/>
      <x:c r="F10" s="62"/>
    </x:row>
    <x:row r="11">
      <x:c r="A11" s="68" t="str">
        <x:v>Contract tests planned</x:v>
      </x:c>
      <x:c r="B11" s="69" t="n">
        <x:v>1250</x:v>
      </x:c>
      <x:c r="C11" s="70" t="str">
        <x:v>Typed planning baseline</x:v>
      </x:c>
      <x:c r="D11" s="62"/>
      <x:c r="E11" s="62"/>
      <x:c r="F11" s="62"/>
    </x:row>
    <x:row r="12">
      <x:c r="A12" s="71" t="str">
        <x:v>Contract tests passed</x:v>
      </x:c>
      <x:c r="B12" s="72" t="n">
        <x:v>1239</x:v>
      </x:c>
      <x:c r="C12" s="73" t="str">
        <x:v>Typed review evidence</x:v>
      </x:c>
      <x:c r="D12" s="62"/>
      <x:c r="E12" s="62"/>
      <x:c r="F12" s="62"/>
    </x:row>
    <x:row r="13">
      <x:c r="A13" s="71" t="str">
        <x:v>Architecture p95 budget</x:v>
      </x:c>
      <x:c r="B13" s="72" t="n">
        <x:v>225</x:v>
      </x:c>
      <x:c r="C13" s="73" t="str">
        <x:v>Design target; not an observed result</x:v>
      </x:c>
      <x:c r="D13" s="62"/>
      <x:c r="E13" s="62"/>
      <x:c r="F13" s="62"/>
    </x:row>
    <x:row r="14">
      <x:c r="A14" s="74" t="str">
        <x:v>Proposed path p95</x:v>
      </x:c>
      <x:c r="B14" s="75" t="n">
        <x:v>188</x:v>
      </x:c>
      <x:c r="C14" s="76" t="str">
        <x:v>Proposed design estimate</x:v>
      </x:c>
      <x:c r="D14" s="62"/>
      <x:c r="E14" s="62"/>
      <x:c r="F14" s="62"/>
    </x:row>
    <x:row r="15">
      <x:c r="A15" s="62"/>
      <x:c r="B15" s="62"/>
      <x:c r="C15" s="62"/>
      <x:c r="D15" s="62"/>
      <x:c r="E15" s="62"/>
      <x:c r="F15" s="62"/>
    </x:row>
    <x:row r="16">
      <x:c r="A16" s="65" t="str">
        <x:v>Calculated check</x:v>
      </x:c>
      <x:c r="B16" s="66" t="str">
        <x:v>Formula result</x:v>
      </x:c>
      <x:c r="C16" s="67" t="str">
        <x:v>Decision use</x:v>
      </x:c>
      <x:c r="D16" s="62"/>
      <x:c r="E16" s="62"/>
      <x:c r="F16" s="62"/>
    </x:row>
    <x:row r="17">
      <x:c r="A17" s="68" t="str">
        <x:v>Contract test failures</x:v>
      </x:c>
      <x:c r="B17" s="69" t="n">
        <x:f>B11-B12</x:f>
        <x:v>11</x:v>
      </x:c>
      <x:c r="C17" s="70" t="str">
        <x:v>Difference between planned and passed test counts</x:v>
      </x:c>
      <x:c r="D17" s="62"/>
      <x:c r="E17" s="62"/>
      <x:c r="F17" s="62"/>
    </x:row>
    <x:row r="18">
      <x:c r="A18" s="71" t="str">
        <x:v>Contract pass rate</x:v>
      </x:c>
      <x:c r="B18" s="77" t="n">
        <x:f>B12/B11</x:f>
        <x:v>0.9912</x:v>
      </x:c>
      <x:c r="C18" s="73" t="str">
        <x:v>Passed tests divided by planned test count</x:v>
      </x:c>
      <x:c r="D18" s="62"/>
      <x:c r="E18" s="62"/>
      <x:c r="F18" s="62"/>
    </x:row>
    <x:row r="19">
      <x:c r="A19" s="74" t="str">
        <x:v>Budget headroom</x:v>
      </x:c>
      <x:c r="B19" s="78" t="n">
        <x:f>B13-B14</x:f>
        <x:v>37</x:v>
      </x:c>
      <x:c r="C19" s="76" t="str">
        <x:v>Remaining margin against the 225 ms design budget</x:v>
      </x:c>
      <x:c r="D19" s="62"/>
      <x:c r="E19" s="62"/>
      <x:c r="F19" s="62"/>
    </x:row>
    <x:row r="20">
      <x:c r="A20" s="62"/>
      <x:c r="B20" s="62"/>
      <x:c r="C20" s="62"/>
      <x:c r="D20" s="62"/>
      <x:c r="E20" s="62"/>
      <x:c r="F20" s="62"/>
    </x:row>
    <x:row r="21" ht="34" customHeight="1">
      <x:c r="A21" s="59" t="str">
        <x:v>Review note: p01-src-003331 preserves the assigned structured_text dependency as the reusable factual input for this Product Beta R4 architecture worksheet.</x:v>
      </x:c>
      <x:c r="B21" s="59"/>
      <x:c r="C21" s="59"/>
      <x:c r="D21" s="59"/>
      <x:c r="E21" s="59"/>
      <x:c r="F21" s="59"/>
    </x:row>
  </x:sheetData>
  <x:mergeCells>
    <x:mergeCell ref="A1:F1"/>
    <x:mergeCell ref="A2:F2"/>
    <x:mergeCell ref="A21:F21"/>
  </x:mergeCells>
  <x:pageMargins left="0.7" right="0.7" top="0.75" bottom="0.75" header="0.3" footer="0.3"/>
</x:worksheet>
</file>