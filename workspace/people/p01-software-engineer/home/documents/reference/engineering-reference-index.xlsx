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9061d54fb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eb5d2b6febda47a6"/>
    <x:sheet xmlns:r="http://schemas.openxmlformats.org/officeDocument/2006/relationships" name="Freshness" sheetId="2" r:id="R05e2f0ab6bd748a8"/>
    <x:sheet xmlns:r="http://schemas.openxmlformats.org/officeDocument/2006/relationships" name="Summary" sheetId="3" r:id="R2b39e8bfbf20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18324A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C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2803b60a64b06" /><Relationship Type="http://schemas.openxmlformats.org/officeDocument/2006/relationships/theme" Target="/xl/theme/theme1.xml" Id="Re538856f57c3426f" /><Relationship Type="http://schemas.openxmlformats.org/officeDocument/2006/relationships/sharedStrings" Target="/xl/sharedStrings.xml" Id="R43014ec6de8c4867" /><Relationship Type="http://schemas.openxmlformats.org/officeDocument/2006/relationships/worksheet" Target="/xl/worksheets/sheet1.xml" Id="Reb5d2b6febda47a6" /><Relationship Type="http://schemas.openxmlformats.org/officeDocument/2006/relationships/worksheet" Target="/xl/worksheets/sheet2.xml" Id="R05e2f0ab6bd748a8" /><Relationship Type="http://schemas.openxmlformats.org/officeDocument/2006/relationships/worksheet" Target="/xl/worksheets/sheet3.xml" Id="R2b39e8bfbf2041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19999313354492" hidden="0" customWidth="1"/>
    <x:col min="2" max="2" width="17" hidden="0" customWidth="1"/>
    <x:col min="3" max="3" width="7.440000057220459" hidden="0" customWidth="1"/>
    <x:col min="4" max="4" width="9" hidden="0" customWidth="1"/>
    <x:col min="5" max="5" width="9.109999656677246" hidden="0" customWidth="1"/>
  </x:cols>
  <x:sheetData>
    <x:row r="1">
      <x:c r="A1" s="2" t="str">
        <x:v>Engineering reference catalog</x:v>
      </x:c>
      <x:c r="B1" s="2" t="str"/>
      <x:c r="C1" s="2" t="str"/>
      <x:c r="D1" s="2" t="str"/>
      <x:c r="E1" s="2" t="str"/>
    </x:row>
    <x:row r="3">
      <x:c r="A3" s="3" t="str">
        <x:v>Reference</x:v>
      </x:c>
      <x:c r="B3" s="3" t="str">
        <x:v>Owner role</x:v>
      </x:c>
      <x:c r="C3" s="3" t="str">
        <x:v>Status</x:v>
      </x:c>
      <x:c r="D3" s="3" t="str">
        <x:v>Reviewed</x:v>
      </x:c>
      <x:c r="E3" s="3" t="str">
        <x:v>Anchor</x:v>
      </x:c>
    </x:row>
    <x:row r="4">
      <x:c r="A4" t="str">
        <x:v>Rust async patterns</x:v>
      </x:c>
      <x:c r="B4" t="str">
        <x:v>Platform Owner</x:v>
      </x:c>
      <x:c r="C4" t="str">
        <x:v>current</x:v>
      </x:c>
      <x:c r="D4" s="4" t="n">
        <x:v>46209</x:v>
      </x:c>
      <x:c r="E4" t="str">
        <x:v>ADR-042</x:v>
      </x:c>
    </x:row>
    <x:row r="5">
      <x:c r="A5" t="str">
        <x:v>OpenAPI checklist</x:v>
      </x:c>
      <x:c r="B5" t="str">
        <x:v>Contract Owner</x:v>
      </x:c>
      <x:c r="C5" t="str">
        <x:v>current</x:v>
      </x:c>
      <x:c r="D5" s="4" t="n">
        <x:v>46209</x:v>
      </x:c>
      <x:c r="E5" t="str">
        <x:v>p95 184 ms</x:v>
      </x:c>
    </x:row>
    <x:row r="6">
      <x:c r="A6" t="str">
        <x:v>macOS environment</x:v>
      </x:c>
      <x:c r="B6" t="str">
        <x:v>Developer Enablement</x:v>
      </x:c>
      <x:c r="C6" t="str">
        <x:v>review</x:v>
      </x:c>
      <x:c r="D6" s="4" t="n">
        <x:v>46193</x:v>
      </x:c>
      <x:c r="E6" t="str">
        <x:v>2026-07-13</x:v>
      </x:c>
    </x:row>
  </x:sheetData>
  <x:mergeCells>
    <x:mergeCell ref="A1:E1"/>
  </x:mergeCells>
  <x:dataValidations count="1">
    <x:dataValidation type="list" sqref="C4:C6">
      <x:formula1>"current,review,retired"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29999923706055" hidden="0" customWidth="1"/>
    <x:col min="2" max="2" width="9" hidden="0" customWidth="1"/>
    <x:col min="3" max="3" width="7.670000076293945" hidden="0" customWidth="1"/>
    <x:col min="4" max="4" width="5.440000057220459" hidden="0" customWidth="1"/>
  </x:cols>
  <x:sheetData>
    <x:row r="1">
      <x:c r="A1" s="2" t="str">
        <x:v>Freshness controls</x:v>
      </x:c>
      <x:c r="B1" s="2" t="str"/>
      <x:c r="C1" s="2" t="str"/>
      <x:c r="D1" s="2" t="str"/>
    </x:row>
    <x:row r="3">
      <x:c r="A3" s="3" t="str">
        <x:v>Reference</x:v>
      </x:c>
      <x:c r="B3" s="3" t="str">
        <x:v>Reviewed</x:v>
      </x:c>
      <x:c r="C3" s="3" t="str">
        <x:v>Age days</x:v>
      </x:c>
      <x:c r="D3" s="3" t="str">
        <x:v>Status</x:v>
      </x:c>
    </x:row>
    <x:row r="4">
      <x:c r="A4" t="str">
        <x:v>Rust async patterns</x:v>
      </x:c>
      <x:c r="B4" s="4" t="n">
        <x:f>'Catalog'!D4</x:f>
        <x:v>46209</x:v>
      </x:c>
      <x:c r="C4" t="n">
        <x:f>DATE(2026,7,13)-B4</x:f>
        <x:v>7</x:v>
      </x:c>
      <x:c r="D4" t="str">
        <x:f>IF(C4&lt;=14,"fresh","review")</x:f>
        <x:v>fresh</x:v>
      </x:c>
    </x:row>
    <x:row r="5">
      <x:c r="A5" t="str">
        <x:v>OpenAPI checklist</x:v>
      </x:c>
      <x:c r="B5" s="4" t="n">
        <x:f>'Catalog'!D5</x:f>
        <x:v>46209</x:v>
      </x:c>
      <x:c r="C5" t="n">
        <x:f>DATE(2026,7,13)-B5</x:f>
        <x:v>7</x:v>
      </x:c>
      <x:c r="D5" t="str">
        <x:f>IF(C5&lt;=14,"fresh","review")</x:f>
        <x:v>fresh</x:v>
      </x:c>
    </x:row>
    <x:row r="6">
      <x:c r="A6" t="str">
        <x:v>macOS environment</x:v>
      </x:c>
      <x:c r="B6" s="4" t="n">
        <x:f>'Catalog'!D6</x:f>
        <x:v>46193</x:v>
      </x:c>
      <x:c r="C6" t="n">
        <x:f>DATE(2026,7,13)-B6</x:f>
        <x:v>23</x:v>
      </x:c>
      <x:c r="D6" t="str">
        <x:f>IF(C6&lt;=14,"fresh","review")</x:f>
        <x:v>review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9" hidden="0" customWidth="1"/>
  </x:cols>
  <x:sheetData>
    <x:row r="1">
      <x:c r="A1" s="2" t="str">
        <x:v>Reference summary</x:v>
      </x:c>
      <x:c r="B1" s="2" t="str"/>
    </x:row>
    <x:row r="3">
      <x:c r="A3" s="3" t="str">
        <x:v>Metric</x:v>
      </x:c>
      <x:c r="B3" s="3" t="str">
        <x:v>Value</x:v>
      </x:c>
    </x:row>
    <x:row r="4">
      <x:c r="A4" t="str">
        <x:v>Total references</x:v>
      </x:c>
      <x:c r="B4" t="n">
        <x:f>COUNTA('Catalog'!A4:A6)</x:f>
        <x:v>3</x:v>
      </x:c>
    </x:row>
    <x:row r="5">
      <x:c r="A5" t="str">
        <x:v>Fresh references</x:v>
      </x:c>
      <x:c r="B5" t="n">
        <x:f>COUNTIF('Freshness'!D4:D6,"fresh")</x:f>
        <x:v>2</x:v>
      </x:c>
    </x:row>
    <x:row r="6">
      <x:c r="A6" t="str">
        <x:v>Release</x:v>
      </x:c>
      <x:c r="B6" t="str">
        <x:v>2026-07-13</x:v>
      </x:c>
    </x:row>
  </x:sheetData>
  <x:mergeCells>
    <x:mergeCell ref="A1:B1"/>
  </x:mergeCells>
  <x:pageMargins left="0.7" right="0.7" top="0.75" bottom="0.75" header="0.3" footer="0.3"/>
</x:worksheet>
</file>