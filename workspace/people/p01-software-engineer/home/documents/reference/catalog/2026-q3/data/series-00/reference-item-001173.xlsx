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5548606f5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Metrics" sheetId="1" r:id="R125db7d33139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dc17fdd974b6c" /><Relationship Type="http://schemas.openxmlformats.org/officeDocument/2006/relationships/theme" Target="/xl/theme/theme1.xml" Id="R282eaea5d4a349c8" /><Relationship Type="http://schemas.openxmlformats.org/officeDocument/2006/relationships/sharedStrings" Target="/xl/sharedStrings.xml" Id="Re6f2d9d665ca4ab6" /><Relationship Type="http://schemas.openxmlformats.org/officeDocument/2006/relationships/worksheet" Target="/xl/worksheets/sheet1.xml" Id="R125db7d331394a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dc1a0cd5714fd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dc1a0cd5714f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ec1a8847a1447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</x:cols>
  <x:sheetData>
    <x:row r="1">
      <x:c r="A1" s="5" t="str">
        <x:v>Reference ID</x:v>
      </x:c>
      <x:c r="B1" s="5" t="str">
        <x:v>REF-26Q3-001173</x:v>
      </x:c>
      <x:c r="C1" s="5"/>
      <x:c r="D1" s="5"/>
    </x:row>
    <x:row r="2">
      <x:c r="A2" s="5" t="str">
        <x:v>Source ID</x:v>
      </x:c>
      <x:c r="B2" s="5" t="str">
        <x:v>p01-src-001173</x:v>
      </x:c>
      <x:c r="C2" s="5"/>
      <x:c r="D2" s="5"/>
    </x:row>
    <x:row r="3">
      <x:c r="A3" s="5" t="str">
        <x:v>Subject</x:v>
      </x:c>
      <x:c r="B3" s="5" t="str">
        <x:v>Product Alpha R7</x:v>
      </x:c>
      <x:c r="C3" s="5"/>
      <x:c r="D3" s="5"/>
    </x:row>
    <x:row r="4">
      <x:c r="A4" s="5" t="str">
        <x:v>Review date</x:v>
      </x:c>
      <x:c r="B4" s="5" t="str">
        <x:v>2026-07-20</x:v>
      </x:c>
      <x:c r="C4" s="5"/>
      <x:c r="D4" s="5"/>
    </x:row>
    <x:row r="5">
      <x:c r="A5" s="5"/>
      <x:c r="B5" s="5"/>
      <x:c r="C5" s="5"/>
      <x:c r="D5" s="5"/>
    </x:row>
    <x:row r="6">
      <x:c r="A6" s="6" t="str">
        <x:v>Metric</x:v>
      </x:c>
      <x:c r="B6" s="6" t="str">
        <x:v>Value</x:v>
      </x:c>
      <x:c r="C6" s="6" t="str">
        <x:v>Unit</x:v>
      </x:c>
      <x:c r="D6" s="6" t="str">
        <x:v>Status</x:v>
      </x:c>
    </x:row>
    <x:row r="7">
      <x:c r="A7" s="5" t="str">
        <x:v>Alpha observed p95</x:v>
      </x:c>
      <x:c r="B7" s="5" t="n">
        <x:v>184</x:v>
      </x:c>
      <x:c r="C7" s="5" t="str">
        <x:v>ms</x:v>
      </x:c>
      <x:c r="D7" s="5" t="str">
        <x:v>reviewed</x:v>
      </x:c>
    </x:row>
    <x:row r="8">
      <x:c r="A8" s="5" t="str">
        <x:v>Alpha SLO ceiling</x:v>
      </x:c>
      <x:c r="B8" s="5" t="n">
        <x:v>200</x:v>
      </x:c>
      <x:c r="C8" s="5" t="str">
        <x:v>ms</x:v>
      </x:c>
      <x:c r="D8" s="5" t="str">
        <x:v>target</x:v>
      </x:c>
    </x:row>
    <x:row r="9">
      <x:c r="A9" s="5" t="str">
        <x:v>Beta design budget</x:v>
      </x:c>
      <x:c r="B9" s="5" t="n">
        <x:v>225</x:v>
      </x:c>
      <x:c r="C9" s="5" t="str">
        <x:v>ms</x:v>
      </x:c>
      <x:c r="D9" s="5" t="str">
        <x:v>design target</x:v>
      </x:c>
    </x:row>
    <x:row r="10">
      <x:c r="A10" s="5" t="str">
        <x:v>Headroom</x:v>
      </x:c>
      <x:c r="B10" s="5" t="n">
        <x:f>B8-B7</x:f>
        <x:v>16</x:v>
      </x:c>
      <x:c r="C10" s="5" t="str">
        <x:v>ms</x:v>
      </x:c>
      <x:c r="D10" s="5" t="str">
        <x:v>formula</x:v>
      </x:c>
    </x:row>
    <x:row r="11">
      <x:c r="A11" s="5" t="str">
        <x:v>Approval rate</x:v>
      </x:c>
      <x:c r="B11" s="7" t="n">
        <x:f>8883/9000</x:f>
        <x:v>0.987</x:v>
      </x:c>
      <x:c r="C11" s="5" t="str">
        <x:v>ratio</x:v>
      </x:c>
      <x:c r="D11" s="5" t="str">
        <x:v>formula</x:v>
      </x:c>
    </x:row>
  </x:sheetData>
  <x:pageMargins left="0.7" right="0.7" top="0.75" bottom="0.75" header="0.3" footer="0.3"/>
  <x:drawing xmlns:r="http://schemas.openxmlformats.org/officeDocument/2006/relationships" r:id="R8eec1a8847a1447a"/>
</x:worksheet>
</file>