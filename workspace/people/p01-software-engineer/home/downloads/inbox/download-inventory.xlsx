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0f3eab44249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e6add063b83e4ca7"/>
    <x:sheet xmlns:r="http://schemas.openxmlformats.org/officeDocument/2006/relationships" name="Summary" sheetId="2" r:id="Rbad65a6d055946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F5F"/>
      <x:name val="Carlito"/>
    </x:font>
    <x:font>
      <x:i/>
      <x:sz val="11"/>
      <x:color rgb="FF173F5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D9EAF3"/>
      </x:patternFill>
    </x:fill>
    <x:fill>
      <x:patternFill patternType="solid">
        <x:fgColor rgb="FFEEF6FA"/>
      </x:patternFill>
    </x:fill>
    <x:fill>
      <x:patternFill patternType="solid">
        <x:fgColor rgb="FFD9EAF3"/>
      </x:patternFill>
    </x:fill>
    <x:fill>
      <x:patternFill patternType="solid">
        <x:fgColor rgb="FFD9EAF3"/>
      </x:patternFill>
    </x:fill>
  </x:fills>
  <x:borders count="13">
    <x:border/>
    <x:border>
      <x:left style="thin">
        <x:color rgb="FFA5C1D2"/>
      </x:left>
      <x:top style="thin">
        <x:color rgb="FFA5C1D2"/>
      </x:top>
      <x:bottom style="thin">
        <x:color rgb="FFA5C1D2"/>
      </x:bottom>
    </x:border>
    <x:border>
      <x:top style="thin">
        <x:color rgb="FFA5C1D2"/>
      </x:top>
      <x:bottom style="thin">
        <x:color rgb="FFA5C1D2"/>
      </x:bottom>
    </x:border>
    <x:border>
      <x:right style="thin">
        <x:color rgb="FFA5C1D2"/>
      </x:right>
      <x:top style="thin">
        <x:color rgb="FFA5C1D2"/>
      </x:top>
      <x:bottom style="thin">
        <x:color rgb="FFA5C1D2"/>
      </x:bottom>
    </x:border>
    <x:border>
      <x:right style="thin">
        <x:color rgb="FFC7D8E3"/>
      </x:right>
      <x:bottom style="thin">
        <x:color rgb="FFC7D8E3"/>
      </x:bottom>
    </x:border>
    <x:border>
      <x:left style="thin">
        <x:color rgb="FFC7D8E3"/>
      </x:left>
      <x:right style="thin">
        <x:color rgb="FFC7D8E3"/>
      </x:right>
      <x:bottom style="thin">
        <x:color rgb="FFC7D8E3"/>
      </x:bottom>
    </x:border>
    <x:border>
      <x:left style="thin">
        <x:color rgb="FFC7D8E3"/>
      </x:left>
      <x:bottom style="thin">
        <x:color rgb="FFC7D8E3"/>
      </x:bottom>
    </x:border>
    <x:border>
      <x:right style="thin">
        <x:color rgb="FFC7D8E3"/>
      </x:right>
      <x:top style="thin">
        <x:color rgb="FFC7D8E3"/>
      </x:top>
      <x:bottom style="thin">
        <x:color rgb="FFC7D8E3"/>
      </x:bottom>
    </x:border>
    <x:border>
      <x:left style="thin">
        <x:color rgb="FFC7D8E3"/>
      </x:left>
      <x:right style="thin">
        <x:color rgb="FFC7D8E3"/>
      </x:right>
      <x:top style="thin">
        <x:color rgb="FFC7D8E3"/>
      </x:top>
      <x:bottom style="thin">
        <x:color rgb="FFC7D8E3"/>
      </x:bottom>
    </x:border>
    <x:border>
      <x:left style="thin">
        <x:color rgb="FFC7D8E3"/>
      </x:left>
      <x:top style="thin">
        <x:color rgb="FFC7D8E3"/>
      </x:top>
      <x:bottom style="thin">
        <x:color rgb="FFC7D8E3"/>
      </x:bottom>
    </x:border>
    <x:border>
      <x:right style="thin">
        <x:color rgb="FFC7D8E3"/>
      </x:right>
      <x:top style="thin">
        <x:color rgb="FFC7D8E3"/>
      </x:top>
    </x:border>
    <x:border>
      <x:left style="thin">
        <x:color rgb="FFC7D8E3"/>
      </x:left>
      <x:right style="thin">
        <x:color rgb="FFC7D8E3"/>
      </x:right>
      <x:top style="thin">
        <x:color rgb="FFC7D8E3"/>
      </x:top>
    </x:border>
    <x:border>
      <x:left style="thin">
        <x:color rgb="FFC7D8E3"/>
      </x:left>
      <x:top style="thin">
        <x:color rgb="FFC7D8E3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0"/>
    </x:xf>
    <x:xf numFmtId="0" fontId="3" fillId="5" borderId="0" xfId="0" applyNumberFormat="1" applyFont="1" applyFill="1" applyBorder="1" applyAlignment="1">
      <x:alignment horizontal="center" vertical="center" wrapText="0"/>
    </x:xf>
    <x:xf numFmtId="0" fontId="3" fillId="6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1">
    <x:dxf>
      <x:font>
        <x:b/>
        <x:color rgb="FF7A4B00"/>
      </x:font>
      <x:fill>
        <x:patternFill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c9355ffa564e4f" /><Relationship Type="http://schemas.openxmlformats.org/officeDocument/2006/relationships/theme" Target="/xl/theme/theme1.xml" Id="R95ff9a66a4b24405" /><Relationship Type="http://schemas.openxmlformats.org/officeDocument/2006/relationships/sharedStrings" Target="/xl/sharedStrings.xml" Id="R87310e6c25b94652" /><Relationship Type="http://schemas.openxmlformats.org/officeDocument/2006/relationships/worksheet" Target="/xl/worksheets/sheet1.xml" Id="Re6add063b83e4ca7" /><Relationship Type="http://schemas.openxmlformats.org/officeDocument/2006/relationships/worksheet" Target="/xl/worksheets/sheet2.xml" Id="Rbad65a6d055946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.4399995803833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3" t="str">
        <x:v>Synthetic Download Inbox · Product Alpha R7</x:v>
      </x:c>
      <x:c r="B1" s="3"/>
      <x:c r="C1" s="3"/>
      <x:c r="D1" s="3"/>
      <x:c r="E1" s="3"/>
      <x:c r="F1" s="3"/>
    </x:row>
    <x:row r="2">
      <x:c r="A2" s="12" t="str">
        <x:v>Item</x:v>
      </x:c>
      <x:c r="B2" s="13" t="str">
        <x:v>Type</x:v>
      </x:c>
      <x:c r="C2" s="13" t="str">
        <x:v>Source class</x:v>
      </x:c>
      <x:c r="D2" s="13" t="str">
        <x:v>Review status</x:v>
      </x:c>
      <x:c r="E2" s="13" t="str">
        <x:v>Risk</x:v>
      </x:c>
      <x:c r="F2" s="14" t="str">
        <x:v>Keep / archive</x:v>
      </x:c>
    </x:row>
    <x:row r="3">
      <x:c r="A3" s="33" t="str">
        <x:v>candidate-migration-script.ts</x:v>
      </x:c>
      <x:c r="B3" s="34" t="str">
        <x:v>code</x:v>
      </x:c>
      <x:c r="C3" s="34" t="str">
        <x:v>untrusted candidate</x:v>
      </x:c>
      <x:c r="D3" s="34" t="str">
        <x:v>Review required</x:v>
      </x:c>
      <x:c r="E3" s="34" t="str">
        <x:v>High</x:v>
      </x:c>
      <x:c r="F3" s="35" t="str">
        <x:v>Archive pending static review</x:v>
      </x:c>
    </x:row>
    <x:row r="4">
      <x:c r="A4" s="36" t="str">
        <x:v>candidate-latency-analysis.ipynb</x:v>
      </x:c>
      <x:c r="B4" s="37" t="str">
        <x:v>notebook</x:v>
      </x:c>
      <x:c r="C4" s="37" t="str">
        <x:v>untrusted analysis</x:v>
      </x:c>
      <x:c r="D4" s="37" t="str">
        <x:v>Review required</x:v>
      </x:c>
      <x:c r="E4" s="37" t="str">
        <x:v>Medium</x:v>
      </x:c>
      <x:c r="F4" s="38" t="str">
        <x:v>Keep in controlled queue</x:v>
      </x:c>
    </x:row>
    <x:row r="5">
      <x:c r="A5" s="36" t="str">
        <x:v>scanned-incident-note.pdf</x:v>
      </x:c>
      <x:c r="B5" s="37" t="str">
        <x:v>scan</x:v>
      </x:c>
      <x:c r="C5" s="37" t="str">
        <x:v>synthetic rehearsal</x:v>
      </x:c>
      <x:c r="D5" s="37" t="str">
        <x:v>Archive</x:v>
      </x:c>
      <x:c r="E5" s="37" t="str">
        <x:v>Low</x:v>
      </x:c>
      <x:c r="F5" s="38" t="str">
        <x:v>Archive as training context</x:v>
      </x:c>
    </x:row>
    <x:row r="6">
      <x:c r="A6" s="36" t="str">
        <x:v>vendor-migration-advisory.pdf</x:v>
      </x:c>
      <x:c r="B6" s="37" t="str">
        <x:v>document</x:v>
      </x:c>
      <x:c r="C6" s="37" t="str">
        <x:v>synthetic advisory</x:v>
      </x:c>
      <x:c r="D6" s="37" t="str">
        <x:v>Review required</x:v>
      </x:c>
      <x:c r="E6" s="37" t="str">
        <x:v>Medium</x:v>
      </x:c>
      <x:c r="F6" s="38" t="str">
        <x:v>Keep with caution label</x:v>
      </x:c>
    </x:row>
    <x:row r="7">
      <x:c r="A7" s="39" t="str">
        <x:v>r7-support-export.zip</x:v>
      </x:c>
      <x:c r="B7" s="40" t="str">
        <x:v>archive</x:v>
      </x:c>
      <x:c r="C7" s="40" t="str">
        <x:v>synthetic export</x:v>
      </x:c>
      <x:c r="D7" s="40" t="str">
        <x:v>Review required</x:v>
      </x:c>
      <x:c r="E7" s="40" t="str">
        <x:v>Medium</x:v>
      </x:c>
      <x:c r="F7" s="41" t="str">
        <x:v>Archive after redaction check</x:v>
      </x:c>
    </x:row>
    <x:row r="9">
      <x:c r="A9" s="12" t="str">
        <x:v>Reference</x:v>
      </x:c>
      <x:c r="B9" s="14" t="str">
        <x:v>Value</x:v>
      </x:c>
    </x:row>
    <x:row r="10">
      <x:c r="A10" s="33" t="str">
        <x:v>Organization</x:v>
      </x:c>
      <x:c r="B10" s="35" t="str">
        <x:v>Aster Loop 株式会社</x:v>
      </x:c>
    </x:row>
    <x:row r="11">
      <x:c r="A11" s="36" t="str">
        <x:v>Release</x:v>
      </x:c>
      <x:c r="B11" s="38" t="str">
        <x:v>Product Alpha R7</x:v>
      </x:c>
    </x:row>
    <x:row r="12">
      <x:c r="A12" s="36" t="str">
        <x:v>Date</x:v>
      </x:c>
      <x:c r="B12" s="38" t="str">
        <x:v>2026-07-13</x:v>
      </x:c>
    </x:row>
    <x:row r="13">
      <x:c r="A13" s="36" t="str">
        <x:v>Baseline p95</x:v>
      </x:c>
      <x:c r="B13" s="38" t="str">
        <x:v>184 ms</x:v>
      </x:c>
    </x:row>
    <x:row r="14">
      <x:c r="A14" s="39" t="str">
        <x:v>Decision</x:v>
      </x:c>
      <x:c r="B14" s="41" t="str">
        <x:v>ADR-042</x:v>
      </x:c>
    </x:row>
  </x:sheetData>
  <x:mergeCells>
    <x:mergeCell ref="A1:F1"/>
  </x:mergeCells>
  <x:conditionalFormatting sqref="D3:D7">
    <x:cfRule type="cellIs" dxfId="0" priority="1" operator="equal">
      <x:formula>"Review required"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.889999866485596" hidden="0" customWidth="1"/>
    <x:col min="4" max="4" width="30" hidden="0" customWidth="1"/>
  </x:cols>
  <x:sheetData>
    <x:row r="1" ht="28" customHeight="1">
      <x:c r="A1" s="3" t="str">
        <x:v>Inbox Triage Summary · Synthetic</x:v>
      </x:c>
      <x:c r="B1" s="3"/>
      <x:c r="C1" s="3"/>
      <x:c r="D1" s="3"/>
    </x:row>
    <x:row r="3">
      <x:c r="A3" s="12" t="str">
        <x:v>Metric</x:v>
      </x:c>
      <x:c r="B3" s="14" t="str">
        <x:v>Formula</x:v>
      </x:c>
    </x:row>
    <x:row r="4">
      <x:c r="A4" s="45" t="str">
        <x:v>Items inventoried</x:v>
      </x:c>
      <x:c r="B4" s="35" t="n">
        <x:f>COUNTA(Inventory!A3:A7)</x:f>
        <x:v>5</x:v>
      </x:c>
    </x:row>
    <x:row r="5">
      <x:c r="A5" s="46" t="str">
        <x:v>Review required</x:v>
      </x:c>
      <x:c r="B5" s="38" t="n">
        <x:f>COUNTIF(Inventory!D3:D7,"Review required")</x:f>
        <x:v>4</x:v>
      </x:c>
    </x:row>
    <x:row r="6">
      <x:c r="A6" s="46" t="str">
        <x:v>Archived</x:v>
      </x:c>
      <x:c r="B6" s="38" t="n">
        <x:f>COUNTIF(Inventory!D3:D7,"Archive")</x:f>
        <x:v>1</x:v>
      </x:c>
    </x:row>
    <x:row r="7">
      <x:c r="A7" s="46" t="str">
        <x:v>High risk</x:v>
      </x:c>
      <x:c r="B7" s="38" t="n">
        <x:f>COUNTIF(Inventory!E3:E7,"High")</x:f>
        <x:v>1</x:v>
      </x:c>
    </x:row>
    <x:row r="8">
      <x:c r="A8" s="47" t="str">
        <x:v>Review completion</x:v>
      </x:c>
      <x:c r="B8" s="48" t="n">
        <x:f>B6/B4</x:f>
        <x:v>0.2</x:v>
      </x:c>
    </x:row>
    <x:row r="10">
      <x:c r="A10" s="54" t="str">
        <x:v>Aster Loop 株式会社 · Product Alpha R7 · 2026-07-13 · p95 184 ms · ADR-042</x:v>
      </x:c>
      <x:c r="B10" s="54"/>
      <x:c r="C10" s="54"/>
      <x:c r="D10" s="54"/>
    </x:row>
  </x:sheetData>
  <x:mergeCells>
    <x:mergeCell ref="A1:D1"/>
    <x:mergeCell ref="A10:D10"/>
  </x:mergeCells>
  <x:pageMargins left="0.7" right="0.7" top="0.75" bottom="0.75" header="0.3" footer="0.3"/>
</x:worksheet>
</file>