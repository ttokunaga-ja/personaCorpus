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0c4efe345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ewal Math" sheetId="1" r:id="Ra305a2b5ca4b4367"/>
    <x:sheet xmlns:r="http://schemas.openxmlformats.org/officeDocument/2006/relationships" name="Checks" sheetId="2" r:id="Raa54dd1a7e5040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;[Red]($#,##0);-"/>
    <x:numFmt numFmtId="202" formatCode="#,##0;[Red](#,##0);-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203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DF3FF"/>
      </x:patternFill>
    </x:fill>
    <x:fill>
      <x:patternFill patternType="solid">
        <x:fgColor rgb="FF2F6BFF"/>
      </x:patternFill>
    </x:fill>
    <x:fill>
      <x:patternFill patternType="solid">
        <x:fgColor rgb="FF18A999"/>
      </x:patternFill>
    </x:fill>
    <x:fill>
      <x:patternFill patternType="solid">
        <x:fgColor rgb="FFF4F6F8"/>
      </x:patternFill>
    </x:fill>
  </x:fills>
  <x:borders count="3">
    <x:border/>
    <x:border>
      <x:bottom style="double">
        <x:color rgb="FF0B1F3A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5" fillId="0" borderId="0" xfId="0" applyNumberFormat="1" applyFont="1" applyFill="1" applyBorder="1"/>
    <x:xf numFmtId="0" fontId="6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6" fillId="6" borderId="1" xfId="0" applyNumberFormat="1" applyFont="1" applyFill="1" applyBorder="1" applyAlignment="1">
      <x:alignment wrapText="1"/>
    </x:xf>
    <x:xf numFmtId="200" fontId="6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202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6a94779fe401d" /><Relationship Type="http://schemas.openxmlformats.org/officeDocument/2006/relationships/theme" Target="/xl/theme/theme1.xml" Id="Rbeec12e5e5d44d5a" /><Relationship Type="http://schemas.openxmlformats.org/officeDocument/2006/relationships/sharedStrings" Target="/xl/sharedStrings.xml" Id="R0d203456590f45ff" /><Relationship Type="http://schemas.openxmlformats.org/officeDocument/2006/relationships/worksheet" Target="/xl/worksheets/sheet1.xml" Id="Ra305a2b5ca4b4367" /><Relationship Type="http://schemas.openxmlformats.org/officeDocument/2006/relationships/worksheet" Target="/xl/worksheets/sheet2.xml" Id="Raa54dd1a7e5040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18" hidden="0" customWidth="1"/>
    <x:col min="4" max="4" width="16" hidden="0" customWidth="1"/>
    <x:col min="5" max="5" width="16" hidden="0" customWidth="1"/>
    <x:col min="6" max="6" width="30" hidden="0" customWidth="1"/>
  </x:cols>
  <x:sheetData>
    <x:row r="1">
      <x:c r="A1" s="21" t="str">
        <x:v>Account Alpha Renewal Math — Working Draft</x:v>
      </x:c>
      <x:c r="B1" s="21"/>
      <x:c r="C1" s="21"/>
      <x:c r="D1" s="21"/>
      <x:c r="E1" s="21"/>
      <x:c r="F1" s="21"/>
    </x:row>
    <x:row r="2">
      <x:c r="A2" s="22"/>
      <x:c r="B2" s="22"/>
      <x:c r="C2" s="22"/>
      <x:c r="D2" s="22"/>
      <x:c r="E2" s="22"/>
      <x:c r="F2" s="22"/>
    </x:row>
    <x:row r="3">
      <x:c r="A3" s="23" t="str">
        <x:v>Line item</x:v>
      </x:c>
      <x:c r="B3" s="23" t="str">
        <x:v>Owner</x:v>
      </x:c>
      <x:c r="C3" s="23" t="str">
        <x:v>Amount</x:v>
      </x:c>
      <x:c r="D3" s="23" t="str">
        <x:v>Term start</x:v>
      </x:c>
      <x:c r="E3" s="23" t="str">
        <x:v>Term end</x:v>
      </x:c>
      <x:c r="F3" s="23" t="str">
        <x:v>Notes</x:v>
      </x:c>
    </x:row>
    <x:row r="4">
      <x:c r="A4" s="22" t="str">
        <x:v>Core platform subscription</x:v>
      </x:c>
      <x:c r="B4" s="22" t="str">
        <x:v>Rowan Mercer</x:v>
      </x:c>
      <x:c r="C4" s="32" t="n">
        <x:v>210000</x:v>
      </x:c>
      <x:c r="D4" s="31" t="n">
        <x:v>46221</x:v>
      </x:c>
      <x:c r="E4" s="31" t="n">
        <x:v>46585</x:v>
      </x:c>
      <x:c r="F4" s="22" t="str">
        <x:v>Approved base</x:v>
      </x:c>
    </x:row>
    <x:row r="5">
      <x:c r="A5" s="22" t="str">
        <x:v>Adoption and delivery services</x:v>
      </x:c>
      <x:c r="B5" s="22" t="str">
        <x:v>Elliot Park</x:v>
      </x:c>
      <x:c r="C5" s="32" t="n">
        <x:v>24000</x:v>
      </x:c>
      <x:c r="D5" s="31" t="n">
        <x:v>46221</x:v>
      </x:c>
      <x:c r="E5" s="31" t="n">
        <x:v>46585</x:v>
      </x:c>
      <x:c r="F5" s="22" t="str">
        <x:v>Handoff scope</x:v>
      </x:c>
    </x:row>
    <x:row r="6">
      <x:c r="A6" s="22" t="str">
        <x:v>Approved expansion capacity</x:v>
      </x:c>
      <x:c r="B6" s="22" t="str">
        <x:v>Rowan Mercer</x:v>
      </x:c>
      <x:c r="C6" s="32" t="n">
        <x:v>14000</x:v>
      </x:c>
      <x:c r="D6" s="31" t="n">
        <x:v>46221</x:v>
      </x:c>
      <x:c r="E6" s="31" t="n">
        <x:v>46585</x:v>
      </x:c>
      <x:c r="F6" s="22" t="str">
        <x:v>Preserve line item</x:v>
      </x:c>
    </x:row>
    <x:row r="7">
      <x:c r="A7" s="25" t="str">
        <x:v>Approved renewal total</x:v>
      </x:c>
      <x:c r="B7" s="25" t="str">
        <x:v>Formula check</x:v>
      </x:c>
      <x:c r="C7" s="33" t="n">
        <x:f>SUM(C4:C6)</x:f>
        <x:v>248000</x:v>
      </x:c>
      <x:c r="D7" s="34" t="n">
        <x:f>'Renewal Math'!D4</x:f>
        <x:v>46221</x:v>
      </x:c>
      <x:c r="E7" s="34" t="n">
        <x:f>'Renewal Math'!E4</x:f>
        <x:v>46585</x:v>
      </x:c>
      <x:c r="F7" s="25" t="str">
        <x:v>Expected USD 248,000</x:v>
      </x:c>
    </x:row>
    <x:row r="8">
      <x:c r="A8" s="22"/>
      <x:c r="B8" s="22"/>
      <x:c r="C8" s="22"/>
      <x:c r="D8" s="22"/>
      <x:c r="E8" s="22"/>
      <x:c r="F8" s="22"/>
    </x:row>
    <x:row r="9">
      <x:c r="A9" s="27" t="str">
        <x:v>Alpha approval decision date</x:v>
      </x:c>
      <x:c r="B9" s="28" t="n">
        <x:v>46220</x:v>
      </x:c>
      <x:c r="C9" s="27" t="str">
        <x:v>Term end (not decision date)</x:v>
      </x:c>
      <x:c r="D9" s="28" t="n">
        <x:v>46585</x:v>
      </x:c>
      <x:c r="E9" s="27" t="str">
        <x:v>Status</x:v>
      </x:c>
      <x:c r="F9" s="27" t="str">
        <x:v>Approved</x:v>
      </x:c>
    </x:row>
    <x:row r="10">
      <x:c r="A10" s="29"/>
      <x:c r="B10" s="29"/>
      <x:c r="C10" s="29"/>
      <x:c r="D10" s="29"/>
      <x:c r="E10" s="29"/>
      <x:c r="F10" s="29"/>
    </x:row>
    <x:row r="11">
      <x:c r="A11" s="22" t="str">
        <x:v>Account Beta planning reference</x:v>
      </x:c>
      <x:c r="B11" s="22" t="str">
        <x:v>Owner</x:v>
      </x:c>
      <x:c r="C11" s="30" t="str">
        <x:v>Planning amount</x:v>
      </x:c>
      <x:c r="D11" s="31" t="str">
        <x:v>Target date</x:v>
      </x:c>
      <x:c r="E11" s="22" t="str">
        <x:v>Status</x:v>
      </x:c>
      <x:c r="F11" s="22" t="str">
        <x:v>Notes</x:v>
      </x:c>
    </x:row>
    <x:row r="12">
      <x:c r="A12" s="22" t="str">
        <x:v>Account Beta</x:v>
      </x:c>
      <x:c r="B12" s="22" t="str">
        <x:v>Morgan Hale</x:v>
      </x:c>
      <x:c r="C12" s="30" t="n">
        <x:v>186000</x:v>
      </x:c>
      <x:c r="D12" s="31" t="n">
        <x:v>46295</x:v>
      </x:c>
      <x:c r="E12" s="22" t="str">
        <x:v>Planning only</x:v>
      </x:c>
      <x:c r="F12" s="22" t="str">
        <x:v>Keep separate from Alpha</x:v>
      </x:c>
    </x:row>
    <x:row r="13">
      <x:c r="A13" s="22"/>
      <x:c r="B13" s="22"/>
      <x:c r="C13" s="22"/>
      <x:c r="D13" s="22"/>
      <x:c r="E13" s="22"/>
      <x:c r="F13" s="22"/>
    </x:row>
    <x:row r="15">
      <x:c r="A15" t="str">
        <x:v>Input / formula legend</x:v>
      </x:c>
      <x:c r="B15" t="str">
        <x:v>Blue font = editable input</x:v>
      </x:c>
      <x:c r="C15" t="str">
        <x:v>Black font = formula</x:v>
      </x:c>
      <x:c r="D15" t="str">
        <x:v>Green font = cross-sheet link</x:v>
      </x:c>
      <x:c r="E15" t="str"/>
      <x:c r="F15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B1" s="2" t="str">
        <x:v>Renewal checks — Working Draft</x:v>
      </x:c>
      <x:c r="C1" s="2"/>
      <x:c r="D1" s="2"/>
      <x:c r="E1" s="2"/>
    </x:row>
    <x:row r="3">
      <x:c r="A3" s="36" t="str">
        <x:v>Check</x:v>
      </x:c>
      <x:c r="B3" s="36" t="str">
        <x:v>Actual</x:v>
      </x:c>
      <x:c r="C3" s="36" t="str">
        <x:v>Expected</x:v>
      </x:c>
      <x:c r="D3" s="36" t="str">
        <x:v>Difference</x:v>
      </x:c>
      <x:c r="E3" s="36" t="str">
        <x:v>Status</x:v>
      </x:c>
    </x:row>
    <x:row r="4">
      <x:c r="A4" s="37" t="str">
        <x:v>Approved total ties to components</x:v>
      </x:c>
      <x:c r="B4" s="38" t="n">
        <x:f>'Renewal Math'!C7</x:f>
        <x:v>248000</x:v>
      </x:c>
      <x:c r="C4" s="38" t="n">
        <x:v>248000</x:v>
      </x:c>
      <x:c r="D4" s="38" t="n">
        <x:f>B4-C4</x:f>
        <x:v>0</x:v>
      </x:c>
      <x:c r="E4" s="37" t="str">
        <x:f>IF(D4=0,"OK","REVIEW")</x:f>
        <x:v>OK</x:v>
      </x:c>
    </x:row>
    <x:row r="5">
      <x:c r="A5" s="37" t="str">
        <x:v>Term is 12 months less one day</x:v>
      </x:c>
      <x:c r="B5" s="38" t="n">
        <x:f>'Renewal Math'!E7-'Renewal Math'!D7</x:f>
        <x:v>364</x:v>
      </x:c>
      <x:c r="C5" s="38" t="n">
        <x:v>364</x:v>
      </x:c>
      <x:c r="D5" s="38" t="n">
        <x:f>B5-C5</x:f>
        <x:v>0</x:v>
      </x:c>
      <x:c r="E5" s="37" t="str">
        <x:f>IF(D5=0,"OK","REVIEW")</x:f>
        <x:v>OK</x:v>
      </x:c>
    </x:row>
  </x:sheetData>
  <x:mergeCells>
    <x:mergeCell ref="B1:E1"/>
  </x:mergeCells>
  <x:pageMargins left="0.7" right="0.7" top="0.75" bottom="0.75" header="0.3" footer="0.3"/>
</x:worksheet>
</file>