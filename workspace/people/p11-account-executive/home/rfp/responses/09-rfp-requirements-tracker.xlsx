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0e631a70d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Tracker" sheetId="1" r:id="Rc16bca70480b4efc"/>
    <x:sheet xmlns:r="http://schemas.openxmlformats.org/officeDocument/2006/relationships" name="Summary" sheetId="2" r:id="Rd33f55259940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%"/>
    <x:numFmt numFmtId="203" formatCode="$#,##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4F6F8"/>
      </x:patternFill>
    </x:fill>
    <x:fill>
      <x:patternFill patternType="solid">
        <x:fgColor rgb="FF2F6BFF"/>
      </x:patternFill>
    </x:fill>
    <x:fill>
      <x:patternFill patternType="solid">
        <x:fgColor rgb="FF18A999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4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d7d54203647c0" /><Relationship Type="http://schemas.openxmlformats.org/officeDocument/2006/relationships/theme" Target="/xl/theme/theme1.xml" Id="R27d2e92f18fe448e" /><Relationship Type="http://schemas.openxmlformats.org/officeDocument/2006/relationships/sharedStrings" Target="/xl/sharedStrings.xml" Id="Rba332c80c9744f62" /><Relationship Type="http://schemas.openxmlformats.org/officeDocument/2006/relationships/worksheet" Target="/xl/worksheets/sheet1.xml" Id="Rc16bca70480b4efc" /><Relationship Type="http://schemas.openxmlformats.org/officeDocument/2006/relationships/worksheet" Target="/xl/worksheets/sheet2.xml" Id="Rd33f5525994044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26" hidden="0" customWidth="1"/>
    <x:col min="4" max="4" width="18" hidden="0" customWidth="1"/>
    <x:col min="5" max="5" width="15" hidden="0" customWidth="1"/>
    <x:col min="6" max="6" width="14" hidden="0" customWidth="1"/>
    <x:col min="7" max="7" width="31" hidden="0" customWidth="1"/>
    <x:col min="8" max="8" width="13" hidden="0" customWidth="1"/>
  </x:cols>
  <x:sheetData>
    <x:row r="1" ht="28" customHeight="1">
      <x:c r="A1" s="4" t="str">
        <x:v>Northstar Cloud | Account Alpha RFP Requirements Tracker</x:v>
      </x:c>
      <x:c r="B1" s="4"/>
      <x:c r="C1" s="4"/>
      <x:c r="D1" s="4"/>
      <x:c r="E1" s="4"/>
      <x:c r="F1" s="4"/>
      <x:c r="G1" s="4"/>
      <x:c r="H1" s="4"/>
    </x:row>
    <x:row r="2" ht="21" customHeight="1">
      <x:c r="A2" s="7" t="str">
        <x:v>Issue date: 2026-07-17 | Term: 2026-07-18 to 2027-07-17 | Approved annual amount: USD 248,000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2" t="str">
        <x:v>ID</x:v>
      </x:c>
      <x:c r="B4" s="12" t="str">
        <x:v>Requirement</x:v>
      </x:c>
      <x:c r="C4" s="12" t="str">
        <x:v>Response / evidence</x:v>
      </x:c>
      <x:c r="D4" s="12" t="str">
        <x:v>Owner</x:v>
      </x:c>
      <x:c r="E4" s="12" t="str">
        <x:v>Status</x:v>
      </x:c>
      <x:c r="F4" s="12" t="str">
        <x:v>Due date</x:v>
      </x:c>
      <x:c r="G4" s="12" t="str">
        <x:v>Exception / dependency</x:v>
      </x:c>
      <x:c r="H4" s="12" t="str">
        <x:v>Completion</x:v>
      </x:c>
    </x:row>
    <x:row r="5" ht="34" customHeight="1">
      <x:c r="A5" s="14" t="str">
        <x:v>R-01</x:v>
      </x:c>
      <x:c r="B5" s="14" t="str">
        <x:v>Confirm proposed term</x:v>
      </x:c>
      <x:c r="C5" s="14" t="str">
        <x:v>Commercial Response §2</x:v>
      </x:c>
      <x:c r="D5" s="14" t="str">
        <x:v>Priya Noland</x:v>
      </x:c>
      <x:c r="E5" s="14" t="str">
        <x:v>Complete</x:v>
      </x:c>
      <x:c r="F5" s="15" t="n">
        <x:v>46220</x:v>
      </x:c>
      <x:c r="G5" s="14" t="str">
        <x:v>Final agreement governs</x:v>
      </x:c>
      <x:c r="H5" s="16" t="n">
        <x:f>IF(E5="Complete",1,0)</x:f>
        <x:v>1</x:v>
      </x:c>
    </x:row>
    <x:row r="6" ht="34" customHeight="1">
      <x:c r="A6" s="14" t="str">
        <x:v>R-02</x:v>
      </x:c>
      <x:c r="B6" s="14" t="str">
        <x:v>Confirm annual component allocation</x:v>
      </x:c>
      <x:c r="C6" s="14" t="str">
        <x:v>Commercial Response §3</x:v>
      </x:c>
      <x:c r="D6" s="14" t="str">
        <x:v>Priya Noland</x:v>
      </x:c>
      <x:c r="E6" s="14" t="str">
        <x:v>Complete</x:v>
      </x:c>
      <x:c r="F6" s="15" t="n">
        <x:v>46220</x:v>
      </x:c>
      <x:c r="G6" s="14" t="str">
        <x:v>Taxes and third-party costs excluded</x:v>
      </x:c>
      <x:c r="H6" s="16" t="n">
        <x:f>IF(E6="Complete",1,0)</x:f>
        <x:v>1</x:v>
      </x:c>
    </x:row>
    <x:row r="7" ht="34" customHeight="1">
      <x:c r="A7" s="14" t="str">
        <x:v>R-03</x:v>
      </x:c>
      <x:c r="B7" s="14" t="str">
        <x:v>Document scoped security controls</x:v>
      </x:c>
      <x:c r="C7" s="14" t="str">
        <x:v>Security Response §3</x:v>
      </x:c>
      <x:c r="D7" s="14" t="str">
        <x:v>Elliot Park</x:v>
      </x:c>
      <x:c r="E7" s="14" t="str">
        <x:v>Complete</x:v>
      </x:c>
      <x:c r="F7" s="15" t="n">
        <x:v>46220</x:v>
      </x:c>
      <x:c r="G7" s="14" t="str">
        <x:v>No certification claim</x:v>
      </x:c>
      <x:c r="H7" s="16" t="n">
        <x:f>IF(E7="Complete",1,0)</x:f>
        <x:v>1</x:v>
      </x:c>
    </x:row>
    <x:row r="8" ht="34" customHeight="1">
      <x:c r="A8" s="14" t="str">
        <x:v>R-04</x:v>
      </x:c>
      <x:c r="B8" s="14" t="str">
        <x:v>Confirm service objective</x:v>
      </x:c>
      <x:c r="C8" s="14" t="str">
        <x:v>Security Response §4</x:v>
      </x:c>
      <x:c r="D8" s="14" t="str">
        <x:v>Elliot Park</x:v>
      </x:c>
      <x:c r="E8" s="14" t="str">
        <x:v>Complete</x:v>
      </x:c>
      <x:c r="F8" s="15" t="n">
        <x:v>46220</x:v>
      </x:c>
      <x:c r="G8" s="14" t="str">
        <x:v>Internal 99.95%; scoped exclusions</x:v>
      </x:c>
      <x:c r="H8" s="16" t="n">
        <x:f>IF(E8="Complete",1,0)</x:f>
        <x:v>1</x:v>
      </x:c>
    </x:row>
    <x:row r="9" ht="34" customHeight="1">
      <x:c r="A9" s="14" t="str">
        <x:v>R-05</x:v>
      </x:c>
      <x:c r="B9" s="14" t="str">
        <x:v>Validate implementation governance</x:v>
      </x:c>
      <x:c r="C9" s="14" t="str">
        <x:v>Implementation Response §3</x:v>
      </x:c>
      <x:c r="D9" s="14" t="str">
        <x:v>Elliot Park</x:v>
      </x:c>
      <x:c r="E9" s="14" t="str">
        <x:v>In Progress</x:v>
      </x:c>
      <x:c r="F9" s="15" t="n">
        <x:v>46227</x:v>
      </x:c>
      <x:c r="G9" s="14" t="str">
        <x:v>Customer access and SME availability</x:v>
      </x:c>
      <x:c r="H9" s="16" t="n">
        <x:f>IF(E9="Complete",1,0)</x:f>
        <x:v>0</x:v>
      </x:c>
    </x:row>
    <x:row r="10" ht="34" customHeight="1">
      <x:c r="A10" s="14" t="str">
        <x:v>R-06</x:v>
      </x:c>
      <x:c r="B10" s="14" t="str">
        <x:v>Close procurement clarification</x:v>
      </x:c>
      <x:c r="C10" s="14" t="str">
        <x:v>Clarification email</x:v>
      </x:c>
      <x:c r="D10" s="14" t="str">
        <x:v>Rowan Mercer</x:v>
      </x:c>
      <x:c r="E10" s="14" t="str">
        <x:v>Open</x:v>
      </x:c>
      <x:c r="F10" s="15" t="n">
        <x:v>46225</x:v>
      </x:c>
      <x:c r="G10" s="14" t="str">
        <x:v>Awaiting Avery Sloan / Morgan Hale</x:v>
      </x:c>
      <x:c r="H10" s="16" t="n">
        <x:f>IF(E10="Complete",1,0)</x:f>
        <x:v>0</x:v>
      </x:c>
    </x:row>
  </x:sheetData>
  <x:mergeCells>
    <x:mergeCell ref="A1:H1"/>
    <x:mergeCell ref="A2:H2"/>
  </x:mergeCells>
  <x:conditionalFormatting sqref="E5:E50">
    <x:cfRule type="containsText" dxfId="0" priority="1" operator="containsText" text="Complete"/>
    <x:cfRule type="containsText" dxfId="1" priority="2" operator="containsText" text="Open"/>
    <x:cfRule type="containsText" dxfId="2" priority="3" operator="containsText" text="In Progress"/>
  </x:conditionalFormatting>
  <x:dataValidations count="2">
    <x:dataValidation type="list" sqref="E5:E50">
      <x:formula1>"Open,In Progress,Complete,Blocked"</x:formula1>
    </x:dataValidation>
    <x:dataValidation type="list" sqref="D5:D50">
      <x:formula1>"Rowan Mercer,Priya Noland,Elliot Park"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4" max="4" width="22" hidden="0" customWidth="1"/>
    <x:col min="5" max="5" width="20" hidden="0" customWidth="1"/>
  </x:cols>
  <x:sheetData>
    <x:row r="1" ht="28" customHeight="1">
      <x:c r="A1" s="2" t="str">
        <x:v>Account Alpha RFP Summary</x:v>
      </x:c>
      <x:c r="B1" s="2"/>
      <x:c r="C1" s="2"/>
      <x:c r="D1" s="2"/>
    </x:row>
    <x:row r="3">
      <x:c r="A3" s="19" t="str">
        <x:v>Metric</x:v>
      </x:c>
      <x:c r="B3" s="19" t="str">
        <x:v>Value</x:v>
      </x:c>
    </x:row>
    <x:row r="4">
      <x:c r="A4" s="13" t="str">
        <x:v>Total requirements</x:v>
      </x:c>
      <x:c r="B4" s="13" t="n">
        <x:f>COUNTA('Requirements Tracker'!A5:A10)</x:f>
        <x:v>6</x:v>
      </x:c>
    </x:row>
    <x:row r="5">
      <x:c r="A5" s="13" t="str">
        <x:v>Complete</x:v>
      </x:c>
      <x:c r="B5" s="13" t="n">
        <x:f>COUNTIF('Requirements Tracker'!E5:E10,"Complete")</x:f>
        <x:v>4</x:v>
      </x:c>
    </x:row>
    <x:row r="6">
      <x:c r="A6" s="13" t="str">
        <x:v>In progress</x:v>
      </x:c>
      <x:c r="B6" s="13" t="n">
        <x:f>COUNTIF('Requirements Tracker'!E5:E10,"In Progress")</x:f>
        <x:v>1</x:v>
      </x:c>
    </x:row>
    <x:row r="7">
      <x:c r="A7" s="13" t="str">
        <x:v>Open</x:v>
      </x:c>
      <x:c r="B7" s="13" t="n">
        <x:f>COUNTIF('Requirements Tracker'!E5:E10,"Open")</x:f>
        <x:v>1</x:v>
      </x:c>
    </x:row>
    <x:row r="8">
      <x:c r="A8" s="13" t="str">
        <x:v>Completion rate</x:v>
      </x:c>
      <x:c r="B8" s="20" t="n">
        <x:f>IF(B4=0,0,B5/B4)</x:f>
        <x:v>0.6666666666666666</x:v>
      </x:c>
    </x:row>
    <x:row r="10">
      <x:c r="A10" s="18" t="str">
        <x:v>Commercial anchors</x:v>
      </x:c>
      <x:c r="B10" s="18"/>
      <x:c r="C10" s="18"/>
      <x:c r="D10" s="18"/>
    </x:row>
    <x:row r="11">
      <x:c r="A11" s="13" t="str">
        <x:v>Approved annual amount</x:v>
      </x:c>
      <x:c r="B11" s="21" t="n">
        <x:v>248000</x:v>
      </x:c>
      <x:c r="D11" s="13" t="str">
        <x:v>Term start</x:v>
      </x:c>
      <x:c r="E11" s="22" t="n">
        <x:v>46221</x:v>
      </x:c>
    </x:row>
    <x:row r="12">
      <x:c r="A12" s="13" t="str">
        <x:v>Core platform</x:v>
      </x:c>
      <x:c r="B12" s="21" t="n">
        <x:v>210000</x:v>
      </x:c>
      <x:c r="D12" s="13" t="str">
        <x:v>Term end</x:v>
      </x:c>
      <x:c r="E12" s="22" t="n">
        <x:v>46585</x:v>
      </x:c>
    </x:row>
    <x:row r="13">
      <x:c r="A13" s="13" t="str">
        <x:v>Implementation services</x:v>
      </x:c>
      <x:c r="B13" s="21" t="n">
        <x:v>24000</x:v>
      </x:c>
      <x:c r="D13" s="13" t="str">
        <x:v>Service objective</x:v>
      </x:c>
      <x:c r="E13" s="13" t="str">
        <x:v>Internal 99.95%</x:v>
      </x:c>
    </x:row>
    <x:row r="14">
      <x:c r="A14" s="13" t="str">
        <x:v>Success services</x:v>
      </x:c>
      <x:c r="B14" s="21" t="n">
        <x:v>14000</x:v>
      </x:c>
      <x:c r="D14" s="13" t="str">
        <x:v>Implementation</x:v>
      </x:c>
      <x:c r="E14" s="13" t="str">
        <x:v>12 weeks</x:v>
      </x:c>
    </x:row>
  </x:sheetData>
  <x:mergeCells>
    <x:mergeCell ref="A1:D1"/>
    <x:mergeCell ref="A10:D10"/>
  </x:mergeCells>
  <x:pageMargins left="0.7" right="0.7" top="0.75" bottom="0.75" header="0.3" footer="0.3"/>
</x:worksheet>
</file>