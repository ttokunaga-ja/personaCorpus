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07bdc7fd4741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ec1f1f5652b475b"/>
    <x:sheet xmlns:r="http://schemas.openxmlformats.org/officeDocument/2006/relationships" name="Options" sheetId="2" r:id="Rb174f65ae7044fbb"/>
    <x:sheet xmlns:r="http://schemas.openxmlformats.org/officeDocument/2006/relationships" name="Pricing Detail" sheetId="3" r:id="R85988d65239044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&quot;$&quot;#,##0;[Red](&quot;$&quot;#,##0);-"/>
    <x:numFmt numFmtId="202" formatCode="0.0%"/>
  </x:numFmts>
  <x:fonts count="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B1F3A"/>
      <x:name val="Carlito"/>
    </x:font>
    <x:font>
      <x:b/>
      <x:sz val="11"/>
      <x:color rgb="FFFFFFFF"/>
      <x:name val="Carlito"/>
    </x:font>
    <x:font>
      <x:b/>
      <x:sz val="11"/>
      <x:color rgb="FF137A53"/>
      <x:name val="Carlito"/>
    </x:font>
    <x:font>
      <x:sz val="11"/>
      <x:color rgb="FF8A4B00"/>
      <x:name val="Carlito"/>
    </x:font>
    <x:font>
      <x:sz val="11"/>
      <x:color rgb="FF2F6BFF"/>
      <x:name val="Carlito"/>
    </x:font>
    <x:font>
      <x:sz val="11"/>
      <x:color rgb="FF137A53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18A999"/>
      </x:patternFill>
    </x:fill>
    <x:fill>
      <x:patternFill patternType="solid">
        <x:fgColor rgb="FFDDF5EC"/>
      </x:patternFill>
    </x:fill>
    <x:fill>
      <x:patternFill patternType="solid">
        <x:fgColor rgb="FFF4F6F8"/>
      </x:patternFill>
    </x:fill>
    <x:fill>
      <x:patternFill patternType="solid">
        <x:fgColor rgb="FF2F6BFF"/>
      </x:patternFill>
    </x:fill>
    <x:fill>
      <x:patternFill patternType="solid">
        <x:fgColor rgb="FFFFF4E5"/>
      </x:patternFill>
    </x:fill>
  </x:fills>
  <x:borders count="15">
    <x:border/>
    <x:border>
      <x:left style="thin">
        <x:color rgb="FFB7C2D0"/>
      </x:left>
      <x:top style="thin">
        <x:color rgb="FFB7C2D0"/>
      </x:top>
      <x:bottom style="thin">
        <x:color rgb="FFB7C2D0"/>
      </x:bottom>
    </x:border>
    <x:border>
      <x:top style="thin">
        <x:color rgb="FFB7C2D0"/>
      </x:top>
      <x:bottom style="thin">
        <x:color rgb="FFB7C2D0"/>
      </x:bottom>
    </x:border>
    <x:border>
      <x:right style="thin">
        <x:color rgb="FFB7C2D0"/>
      </x:right>
      <x:top style="thin">
        <x:color rgb="FFB7C2D0"/>
      </x:top>
      <x:bottom style="thin">
        <x:color rgb="FFB7C2D0"/>
      </x:bottom>
    </x:border>
    <x:border>
      <x:left style="thin">
        <x:color rgb="FFB7C2D0"/>
      </x:left>
      <x:top style="thin">
        <x:color rgb="FFB7C2D0"/>
      </x:top>
    </x:border>
    <x:border>
      <x:top style="thin">
        <x:color rgb="FFB7C2D0"/>
      </x:top>
    </x:border>
    <x:border>
      <x:right style="thin">
        <x:color rgb="FFB7C2D0"/>
      </x:right>
      <x:top style="thin">
        <x:color rgb="FFB7C2D0"/>
      </x:top>
    </x:border>
    <x:border>
      <x:left style="thin">
        <x:color rgb="FFB7C2D0"/>
      </x:left>
    </x:border>
    <x:border>
      <x:right style="thin">
        <x:color rgb="FFB7C2D0"/>
      </x:right>
    </x:border>
    <x:border>
      <x:left style="thin">
        <x:color rgb="FFB7C2D0"/>
      </x:left>
      <x:bottom style="thin">
        <x:color rgb="FFB7C2D0"/>
      </x:bottom>
    </x:border>
    <x:border>
      <x:bottom style="thin">
        <x:color rgb="FFB7C2D0"/>
      </x:bottom>
    </x:border>
    <x:border>
      <x:right style="thin">
        <x:color rgb="FFB7C2D0"/>
      </x:right>
      <x:bottom style="thin">
        <x:color rgb="FFB7C2D0"/>
      </x:bottom>
    </x:border>
    <x:border>
      <x:left style="medium">
        <x:color rgb="FF0B1F3A"/>
      </x:left>
      <x:top style="medium">
        <x:color rgb="FF0B1F3A"/>
      </x:top>
      <x:bottom style="medium">
        <x:color rgb="FF0B1F3A"/>
      </x:bottom>
    </x:border>
    <x:border>
      <x:top style="medium">
        <x:color rgb="FF0B1F3A"/>
      </x:top>
      <x:bottom style="medium">
        <x:color rgb="FF0B1F3A"/>
      </x:bottom>
    </x:border>
    <x:border>
      <x:right style="medium">
        <x:color rgb="FF0B1F3A"/>
      </x:right>
      <x:top style="medium">
        <x:color rgb="FF0B1F3A"/>
      </x:top>
      <x:bottom style="medium">
        <x:color rgb="FF0B1F3A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201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2" xfId="0" applyNumberFormat="1" applyFont="1" applyFill="1" applyBorder="1"/>
    <x:xf numFmtId="0" fontId="3" fillId="6" borderId="3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wrapText="1"/>
    </x:xf>
    <x:xf numFmtId="0" fontId="3" fillId="6" borderId="3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2" xfId="0" applyNumberFormat="1" applyFont="1" applyFill="1" applyBorder="1" applyAlignment="1">
      <x:alignment horizontal="center" wrapText="1"/>
    </x:xf>
    <x:xf numFmtId="0" fontId="3" fillId="6" borderId="3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3" fillId="6" borderId="2" xfId="0" applyNumberFormat="1" applyFont="1" applyFill="1" applyBorder="1" applyAlignment="1">
      <x:alignment horizontal="center" vertical="center" wrapText="1"/>
    </x:xf>
    <x:xf numFmtId="0" fontId="3" fillId="6" borderId="3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201" fontId="0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201" fontId="4" fillId="4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201" fontId="0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  <x:xf numFmtId="201" fontId="5" fillId="7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0" fontId="7" fillId="0" borderId="0" xfId="0" applyNumberFormat="1" applyFont="1" applyFill="1" applyBorder="1"/>
    <x:xf numFmtId="201" fontId="7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1" fontId="7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0" xfId="0" applyNumberFormat="1" applyFont="1" applyFill="1" applyBorder="1"/>
    <x:xf numFmtId="201" fontId="7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8" fillId="0" borderId="4" xfId="0" applyNumberFormat="1" applyFont="1" applyFill="1" applyBorder="1"/>
    <x:xf numFmtId="0" fontId="8" fillId="0" borderId="5" xfId="0" applyNumberFormat="1" applyFont="1" applyFill="1" applyBorder="1"/>
    <x:xf numFmtId="201" fontId="4" fillId="0" borderId="6" xfId="0" applyNumberFormat="1" applyFont="1" applyFill="1" applyBorder="1"/>
    <x:xf numFmtId="0" fontId="8" fillId="0" borderId="12" xfId="0" applyNumberFormat="1" applyFont="1" applyFill="1" applyBorder="1"/>
    <x:xf numFmtId="0" fontId="8" fillId="0" borderId="13" xfId="0" applyNumberFormat="1" applyFont="1" applyFill="1" applyBorder="1"/>
    <x:xf numFmtId="201" fontId="4" fillId="0" borderId="14" xfId="0" applyNumberFormat="1" applyFont="1" applyFill="1" applyBorder="1"/>
    <x:xf numFmtId="0" fontId="0" fillId="4" borderId="11" xfId="0" applyNumberFormat="1" applyFont="1" applyFill="1" applyBorder="1"/>
    <x:xf numFmtId="0" fontId="4" fillId="4" borderId="1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22d8f073844a55" /><Relationship Type="http://schemas.openxmlformats.org/officeDocument/2006/relationships/theme" Target="/xl/theme/theme1.xml" Id="Ra2db94232b1a403e" /><Relationship Type="http://schemas.openxmlformats.org/officeDocument/2006/relationships/sharedStrings" Target="/xl/sharedStrings.xml" Id="R3d775dfb69404b44" /><Relationship Type="http://schemas.openxmlformats.org/officeDocument/2006/relationships/worksheet" Target="/xl/worksheets/sheet1.xml" Id="Raec1f1f5652b475b" /><Relationship Type="http://schemas.openxmlformats.org/officeDocument/2006/relationships/worksheet" Target="/xl/worksheets/sheet2.xml" Id="Rb174f65ae7044fbb" /><Relationship Type="http://schemas.openxmlformats.org/officeDocument/2006/relationships/worksheet" Target="/xl/worksheets/sheet3.xml" Id="R85988d65239044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5" hidden="0" customWidth="1"/>
    <x:col min="3" max="3" width="4" hidden="0" customWidth="1"/>
    <x:col min="4" max="4" width="22" hidden="0" customWidth="1"/>
    <x:col min="5" max="5" width="26" hidden="0" customWidth="1"/>
    <x:col min="6" max="6" width="16" hidden="0" customWidth="1"/>
  </x:cols>
  <x:sheetData>
    <x:row r="1" ht="30" customHeight="1">
      <x:c r="A1" s="4" t="str">
        <x:v>NORTHSTAR CLOUD | ACCOUNT ALPHA PRICING</x:v>
      </x:c>
      <x:c r="B1" s="4" t="str">
        <x:v>NORTHSTAR CLOUD | ACCOUNT ALPHA PRICING</x:v>
      </x:c>
      <x:c r="C1" s="4" t="str">
        <x:v>NORTHSTAR CLOUD | ACCOUNT ALPHA PRICING</x:v>
      </x:c>
      <x:c r="D1" s="4" t="str">
        <x:v>NORTHSTAR CLOUD | ACCOUNT ALPHA PRICING</x:v>
      </x:c>
      <x:c r="E1" s="4" t="str">
        <x:v>NORTHSTAR CLOUD | ACCOUNT ALPHA PRICING</x:v>
      </x:c>
      <x:c r="F1" s="4" t="str">
        <x:v>NORTHSTAR CLOUD | ACCOUNT ALPHA PRICING</x:v>
      </x:c>
    </x:row>
    <x:row r="3">
      <x:c r="A3" s="5" t="str">
        <x:v>Account</x:v>
      </x:c>
      <x:c r="B3" t="str">
        <x:v>Account Alpha</x:v>
      </x:c>
      <x:c r="D3" s="5" t="str">
        <x:v>Annual approved total</x:v>
      </x:c>
      <x:c r="E3" s="9" t="n">
        <x:v>248000</x:v>
      </x:c>
    </x:row>
    <x:row r="4">
      <x:c r="A4" s="5" t="str">
        <x:v>Customer</x:v>
      </x:c>
      <x:c r="B4" t="str">
        <x:v>Northstar Cloud</x:v>
      </x:c>
      <x:c r="D4" s="5" t="str">
        <x:v>Approval status</x:v>
      </x:c>
      <x:c r="E4" s="11" t="str">
        <x:v>APPROVED</x:v>
      </x:c>
    </x:row>
    <x:row r="5">
      <x:c r="A5" s="5" t="str">
        <x:v>Prepared by</x:v>
      </x:c>
      <x:c r="B5" t="str">
        <x:v>Rowan Mercer</x:v>
      </x:c>
      <x:c r="D5" s="5" t="str">
        <x:v>Purpose</x:v>
      </x:c>
      <x:c r="E5" t="str">
        <x:v>Renewal option comparison</x:v>
      </x:c>
    </x:row>
    <x:row r="6">
      <x:c r="A6" s="5" t="str">
        <x:v>Decision date</x:v>
      </x:c>
      <x:c r="B6" s="6" t="n">
        <x:v>46220</x:v>
      </x:c>
      <x:c r="D6" s="5" t="str">
        <x:v>Currency</x:v>
      </x:c>
      <x:c r="E6" t="str">
        <x:v>USD</x:v>
      </x:c>
    </x:row>
    <x:row r="7">
      <x:c r="A7" s="5" t="str">
        <x:v>Term start</x:v>
      </x:c>
      <x:c r="B7" s="6" t="n">
        <x:v>46221</x:v>
      </x:c>
    </x:row>
    <x:row r="8">
      <x:c r="A8" s="5" t="str">
        <x:v>Term end</x:v>
      </x:c>
      <x:c r="B8" s="6" t="n">
        <x:v>46585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8" hidden="0" customWidth="1"/>
    <x:col min="4" max="4" width="18" hidden="0" customWidth="1"/>
    <x:col min="5" max="5" width="47" hidden="0" customWidth="1"/>
    <x:col min="6" max="6" width="18" hidden="0" customWidth="1"/>
    <x:col min="7" max="7" width="22" hidden="0" customWidth="1"/>
  </x:cols>
  <x:sheetData>
    <x:row r="1" ht="30" customHeight="1">
      <x:c r="A1" s="4" t="str">
        <x:v>RENEWAL OPTION COMPARISON</x:v>
      </x:c>
      <x:c r="B1" s="4" t="str">
        <x:v>RENEWAL OPTION COMPARISON</x:v>
      </x:c>
      <x:c r="C1" s="4" t="str">
        <x:v>RENEWAL OPTION COMPARISON</x:v>
      </x:c>
      <x:c r="D1" s="4" t="str">
        <x:v>RENEWAL OPTION COMPARISON</x:v>
      </x:c>
      <x:c r="E1" s="4" t="str">
        <x:v>RENEWAL OPTION COMPARISON</x:v>
      </x:c>
      <x:c r="F1" s="4" t="str">
        <x:v>RENEWAL OPTION COMPARISON</x:v>
      </x:c>
      <x:c r="G1" s="4" t="str">
        <x:v>RENEWAL OPTION COMPARISON</x:v>
      </x:c>
    </x:row>
    <x:row r="3">
      <x:c r="A3" s="14" t="str">
        <x:v>Only the approved option may be quoted or booked</x:v>
      </x:c>
      <x:c r="B3" s="14" t="str">
        <x:v>Only the approved option may be quoted or booked</x:v>
      </x:c>
      <x:c r="C3" s="14" t="str">
        <x:v>Only the approved option may be quoted or booked</x:v>
      </x:c>
      <x:c r="D3" s="14" t="str">
        <x:v>Only the approved option may be quoted or booked</x:v>
      </x:c>
      <x:c r="E3" s="14" t="str">
        <x:v>Only the approved option may be quoted or booked</x:v>
      </x:c>
      <x:c r="F3" s="14" t="str">
        <x:v>Only the approved option may be quoted or booked</x:v>
      </x:c>
      <x:c r="G3" s="14" t="str">
        <x:v>Only the approved option may be quoted or booked</x:v>
      </x:c>
    </x:row>
    <x:row r="4">
      <x:c r="A4" s="26" t="str">
        <x:v>Option</x:v>
      </x:c>
      <x:c r="B4" s="27" t="str">
        <x:v>Annual price (USD)</x:v>
      </x:c>
      <x:c r="C4" s="27" t="str">
        <x:v>Term</x:v>
      </x:c>
      <x:c r="D4" s="27" t="str">
        <x:v>Approval status</x:v>
      </x:c>
      <x:c r="E4" s="27" t="str">
        <x:v>Commercial position</x:v>
      </x:c>
      <x:c r="F4" s="27" t="str">
        <x:v>Decision</x:v>
      </x:c>
      <x:c r="G4" s="28" t="str">
        <x:v>Notes</x:v>
      </x:c>
    </x:row>
    <x:row r="5" ht="28" customHeight="1">
      <x:c r="A5" s="34" t="str">
        <x:v>Approved renewal</x:v>
      </x:c>
      <x:c r="B5" s="35" t="n">
        <x:f>'Pricing Detail'!D8</x:f>
        <x:v>248000</x:v>
      </x:c>
      <x:c r="C5" s="34" t="str">
        <x:v>2026-07-18 to 2027-07-17</x:v>
      </x:c>
      <x:c r="D5" s="34" t="str">
        <x:v>APPROVED</x:v>
      </x:c>
      <x:c r="E5" s="34" t="str">
        <x:v>Enterprise Platform + Success Plus + Data Connect</x:v>
      </x:c>
      <x:c r="F5" s="34" t="str">
        <x:v>Selected</x:v>
      </x:c>
      <x:c r="G5" s="34" t="str">
        <x:v>Final approved price</x:v>
      </x:c>
    </x:row>
    <x:row r="6" ht="28" customHeight="1">
      <x:c r="A6" s="38" t="str">
        <x:v>Alternative: list-price renewal</x:v>
      </x:c>
      <x:c r="B6" s="39" t="n">
        <x:f>'Pricing Detail'!D9</x:f>
        <x:v>290000</x:v>
      </x:c>
      <x:c r="C6" s="38" t="str">
        <x:v>Annual</x:v>
      </x:c>
      <x:c r="D6" s="38" t="str">
        <x:v>NOT APPROVED</x:v>
      </x:c>
      <x:c r="E6" s="38" t="str">
        <x:v>No discounts</x:v>
      </x:c>
      <x:c r="F6" s="38" t="str">
        <x:v>Alternative only</x:v>
      </x:c>
      <x:c r="G6" s="38" t="str">
        <x:v>Do not quote</x:v>
      </x:c>
    </x:row>
    <x:row r="7" ht="28" customHeight="1">
      <x:c r="A7" s="38" t="str">
        <x:v>Alternative: platform-only</x:v>
      </x:c>
      <x:c r="B7" s="39" t="n">
        <x:f>'Pricing Detail'!D5</x:f>
        <x:v>210000</x:v>
      </x:c>
      <x:c r="C7" s="38" t="str">
        <x:v>Annual</x:v>
      </x:c>
      <x:c r="D7" s="38" t="str">
        <x:v>NOT APPROVED</x:v>
      </x:c>
      <x:c r="E7" s="38" t="str">
        <x:v>Enterprise Platform only</x:v>
      </x:c>
      <x:c r="F7" s="38" t="str">
        <x:v>Alternative only</x:v>
      </x:c>
      <x:c r="G7" s="38" t="str">
        <x:v>Do not quote</x:v>
      </x:c>
    </x:row>
  </x:sheetData>
  <x:mergeCells>
    <x:mergeCell ref="A1:G1"/>
    <x:mergeCell ref="A3:G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9" hidden="0" customWidth="1"/>
    <x:col min="3" max="3" width="20" hidden="0" customWidth="1"/>
    <x:col min="4" max="4" width="21" hidden="0" customWidth="1"/>
    <x:col min="5" max="5" width="14" hidden="0" customWidth="1"/>
    <x:col min="6" max="6" width="13" hidden="0" customWidth="1"/>
    <x:col min="7" max="7" width="22" hidden="0" customWidth="1"/>
  </x:cols>
  <x:sheetData>
    <x:row r="1" ht="30" customHeight="1">
      <x:c r="A1" s="4" t="str">
        <x:v>APPROVED COMMERCIAL PRICING</x:v>
      </x:c>
      <x:c r="B1" s="4" t="str">
        <x:v>APPROVED COMMERCIAL PRICING</x:v>
      </x:c>
      <x:c r="C1" s="4" t="str">
        <x:v>APPROVED COMMERCIAL PRICING</x:v>
      </x:c>
      <x:c r="D1" s="4" t="str">
        <x:v>APPROVED COMMERCIAL PRICING</x:v>
      </x:c>
      <x:c r="E1" s="4" t="str">
        <x:v>APPROVED COMMERCIAL PRICING</x:v>
      </x:c>
      <x:c r="F1" s="4" t="str">
        <x:v>APPROVED COMMERCIAL PRICING</x:v>
      </x:c>
      <x:c r="G1" s="4" t="str">
        <x:v>APPROVED COMMERCIAL PRICING</x:v>
      </x:c>
    </x:row>
    <x:row r="3">
      <x:c r="A3" s="14" t="str">
        <x:v>Inputs &amp; discount assumptions</x:v>
      </x:c>
      <x:c r="B3" s="14" t="str">
        <x:v>Inputs &amp; discount assumptions</x:v>
      </x:c>
      <x:c r="C3" s="14" t="str">
        <x:v>Inputs &amp; discount assumptions</x:v>
      </x:c>
      <x:c r="D3" s="14" t="str">
        <x:v>Inputs &amp; discount assumptions</x:v>
      </x:c>
      <x:c r="E3" s="14" t="str">
        <x:v>Inputs &amp; discount assumptions</x:v>
      </x:c>
      <x:c r="F3" s="14" t="str">
        <x:v>Inputs &amp; discount assumptions</x:v>
      </x:c>
      <x:c r="G3" s="14" t="str">
        <x:v>Inputs &amp; discount assumptions</x:v>
      </x:c>
    </x:row>
    <x:row r="4">
      <x:c r="A4" s="26" t="str">
        <x:v>Component</x:v>
      </x:c>
      <x:c r="B4" s="27" t="str">
        <x:v>List price (USD)</x:v>
      </x:c>
      <x:c r="C4" s="27" t="str">
        <x:v>Approved discount</x:v>
      </x:c>
      <x:c r="D4" s="27" t="str">
        <x:v>Approved price (USD)</x:v>
      </x:c>
      <x:c r="E4" s="27" t="str">
        <x:v>Approval</x:v>
      </x:c>
      <x:c r="F4" s="27" t="str">
        <x:v>Term</x:v>
      </x:c>
      <x:c r="G4" s="28" t="str">
        <x:v>Notes</x:v>
      </x:c>
    </x:row>
    <x:row r="5">
      <x:c r="A5" t="str">
        <x:v>Enterprise Platform</x:v>
      </x:c>
      <x:c r="B5" s="41" t="n">
        <x:v>240000</x:v>
      </x:c>
      <x:c r="C5" s="42" t="n">
        <x:v>0.125</x:v>
      </x:c>
      <x:c r="D5" s="44" t="n">
        <x:f>B5*(1-C5)</x:f>
        <x:v>210000</x:v>
      </x:c>
      <x:c r="E5" t="str">
        <x:v>Approved</x:v>
      </x:c>
      <x:c r="F5" t="str">
        <x:v>Annual</x:v>
      </x:c>
      <x:c r="G5" t="str">
        <x:v>Core platform</x:v>
      </x:c>
    </x:row>
    <x:row r="6">
      <x:c r="A6" t="str">
        <x:v>Success Plus</x:v>
      </x:c>
      <x:c r="B6" s="41" t="n">
        <x:v>30000</x:v>
      </x:c>
      <x:c r="C6" s="42" t="n">
        <x:v>0.2</x:v>
      </x:c>
      <x:c r="D6" s="44" t="n">
        <x:f>B6*(1-C6)</x:f>
        <x:v>24000</x:v>
      </x:c>
      <x:c r="E6" t="str">
        <x:v>Approved</x:v>
      </x:c>
      <x:c r="F6" t="str">
        <x:v>Annual</x:v>
      </x:c>
      <x:c r="G6" t="str">
        <x:v>Premium support</x:v>
      </x:c>
    </x:row>
    <x:row r="7">
      <x:c r="A7" t="str">
        <x:v>Data Connect</x:v>
      </x:c>
      <x:c r="B7" s="41" t="n">
        <x:v>20000</x:v>
      </x:c>
      <x:c r="C7" s="42" t="n">
        <x:v>0.3</x:v>
      </x:c>
      <x:c r="D7" s="44" t="n">
        <x:f>B7*(1-C7)</x:f>
        <x:v>14000</x:v>
      </x:c>
      <x:c r="E7" t="str">
        <x:v>Approved</x:v>
      </x:c>
      <x:c r="F7" t="str">
        <x:v>Annual</x:v>
      </x:c>
      <x:c r="G7" t="str">
        <x:v>Integration access</x:v>
      </x:c>
    </x:row>
    <x:row r="8">
      <x:c r="A8" s="57" t="str">
        <x:v>Approved annual total</x:v>
      </x:c>
      <x:c r="B8" s="58"/>
      <x:c r="C8" s="58"/>
      <x:c r="D8" s="59" t="n">
        <x:f>SUM(D5:D7)</x:f>
        <x:v>248000</x:v>
      </x:c>
      <x:c r="E8" t="str"/>
      <x:c r="F8" t="str"/>
      <x:c r="G8" t="str"/>
    </x:row>
    <x:row r="9">
      <x:c r="A9" s="48" t="str">
        <x:v>List-price total</x:v>
      </x:c>
      <x:c r="B9" s="49"/>
      <x:c r="C9" s="49"/>
      <x:c r="D9" s="50" t="n">
        <x:f>SUM(B5:B7)</x:f>
        <x:v>290000</x:v>
      </x:c>
      <x:c r="E9" t="str"/>
      <x:c r="F9" t="str"/>
      <x:c r="G9" t="str"/>
    </x:row>
    <x:row r="10">
      <x:c r="A10" s="48" t="str">
        <x:v>Total discount</x:v>
      </x:c>
      <x:c r="B10" s="49"/>
      <x:c r="C10" s="49"/>
      <x:c r="D10" s="50" t="n">
        <x:f>D9-D8</x:f>
        <x:v>42000</x:v>
      </x:c>
      <x:c r="E10" t="str"/>
      <x:c r="F10" t="str"/>
      <x:c r="G10" t="str"/>
    </x:row>
    <x:row r="11">
      <x:c r="A11" s="51" t="str">
        <x:v>Tie-out status</x:v>
      </x:c>
      <x:c r="B11" s="52"/>
      <x:c r="C11" s="52"/>
      <x:c r="D11" s="61" t="str">
        <x:f>IF(D8=248000,"PASS","FAIL")</x:f>
        <x:v>PASS</x:v>
      </x:c>
      <x:c r="E11" t="str"/>
      <x:c r="F11" t="str"/>
      <x:c r="G11" t="str"/>
    </x:row>
  </x:sheetData>
  <x:mergeCells>
    <x:mergeCell ref="A1:G1"/>
    <x:mergeCell ref="A3:G3"/>
  </x:mergeCells>
  <x:pageMargins left="0.7" right="0.7" top="0.75" bottom="0.75" header="0.3" footer="0.3"/>
</x:worksheet>
</file>