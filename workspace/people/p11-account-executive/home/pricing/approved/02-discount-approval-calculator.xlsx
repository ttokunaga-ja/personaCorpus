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da31bd476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7c603abec4ece"/>
    <x:sheet xmlns:r="http://schemas.openxmlformats.org/officeDocument/2006/relationships" name="Calculator" sheetId="2" r:id="Rc4003fcf5d2c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;[Red](&quot;$&quot;#,##0);-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b/>
      <x:sz val="11"/>
      <x:color rgb="FF137A53"/>
      <x:name val="Carlito"/>
    </x:font>
    <x:font>
      <x:sz val="11"/>
      <x:color rgb="FF2F6BFF"/>
      <x:name val="Carlito"/>
    </x:font>
    <x:font>
      <x:sz val="11"/>
      <x:color rgb="FF137A5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8A999"/>
      </x:patternFill>
    </x:fill>
    <x:fill>
      <x:patternFill patternType="solid">
        <x:fgColor rgb="FFDDF5EC"/>
      </x:patternFill>
    </x:fill>
    <x:fill>
      <x:patternFill patternType="solid">
        <x:fgColor rgb="FF2F6BFF"/>
      </x:patternFill>
    </x:fill>
  </x:fills>
  <x:borders count="4">
    <x:border/>
    <x:border>
      <x:left style="thin">
        <x:color rgb="FFB7C2D0"/>
      </x:left>
      <x:top style="thin">
        <x:color rgb="FFB7C2D0"/>
      </x:top>
      <x:bottom style="thin">
        <x:color rgb="FFB7C2D0"/>
      </x:bottom>
    </x:border>
    <x:border>
      <x:top style="thin">
        <x:color rgb="FFB7C2D0"/>
      </x:top>
      <x:bottom style="thin">
        <x:color rgb="FFB7C2D0"/>
      </x:bottom>
    </x:border>
    <x:border>
      <x:right style="thin">
        <x:color rgb="FFB7C2D0"/>
      </x:right>
      <x:top style="thin">
        <x:color rgb="FFB7C2D0"/>
      </x:top>
      <x:bottom style="thin">
        <x:color rgb="FFB7C2D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cabca18c94301" /><Relationship Type="http://schemas.openxmlformats.org/officeDocument/2006/relationships/theme" Target="/xl/theme/theme1.xml" Id="Rbc402bb2fbe540c5" /><Relationship Type="http://schemas.openxmlformats.org/officeDocument/2006/relationships/sharedStrings" Target="/xl/sharedStrings.xml" Id="Rc7e23e9d5095431d" /><Relationship Type="http://schemas.openxmlformats.org/officeDocument/2006/relationships/worksheet" Target="/xl/worksheets/sheet1.xml" Id="R8ea7c603abec4ece" /><Relationship Type="http://schemas.openxmlformats.org/officeDocument/2006/relationships/worksheet" Target="/xl/worksheets/sheet2.xml" Id="Rc4003fcf5d2c43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4" hidden="0" customWidth="1"/>
    <x:col min="4" max="4" width="22" hidden="0" customWidth="1"/>
    <x:col min="5" max="5" width="26" hidden="0" customWidth="1"/>
    <x:col min="6" max="6" width="16" hidden="0" customWidth="1"/>
  </x:cols>
  <x:sheetData>
    <x:row r="1" ht="30" customHeight="1">
      <x:c r="A1" s="4" t="str">
        <x:v>NORTHSTAR CLOUD | ACCOUNT ALPHA PRICING</x:v>
      </x:c>
      <x:c r="B1" s="4" t="str">
        <x:v>NORTHSTAR CLOUD | ACCOUNT ALPHA PRICING</x:v>
      </x:c>
      <x:c r="C1" s="4" t="str">
        <x:v>NORTHSTAR CLOUD | ACCOUNT ALPHA PRICING</x:v>
      </x:c>
      <x:c r="D1" s="4" t="str">
        <x:v>NORTHSTAR CLOUD | ACCOUNT ALPHA PRICING</x:v>
      </x:c>
      <x:c r="E1" s="4" t="str">
        <x:v>NORTHSTAR CLOUD | ACCOUNT ALPHA PRICING</x:v>
      </x:c>
      <x:c r="F1" s="4" t="str">
        <x:v>NORTHSTAR CLOUD | ACCOUNT ALPHA PRICING</x:v>
      </x:c>
    </x:row>
    <x:row r="3">
      <x:c r="A3" s="5" t="str">
        <x:v>Account</x:v>
      </x:c>
      <x:c r="B3" t="str">
        <x:v>Account Alpha</x:v>
      </x:c>
      <x:c r="D3" s="5" t="str">
        <x:v>Annual approved total</x:v>
      </x:c>
      <x:c r="E3" s="9" t="n">
        <x:v>248000</x:v>
      </x:c>
    </x:row>
    <x:row r="4">
      <x:c r="A4" s="5" t="str">
        <x:v>Customer</x:v>
      </x:c>
      <x:c r="B4" t="str">
        <x:v>Northstar Cloud</x:v>
      </x:c>
      <x:c r="D4" s="5" t="str">
        <x:v>Approval status</x:v>
      </x:c>
      <x:c r="E4" s="11" t="str">
        <x:v>APPROVED</x:v>
      </x:c>
    </x:row>
    <x:row r="5">
      <x:c r="A5" s="5" t="str">
        <x:v>Prepared by</x:v>
      </x:c>
      <x:c r="B5" t="str">
        <x:v>Rowan Mercer</x:v>
      </x:c>
      <x:c r="D5" s="5" t="str">
        <x:v>Purpose</x:v>
      </x:c>
      <x:c r="E5" t="str">
        <x:v>Discount approval calculator</x:v>
      </x:c>
    </x:row>
    <x:row r="6">
      <x:c r="A6" s="5" t="str">
        <x:v>Decision date</x:v>
      </x:c>
      <x:c r="B6" s="6" t="n">
        <x:v>46220</x:v>
      </x:c>
      <x:c r="D6" s="5" t="str">
        <x:v>Currency</x:v>
      </x:c>
      <x:c r="E6" t="str">
        <x:v>USD</x:v>
      </x:c>
    </x:row>
    <x:row r="7">
      <x:c r="A7" s="5" t="str">
        <x:v>Term start</x:v>
      </x:c>
      <x:c r="B7" s="6" t="n">
        <x:v>46221</x:v>
      </x:c>
    </x:row>
    <x:row r="8">
      <x:c r="A8" s="5" t="str">
        <x:v>Term end</x:v>
      </x:c>
      <x:c r="B8" s="6" t="n">
        <x:v>46585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5" hidden="0" customWidth="1"/>
    <x:col min="4" max="4" width="24" hidden="0" customWidth="1"/>
    <x:col min="5" max="5" width="18" hidden="0" customWidth="1"/>
    <x:col min="6" max="6" width="16" hidden="0" customWidth="1"/>
    <x:col min="7" max="7" width="20" hidden="0" customWidth="1"/>
  </x:cols>
  <x:sheetData>
    <x:row r="1" ht="30" customHeight="1">
      <x:c r="A1" s="4" t="str">
        <x:v>DISCOUNT APPROVAL CALCULATOR</x:v>
      </x:c>
      <x:c r="B1" s="4" t="str">
        <x:v>DISCOUNT APPROVAL CALCULATOR</x:v>
      </x:c>
      <x:c r="C1" s="4" t="str">
        <x:v>DISCOUNT APPROVAL CALCULATOR</x:v>
      </x:c>
      <x:c r="D1" s="4" t="str">
        <x:v>DISCOUNT APPROVAL CALCULATOR</x:v>
      </x:c>
      <x:c r="E1" s="4" t="str">
        <x:v>DISCOUNT APPROVAL CALCULATOR</x:v>
      </x:c>
      <x:c r="F1" s="4" t="str">
        <x:v>DISCOUNT APPROVAL CALCULATOR</x:v>
      </x:c>
      <x:c r="G1" s="4" t="str">
        <x:v>DISCOUNT APPROVAL CALCULATOR</x:v>
      </x:c>
    </x:row>
    <x:row r="3">
      <x:c r="A3" s="23" t="str">
        <x:v>Component</x:v>
      </x:c>
      <x:c r="B3" s="24" t="str">
        <x:v>List price</x:v>
      </x:c>
      <x:c r="C3" s="24" t="str">
        <x:v>Discount %</x:v>
      </x:c>
      <x:c r="D3" s="24" t="str">
        <x:v>Calculated approved price</x:v>
      </x:c>
      <x:c r="E3" s="24" t="str">
        <x:v>Approval ceiling</x:v>
      </x:c>
      <x:c r="F3" s="24" t="str">
        <x:v>Within ceiling?</x:v>
      </x:c>
      <x:c r="G3" s="25" t="str">
        <x:v>Approval owner</x:v>
      </x:c>
    </x:row>
    <x:row r="4">
      <x:c r="A4" t="str">
        <x:v>Enterprise Platform</x:v>
      </x:c>
      <x:c r="B4" s="27" t="n">
        <x:v>240000</x:v>
      </x:c>
      <x:c r="C4" s="28" t="n">
        <x:v>0.125</x:v>
      </x:c>
      <x:c r="D4" s="30" t="n">
        <x:f>B4*(1-C4)</x:f>
        <x:v>210000</x:v>
      </x:c>
      <x:c r="E4" s="28" t="n">
        <x:v>0.15</x:v>
      </x:c>
      <x:c r="F4" s="11" t="str">
        <x:f>IF(C4&lt;=E4,"PASS","FAIL")</x:f>
        <x:v>PASS</x:v>
      </x:c>
      <x:c r="G4" t="str">
        <x:v>Priya Noland</x:v>
      </x:c>
    </x:row>
    <x:row r="5">
      <x:c r="A5" t="str">
        <x:v>Success Plus</x:v>
      </x:c>
      <x:c r="B5" s="27" t="n">
        <x:v>30000</x:v>
      </x:c>
      <x:c r="C5" s="28" t="n">
        <x:v>0.2</x:v>
      </x:c>
      <x:c r="D5" s="30" t="n">
        <x:f>B5*(1-C5)</x:f>
        <x:v>24000</x:v>
      </x:c>
      <x:c r="E5" s="28" t="n">
        <x:v>0.2</x:v>
      </x:c>
      <x:c r="F5" s="11" t="str">
        <x:f>IF(C5&lt;=E5,"PASS","FAIL")</x:f>
        <x:v>PASS</x:v>
      </x:c>
      <x:c r="G5" t="str">
        <x:v>Elliot Park</x:v>
      </x:c>
    </x:row>
    <x:row r="6">
      <x:c r="A6" t="str">
        <x:v>Data Connect</x:v>
      </x:c>
      <x:c r="B6" s="27" t="n">
        <x:v>20000</x:v>
      </x:c>
      <x:c r="C6" s="28" t="n">
        <x:v>0.3</x:v>
      </x:c>
      <x:c r="D6" s="30" t="n">
        <x:f>B6*(1-C6)</x:f>
        <x:v>14000</x:v>
      </x:c>
      <x:c r="E6" s="28" t="n">
        <x:v>0.3</x:v>
      </x:c>
      <x:c r="F6" s="11" t="str">
        <x:f>IF(C6&lt;=E6,"PASS","FAIL")</x:f>
        <x:v>PASS</x:v>
      </x:c>
      <x:c r="G6" t="str">
        <x:v>Avery Sloan</x:v>
      </x:c>
    </x:row>
    <x:row r="7">
      <x:c r="A7" t="str">
        <x:v>Approved annual total</x:v>
      </x:c>
      <x:c r="B7"/>
      <x:c r="C7"/>
      <x:c r="D7" s="30" t="n">
        <x:f>SUM(D4:D6)</x:f>
        <x:v>248000</x:v>
      </x:c>
      <x:c r="E7"/>
      <x:c r="F7" s="11" t="str">
        <x:f>IF(D7=248000,"PASS","FAIL")</x:f>
        <x:v>PASS</x:v>
      </x:c>
      <x:c r="G7" t="str">
        <x:v>Morgan Hale</x:v>
      </x:c>
    </x:row>
  </x:sheetData>
  <x:mergeCells>
    <x:mergeCell ref="A1:G1"/>
  </x:mergeCells>
  <x:pageMargins left="0.7" right="0.7" top="0.75" bottom="0.75" header="0.3" footer="0.3"/>
</x:worksheet>
</file>