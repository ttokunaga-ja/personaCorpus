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ce5c858fb9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9b13ce2faa40f2"/>
    <x:sheet xmlns:r="http://schemas.openxmlformats.org/officeDocument/2006/relationships" name="Pricing Detail" sheetId="2" r:id="Re747cbb42b294947"/>
    <x:sheet xmlns:r="http://schemas.openxmlformats.org/officeDocument/2006/relationships" name="Checks" sheetId="3" r:id="Rb41be2bf976c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&quot;$&quot;#,##0;[Red](&quot;$&quot;#,##0);-"/>
    <x:numFmt numFmtId="202" formatCode="0.0%"/>
    <x:numFmt numFmtId="203" formatCode="#,##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color rgb="FF137A53"/>
      <x:name val="Carlito"/>
    </x:font>
    <x:font>
      <x:sz val="11"/>
      <x:color rgb="FF2F6BFF"/>
      <x:name val="Carlito"/>
    </x:font>
    <x:font>
      <x:sz val="11"/>
      <x:color rgb="FF137A53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8A999"/>
      </x:patternFill>
    </x:fill>
    <x:fill>
      <x:patternFill patternType="solid">
        <x:fgColor rgb="FFDDF5EC"/>
      </x:patternFill>
    </x:fill>
    <x:fill>
      <x:patternFill patternType="solid">
        <x:fgColor rgb="FFF4F6F8"/>
      </x:patternFill>
    </x:fill>
    <x:fill>
      <x:patternFill patternType="solid">
        <x:fgColor rgb="FF2F6BFF"/>
      </x:patternFill>
    </x:fill>
  </x:fills>
  <x:borders count="15">
    <x:border/>
    <x:border>
      <x:left style="thin">
        <x:color rgb="FFB7C2D0"/>
      </x:left>
      <x:top style="thin">
        <x:color rgb="FFB7C2D0"/>
      </x:top>
      <x:bottom style="thin">
        <x:color rgb="FFB7C2D0"/>
      </x:bottom>
    </x:border>
    <x:border>
      <x:top style="thin">
        <x:color rgb="FFB7C2D0"/>
      </x:top>
      <x:bottom style="thin">
        <x:color rgb="FFB7C2D0"/>
      </x:bottom>
    </x:border>
    <x:border>
      <x:right style="thin">
        <x:color rgb="FFB7C2D0"/>
      </x:right>
      <x:top style="thin">
        <x:color rgb="FFB7C2D0"/>
      </x:top>
      <x:bottom style="thin">
        <x:color rgb="FFB7C2D0"/>
      </x:bottom>
    </x:border>
    <x:border>
      <x:left style="thin">
        <x:color rgb="FFB7C2D0"/>
      </x:left>
      <x:top style="thin">
        <x:color rgb="FFB7C2D0"/>
      </x:top>
    </x:border>
    <x:border>
      <x:top style="thin">
        <x:color rgb="FFB7C2D0"/>
      </x:top>
    </x:border>
    <x:border>
      <x:right style="thin">
        <x:color rgb="FFB7C2D0"/>
      </x:right>
      <x:top style="thin">
        <x:color rgb="FFB7C2D0"/>
      </x:top>
    </x:border>
    <x:border>
      <x:left style="thin">
        <x:color rgb="FFB7C2D0"/>
      </x:left>
    </x:border>
    <x:border>
      <x:right style="thin">
        <x:color rgb="FFB7C2D0"/>
      </x:right>
    </x:border>
    <x:border>
      <x:left style="thin">
        <x:color rgb="FFB7C2D0"/>
      </x:left>
      <x:bottom style="thin">
        <x:color rgb="FFB7C2D0"/>
      </x:bottom>
    </x:border>
    <x:border>
      <x:bottom style="thin">
        <x:color rgb="FFB7C2D0"/>
      </x:bottom>
    </x:border>
    <x:border>
      <x:right style="thin">
        <x:color rgb="FFB7C2D0"/>
      </x:right>
      <x:bottom style="thin">
        <x:color rgb="FFB7C2D0"/>
      </x:bottom>
    </x:border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1" fontId="3" fillId="3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1" fontId="6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201" fontId="6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201" fontId="4" fillId="0" borderId="6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201" fontId="4" fillId="0" borderId="14" xfId="0" applyNumberFormat="1" applyFont="1" applyFill="1" applyBorder="1"/>
    <x:xf numFmtId="0" fontId="0" fillId="4" borderId="11" xfId="0" applyNumberFormat="1" applyFont="1" applyFill="1" applyBorder="1"/>
    <x:xf numFmtId="0" fontId="4" fillId="4" borderId="11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0b1e99537d4756" /><Relationship Type="http://schemas.openxmlformats.org/officeDocument/2006/relationships/theme" Target="/xl/theme/theme1.xml" Id="R95edc04a79a14fa1" /><Relationship Type="http://schemas.openxmlformats.org/officeDocument/2006/relationships/sharedStrings" Target="/xl/sharedStrings.xml" Id="R7fe57b5b5bc44a02" /><Relationship Type="http://schemas.openxmlformats.org/officeDocument/2006/relationships/worksheet" Target="/xl/worksheets/sheet1.xml" Id="R019b13ce2faa40f2" /><Relationship Type="http://schemas.openxmlformats.org/officeDocument/2006/relationships/worksheet" Target="/xl/worksheets/sheet2.xml" Id="Re747cbb42b294947" /><Relationship Type="http://schemas.openxmlformats.org/officeDocument/2006/relationships/worksheet" Target="/xl/worksheets/sheet3.xml" Id="Rb41be2bf976c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" hidden="0" customWidth="1"/>
    <x:col min="4" max="4" width="22" hidden="0" customWidth="1"/>
    <x:col min="5" max="5" width="26" hidden="0" customWidth="1"/>
    <x:col min="6" max="6" width="16" hidden="0" customWidth="1"/>
  </x:cols>
  <x:sheetData>
    <x:row r="1" ht="30" customHeight="1">
      <x:c r="A1" s="4" t="str">
        <x:v>NORTHSTAR CLOUD | ACCOUNT ALPHA PRICING</x:v>
      </x:c>
      <x:c r="B1" s="4" t="str">
        <x:v>NORTHSTAR CLOUD | ACCOUNT ALPHA PRICING</x:v>
      </x:c>
      <x:c r="C1" s="4" t="str">
        <x:v>NORTHSTAR CLOUD | ACCOUNT ALPHA PRICING</x:v>
      </x:c>
      <x:c r="D1" s="4" t="str">
        <x:v>NORTHSTAR CLOUD | ACCOUNT ALPHA PRICING</x:v>
      </x:c>
      <x:c r="E1" s="4" t="str">
        <x:v>NORTHSTAR CLOUD | ACCOUNT ALPHA PRICING</x:v>
      </x:c>
      <x:c r="F1" s="4" t="str">
        <x:v>NORTHSTAR CLOUD | ACCOUNT ALPHA PRICING</x:v>
      </x:c>
    </x:row>
    <x:row r="3">
      <x:c r="A3" s="5" t="str">
        <x:v>Account</x:v>
      </x:c>
      <x:c r="B3" t="str">
        <x:v>Account Alpha</x:v>
      </x:c>
      <x:c r="D3" s="5" t="str">
        <x:v>Annual approved total</x:v>
      </x:c>
      <x:c r="E3" s="9" t="n">
        <x:v>248000</x:v>
      </x:c>
    </x:row>
    <x:row r="4">
      <x:c r="A4" s="5" t="str">
        <x:v>Customer</x:v>
      </x:c>
      <x:c r="B4" t="str">
        <x:v>Northstar Cloud</x:v>
      </x:c>
      <x:c r="D4" s="5" t="str">
        <x:v>Approval status</x:v>
      </x:c>
      <x:c r="E4" s="11" t="str">
        <x:v>APPROVED</x:v>
      </x:c>
    </x:row>
    <x:row r="5">
      <x:c r="A5" s="5" t="str">
        <x:v>Prepared by</x:v>
      </x:c>
      <x:c r="B5" t="str">
        <x:v>Rowan Mercer</x:v>
      </x:c>
      <x:c r="D5" s="5" t="str">
        <x:v>Purpose</x:v>
      </x:c>
      <x:c r="E5" t="str">
        <x:v>Approved quote seed</x:v>
      </x:c>
    </x:row>
    <x:row r="6">
      <x:c r="A6" s="5" t="str">
        <x:v>Decision date</x:v>
      </x:c>
      <x:c r="B6" s="6" t="n">
        <x:v>46220</x:v>
      </x:c>
      <x:c r="D6" s="5" t="str">
        <x:v>Currency</x:v>
      </x:c>
      <x:c r="E6" t="str">
        <x:v>USD</x:v>
      </x:c>
    </x:row>
    <x:row r="7">
      <x:c r="A7" s="5" t="str">
        <x:v>Term start</x:v>
      </x:c>
      <x:c r="B7" s="6" t="n">
        <x:v>46221</x:v>
      </x:c>
    </x:row>
    <x:row r="8">
      <x:c r="A8" s="5" t="str">
        <x:v>Term end</x:v>
      </x:c>
      <x:c r="B8" s="6" t="n">
        <x:v>46585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9" hidden="0" customWidth="1"/>
    <x:col min="3" max="3" width="20" hidden="0" customWidth="1"/>
    <x:col min="4" max="4" width="21" hidden="0" customWidth="1"/>
    <x:col min="5" max="5" width="14" hidden="0" customWidth="1"/>
    <x:col min="6" max="6" width="13" hidden="0" customWidth="1"/>
    <x:col min="7" max="7" width="22" hidden="0" customWidth="1"/>
  </x:cols>
  <x:sheetData>
    <x:row r="1" ht="30" customHeight="1">
      <x:c r="A1" s="4" t="str">
        <x:v>APPROVED COMMERCIAL PRICING</x:v>
      </x:c>
      <x:c r="B1" s="4" t="str">
        <x:v>APPROVED COMMERCIAL PRICING</x:v>
      </x:c>
      <x:c r="C1" s="4" t="str">
        <x:v>APPROVED COMMERCIAL PRICING</x:v>
      </x:c>
      <x:c r="D1" s="4" t="str">
        <x:v>APPROVED COMMERCIAL PRICING</x:v>
      </x:c>
      <x:c r="E1" s="4" t="str">
        <x:v>APPROVED COMMERCIAL PRICING</x:v>
      </x:c>
      <x:c r="F1" s="4" t="str">
        <x:v>APPROVED COMMERCIAL PRICING</x:v>
      </x:c>
      <x:c r="G1" s="4" t="str">
        <x:v>APPROVED COMMERCIAL PRICING</x:v>
      </x:c>
    </x:row>
    <x:row r="3">
      <x:c r="A3" s="14" t="str">
        <x:v>Inputs &amp; discount assumptions</x:v>
      </x:c>
      <x:c r="B3" s="14" t="str">
        <x:v>Inputs &amp; discount assumptions</x:v>
      </x:c>
      <x:c r="C3" s="14" t="str">
        <x:v>Inputs &amp; discount assumptions</x:v>
      </x:c>
      <x:c r="D3" s="14" t="str">
        <x:v>Inputs &amp; discount assumptions</x:v>
      </x:c>
      <x:c r="E3" s="14" t="str">
        <x:v>Inputs &amp; discount assumptions</x:v>
      </x:c>
      <x:c r="F3" s="14" t="str">
        <x:v>Inputs &amp; discount assumptions</x:v>
      </x:c>
      <x:c r="G3" s="14" t="str">
        <x:v>Inputs &amp; discount assumptions</x:v>
      </x:c>
    </x:row>
    <x:row r="4">
      <x:c r="A4" s="26" t="str">
        <x:v>Component</x:v>
      </x:c>
      <x:c r="B4" s="27" t="str">
        <x:v>List price (USD)</x:v>
      </x:c>
      <x:c r="C4" s="27" t="str">
        <x:v>Approved discount</x:v>
      </x:c>
      <x:c r="D4" s="27" t="str">
        <x:v>Approved price (USD)</x:v>
      </x:c>
      <x:c r="E4" s="27" t="str">
        <x:v>Approval</x:v>
      </x:c>
      <x:c r="F4" s="27" t="str">
        <x:v>Term</x:v>
      </x:c>
      <x:c r="G4" s="28" t="str">
        <x:v>Notes</x:v>
      </x:c>
    </x:row>
    <x:row r="5">
      <x:c r="A5" t="str">
        <x:v>Enterprise Platform</x:v>
      </x:c>
      <x:c r="B5" s="30" t="n">
        <x:v>240000</x:v>
      </x:c>
      <x:c r="C5" s="31" t="n">
        <x:v>0.125</x:v>
      </x:c>
      <x:c r="D5" s="33" t="n">
        <x:f>B5*(1-C5)</x:f>
        <x:v>210000</x:v>
      </x:c>
      <x:c r="E5" t="str">
        <x:v>Approved</x:v>
      </x:c>
      <x:c r="F5" t="str">
        <x:v>Annual</x:v>
      </x:c>
      <x:c r="G5" t="str">
        <x:v>Core platform</x:v>
      </x:c>
    </x:row>
    <x:row r="6">
      <x:c r="A6" t="str">
        <x:v>Success Plus</x:v>
      </x:c>
      <x:c r="B6" s="30" t="n">
        <x:v>30000</x:v>
      </x:c>
      <x:c r="C6" s="31" t="n">
        <x:v>0.2</x:v>
      </x:c>
      <x:c r="D6" s="33" t="n">
        <x:f>B6*(1-C6)</x:f>
        <x:v>24000</x:v>
      </x:c>
      <x:c r="E6" t="str">
        <x:v>Approved</x:v>
      </x:c>
      <x:c r="F6" t="str">
        <x:v>Annual</x:v>
      </x:c>
      <x:c r="G6" t="str">
        <x:v>Premium support</x:v>
      </x:c>
    </x:row>
    <x:row r="7">
      <x:c r="A7" t="str">
        <x:v>Data Connect</x:v>
      </x:c>
      <x:c r="B7" s="30" t="n">
        <x:v>20000</x:v>
      </x:c>
      <x:c r="C7" s="31" t="n">
        <x:v>0.3</x:v>
      </x:c>
      <x:c r="D7" s="33" t="n">
        <x:f>B7*(1-C7)</x:f>
        <x:v>14000</x:v>
      </x:c>
      <x:c r="E7" t="str">
        <x:v>Approved</x:v>
      </x:c>
      <x:c r="F7" t="str">
        <x:v>Annual</x:v>
      </x:c>
      <x:c r="G7" t="str">
        <x:v>Integration access</x:v>
      </x:c>
    </x:row>
    <x:row r="8">
      <x:c r="A8" s="46" t="str">
        <x:v>Approved annual total</x:v>
      </x:c>
      <x:c r="B8" s="47"/>
      <x:c r="C8" s="47"/>
      <x:c r="D8" s="48" t="n">
        <x:f>SUM(D5:D7)</x:f>
        <x:v>248000</x:v>
      </x:c>
      <x:c r="E8" t="str"/>
      <x:c r="F8" t="str"/>
      <x:c r="G8" t="str"/>
    </x:row>
    <x:row r="9">
      <x:c r="A9" s="37" t="str">
        <x:v>List-price total</x:v>
      </x:c>
      <x:c r="B9" s="38"/>
      <x:c r="C9" s="38"/>
      <x:c r="D9" s="39" t="n">
        <x:f>SUM(B5:B7)</x:f>
        <x:v>290000</x:v>
      </x:c>
      <x:c r="E9" t="str"/>
      <x:c r="F9" t="str"/>
      <x:c r="G9" t="str"/>
    </x:row>
    <x:row r="10">
      <x:c r="A10" s="37" t="str">
        <x:v>Total discount</x:v>
      </x:c>
      <x:c r="B10" s="38"/>
      <x:c r="C10" s="38"/>
      <x:c r="D10" s="39" t="n">
        <x:f>D9-D8</x:f>
        <x:v>42000</x:v>
      </x:c>
      <x:c r="E10" t="str"/>
      <x:c r="F10" t="str"/>
      <x:c r="G10" t="str"/>
    </x:row>
    <x:row r="11">
      <x:c r="A11" s="40" t="str">
        <x:v>Tie-out status</x:v>
      </x:c>
      <x:c r="B11" s="41"/>
      <x:c r="C11" s="41"/>
      <x:c r="D11" s="50" t="str">
        <x:f>IF(D8=248000,"PASS","FAIL")</x:f>
        <x:v>PASS</x:v>
      </x:c>
      <x:c r="E11" t="str"/>
      <x:c r="F11" t="str"/>
      <x:c r="G11" t="str"/>
    </x:row>
  </x:sheetData>
  <x:mergeCells>
    <x:mergeCell ref="A1:G1"/>
    <x:mergeCell ref="A3:G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3" hidden="0" customWidth="1"/>
    <x:col min="6" max="6" width="30" hidden="0" customWidth="1"/>
  </x:cols>
  <x:sheetData>
    <x:row r="1" ht="30" customHeight="1">
      <x:c r="A1" s="4" t="str">
        <x:v>CONTROL CHECKS</x:v>
      </x:c>
      <x:c r="B1" s="4" t="str">
        <x:v>CONTROL CHECKS</x:v>
      </x:c>
      <x:c r="C1" s="4" t="str">
        <x:v>CONTROL CHECKS</x:v>
      </x:c>
      <x:c r="D1" s="4" t="str">
        <x:v>CONTROL CHECKS</x:v>
      </x:c>
      <x:c r="E1" s="4" t="str">
        <x:v>CONTROL CHECKS</x:v>
      </x:c>
      <x:c r="F1" s="4" t="str">
        <x:v>CONTROL CHECKS</x:v>
      </x:c>
    </x:row>
    <x:row r="3">
      <x:c r="A3" s="26" t="str">
        <x:v>Check</x:v>
      </x:c>
      <x:c r="B3" s="27" t="str">
        <x:v>Actual</x:v>
      </x:c>
      <x:c r="C3" s="27" t="str">
        <x:v>Expected</x:v>
      </x:c>
      <x:c r="D3" s="27" t="str">
        <x:v>Difference</x:v>
      </x:c>
      <x:c r="E3" s="27" t="str">
        <x:v>Status</x:v>
      </x:c>
      <x:c r="F3" s="28" t="str">
        <x:v>Notes</x:v>
      </x:c>
    </x:row>
    <x:row r="4">
      <x:c r="A4" t="str">
        <x:v>Component total</x:v>
      </x:c>
      <x:c r="B4" s="51" t="n">
        <x:f>'Pricing Detail'!D8</x:f>
        <x:v>248000</x:v>
      </x:c>
      <x:c r="C4" s="51" t="n">
        <x:v>248000</x:v>
      </x:c>
      <x:c r="D4" s="51" t="n">
        <x:f>B4-C4</x:f>
        <x:v>0</x:v>
      </x:c>
      <x:c r="E4" s="11" t="str">
        <x:f>IF(D4=0,"PASS","FAIL")</x:f>
        <x:v>PASS</x:v>
      </x:c>
      <x:c r="F4" t="str">
        <x:v>Approved components only</x:v>
      </x:c>
    </x:row>
    <x:row r="5">
      <x:c r="A5" t="str">
        <x:v>Term days</x:v>
      </x:c>
      <x:c r="B5" s="52" t="n">
        <x:f>'Summary'!B8-'Summary'!B7+1</x:f>
        <x:v>365</x:v>
      </x:c>
      <x:c r="C5" s="52" t="n">
        <x:v>365</x:v>
      </x:c>
      <x:c r="D5" s="52" t="n">
        <x:f>B5-C5</x:f>
        <x:v>0</x:v>
      </x:c>
      <x:c r="E5" s="11" t="str">
        <x:f>IF(D5=0,"PASS","FAIL")</x:f>
        <x:v>PASS</x:v>
      </x:c>
      <x:c r="F5" t="str">
        <x:v>Inclusive day count: 2026-07-18 through 2027-07-17</x:v>
      </x:c>
    </x:row>
  </x:sheetData>
  <x:mergeCells>
    <x:mergeCell ref="A1:F1"/>
  </x:mergeCells>
  <x:pageMargins left="0.7" right="0.7" top="0.75" bottom="0.75" header="0.3" footer="0.3"/>
</x:worksheet>
</file>