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9e919c85b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ansion Plan" sheetId="1" r:id="Re52343f439324b29"/>
    <x:sheet xmlns:r="http://schemas.openxmlformats.org/officeDocument/2006/relationships" name="Assumptions" sheetId="2" r:id="R09c28ca3153f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18A999"/>
      </x:patternFill>
    </x:fill>
  </x:fills>
  <x:borders count="13">
    <x:border/>
    <x:border>
      <x:left style="thin">
        <x:color rgb="FF2F6BFF"/>
      </x:left>
      <x:top style="thin">
        <x:color rgb="FF2F6BFF"/>
      </x:top>
      <x:bottom style="thin">
        <x:color rgb="FF2F6BFF"/>
      </x:bottom>
    </x:border>
    <x:border>
      <x:top style="thin">
        <x:color rgb="FF2F6BFF"/>
      </x:top>
      <x:bottom style="thin">
        <x:color rgb="FF2F6BFF"/>
      </x:bottom>
    </x:border>
    <x:border>
      <x:right style="thin">
        <x:color rgb="FF2F6BFF"/>
      </x:right>
      <x:top style="thin">
        <x:color rgb="FF2F6BFF"/>
      </x:top>
      <x:bottom style="thin">
        <x:color rgb="FF2F6BFF"/>
      </x:bottom>
    </x:border>
    <x:border>
      <x:left style="thin">
        <x:color rgb="FF2F6BFF"/>
      </x:left>
      <x:right style="thin">
        <x:color rgb="FFD9E0E8"/>
      </x:right>
      <x:top style="thin">
        <x:color rgb="FF2F6BFF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2F6BFF"/>
      </x:top>
      <x:bottom style="thin">
        <x:color rgb="FFD9E0E8"/>
      </x:bottom>
    </x:border>
    <x:border>
      <x:left style="thin">
        <x:color rgb="FFD9E0E8"/>
      </x:left>
      <x:top style="thin">
        <x:color rgb="FF2F6BFF"/>
      </x:top>
      <x:bottom style="thin">
        <x:color rgb="FFD9E0E8"/>
      </x:bottom>
    </x:border>
    <x:border>
      <x:left style="thin">
        <x:color rgb="FF2F6BFF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left style="thin">
        <x:color rgb="FF2F6BFF"/>
      </x:left>
      <x:right style="thin">
        <x:color rgb="FFD9E0E8"/>
      </x:right>
      <x:top style="thin">
        <x:color rgb="FFD9E0E8"/>
      </x:top>
      <x:bottom style="thin">
        <x:color rgb="FF2F6BFF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2F6BFF"/>
      </x:bottom>
    </x:border>
    <x:border>
      <x:left style="thin">
        <x:color rgb="FFD9E0E8"/>
      </x:left>
      <x:top style="thin">
        <x:color rgb="FFD9E0E8"/>
      </x:top>
      <x:bottom style="thin">
        <x:color rgb="FF2F6BF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0" fillId="4" borderId="10" xfId="0" applyNumberFormat="1" applyFont="1" applyFill="1" applyBorder="1"/>
    <x:xf numFmtId="201" fontId="0" fillId="4" borderId="11" xfId="0" applyNumberFormat="1" applyFont="1" applyFill="1" applyBorder="1"/>
    <x:xf numFmtId="0" fontId="3" fillId="4" borderId="10" xfId="0" applyNumberFormat="1" applyFont="1" applyFill="1" applyBorder="1"/>
    <x:xf numFmtId="201" fontId="3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bbab41d9847b7" /><Relationship Type="http://schemas.openxmlformats.org/officeDocument/2006/relationships/theme" Target="/xl/theme/theme1.xml" Id="Rca2479421d38466f" /><Relationship Type="http://schemas.openxmlformats.org/officeDocument/2006/relationships/sharedStrings" Target="/xl/sharedStrings.xml" Id="R52eb7ff6e219491e" /><Relationship Type="http://schemas.openxmlformats.org/officeDocument/2006/relationships/worksheet" Target="/xl/worksheets/sheet1.xml" Id="Re52343f439324b29" /><Relationship Type="http://schemas.openxmlformats.org/officeDocument/2006/relationships/worksheet" Target="/xl/worksheets/sheet2.xml" Id="R09c28ca3153f43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66999816894531" hidden="0" customWidth="1"/>
    <x:col min="2" max="2" width="29.440000534057617" hidden="0" customWidth="1"/>
    <x:col min="3" max="3" width="11.890000343322754" hidden="0" customWidth="1"/>
    <x:col min="4" max="4" width="11.109999656677246" hidden="0" customWidth="1"/>
    <x:col min="5" max="5" width="9.4399995803833" hidden="0" customWidth="1"/>
    <x:col min="6" max="6" width="12.5600004196167" hidden="0" customWidth="1"/>
    <x:col min="7" max="7" width="9.4399995803833" hidden="0" customWidth="1"/>
    <x:col min="8" max="8" width="23.110000610351562" hidden="0" customWidth="1"/>
  </x:cols>
  <x:sheetData>
    <x:row r="1" ht="28" customHeight="1">
      <x:c r="A1" s="35" t="str">
        <x:v>Post-Renewal Expansion Plan</x:v>
      </x:c>
      <x:c r="B1" s="35"/>
      <x:c r="C1" s="35"/>
      <x:c r="D1" s="35"/>
      <x:c r="E1" s="35"/>
      <x:c r="F1" s="35"/>
      <x:c r="G1" s="35"/>
      <x:c r="H1" s="35"/>
    </x:row>
    <x:row r="2">
      <x:c r="A2" s="36" t="str">
        <x:v>Northstar Cloud · Planning hypotheses only; renewal baseline is USD 248,000</x:v>
      </x:c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16" t="str">
        <x:v>Hypothesis</x:v>
      </x:c>
      <x:c r="B4" s="17" t="str">
        <x:v>Trigger / measure</x:v>
      </x:c>
      <x:c r="C4" s="17" t="str">
        <x:v>Earliest review</x:v>
      </x:c>
      <x:c r="D4" s="17" t="str">
        <x:v>Owner</x:v>
      </x:c>
      <x:c r="E4" s="17" t="str">
        <x:v>Stage</x:v>
      </x:c>
      <x:c r="F4" s="17" t="str">
        <x:v>Indicative value</x:v>
      </x:c>
      <x:c r="G4" s="17" t="str">
        <x:v>Confidence</x:v>
      </x:c>
      <x:c r="H4" s="18" t="str">
        <x:v>Next action</x:v>
      </x:c>
    </x:row>
    <x:row r="5">
      <x:c r="A5" s="38" t="str">
        <x:v>Second Data Connect dataset</x:v>
      </x:c>
      <x:c r="B5" s="39" t="str">
        <x:v>Readiness review accepted</x:v>
      </x:c>
      <x:c r="C5" s="40" t="n">
        <x:v>46251</x:v>
      </x:c>
      <x:c r="D5" s="39" t="str">
        <x:v>Elliot Park</x:v>
      </x:c>
      <x:c r="E5" s="39" t="str">
        <x:v>Discovery</x:v>
      </x:c>
      <x:c r="F5" s="41" t="n">
        <x:v>14000</x:v>
      </x:c>
      <x:c r="G5" s="42" t="n">
        <x:v>0.5</x:v>
      </x:c>
      <x:c r="H5" s="43" t="str">
        <x:v>Validate scope with Operations</x:v>
      </x:c>
    </x:row>
    <x:row r="6">
      <x:c r="A6" s="38" t="str">
        <x:v>Expanded Success Plus coverage</x:v>
      </x:c>
      <x:c r="B6" s="39" t="str">
        <x:v>Adoption measures show coverage gap</x:v>
      </x:c>
      <x:c r="C6" s="40" t="n">
        <x:v>46280</x:v>
      </x:c>
      <x:c r="D6" s="39" t="str">
        <x:v>Rowan Mercer</x:v>
      </x:c>
      <x:c r="E6" s="39" t="str">
        <x:v>Discovery</x:v>
      </x:c>
      <x:c r="F6" s="41" t="n">
        <x:v>24000</x:v>
      </x:c>
      <x:c r="G6" s="42" t="n">
        <x:v>0.4</x:v>
      </x:c>
      <x:c r="H6" s="43" t="str">
        <x:v>Agree scorecard review</x:v>
      </x:c>
    </x:row>
    <x:row r="7">
      <x:c r="A7" s="44" t="str">
        <x:v>Additional platform team</x:v>
      </x:c>
      <x:c r="B7" s="45" t="str">
        <x:v>Avery confirms operating demand</x:v>
      </x:c>
      <x:c r="C7" s="46" t="n">
        <x:v>46310</x:v>
      </x:c>
      <x:c r="D7" s="45" t="str">
        <x:v>Avery Sloan</x:v>
      </x:c>
      <x:c r="E7" s="45" t="str">
        <x:v>Monitor</x:v>
      </x:c>
      <x:c r="F7" s="47" t="n">
        <x:v>50000</x:v>
      </x:c>
      <x:c r="G7" s="48" t="n">
        <x:v>0.3</x:v>
      </x:c>
      <x:c r="H7" s="49" t="str">
        <x:v>Review team roadmap</x:v>
      </x:c>
    </x:row>
    <x:row r="8">
      <x:c r="A8" s="37"/>
      <x:c r="B8" s="37"/>
      <x:c r="C8" s="37"/>
      <x:c r="D8" s="37"/>
      <x:c r="E8" s="37"/>
      <x:c r="F8" s="37"/>
      <x:c r="G8" s="37"/>
      <x:c r="H8" s="37"/>
    </x:row>
    <x:row r="9">
      <x:c r="A9" s="50" t="str">
        <x:v>Weighted pipeline</x:v>
      </x:c>
      <x:c r="B9" s="51" t="n">
        <x:f>SUMPRODUCT(F5:F7,G5:G7)</x:f>
        <x:v>31600</x:v>
      </x:c>
      <x:c r="C9" s="37"/>
      <x:c r="D9" s="37"/>
      <x:c r="E9" s="37"/>
      <x:c r="F9" s="37"/>
      <x:c r="G9" s="37"/>
      <x:c r="H9" s="37"/>
    </x:row>
  </x:sheetData>
  <x:mergeCells>
    <x:mergeCell ref="A1:H1"/>
    <x:mergeCell ref="A2:H2"/>
  </x:mergeCells>
  <x:dataValidations count="1">
    <x:dataValidation type="list" sqref="E5:E7">
      <x:formula1>"Monitor,Discovery,Validated,Deferred"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66999816894531" hidden="0" customWidth="1"/>
    <x:col min="2" max="2" width="12.220000267028809" hidden="0" customWidth="1"/>
    <x:col min="3" max="3" width="20.4400005340576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3" t="str">
        <x:v>Commercial Assumptions</x:v>
      </x:c>
      <x:c r="B1" s="3"/>
      <x:c r="C1" s="3"/>
      <x:c r="D1" s="3"/>
      <x:c r="E1" s="3"/>
      <x:c r="F1" s="3"/>
      <x:c r="G1" s="3"/>
      <x:c r="H1" s="3"/>
    </x:row>
    <x:row r="2">
      <x:c r="A2" s="5" t="str">
        <x:v>Northstar Cloud · Separate planned upside from approved renewal</x:v>
      </x:c>
    </x:row>
    <x:row r="4">
      <x:c r="A4" s="16" t="str">
        <x:v>Approved renewal component</x:v>
      </x:c>
      <x:c r="B4" s="17" t="str">
        <x:v>Annual amount</x:v>
      </x:c>
      <x:c r="C4" s="18" t="str">
        <x:v>Planning note</x:v>
      </x:c>
    </x:row>
    <x:row r="5">
      <x:c r="A5" s="19" t="str">
        <x:v>Enterprise Platform</x:v>
      </x:c>
      <x:c r="B5" s="22" t="n">
        <x:v>210000</x:v>
      </x:c>
      <x:c r="C5" s="24" t="str">
        <x:v>Committed annual baseline</x:v>
      </x:c>
    </x:row>
    <x:row r="6">
      <x:c r="A6" s="19" t="str">
        <x:v>Success Plus</x:v>
      </x:c>
      <x:c r="B6" s="22" t="n">
        <x:v>24000</x:v>
      </x:c>
      <x:c r="C6" s="24" t="str">
        <x:v>Committed annual baseline</x:v>
      </x:c>
    </x:row>
    <x:row r="7">
      <x:c r="A7" s="19" t="str">
        <x:v>Data Connect</x:v>
      </x:c>
      <x:c r="B7" s="22" t="n">
        <x:v>14000</x:v>
      </x:c>
      <x:c r="C7" s="24" t="str">
        <x:v>Committed annual baseline</x:v>
      </x:c>
    </x:row>
    <x:row r="8">
      <x:c r="A8" s="54" t="str">
        <x:v>Approved total</x:v>
      </x:c>
      <x:c r="B8" s="55" t="n">
        <x:f>SUM(B5:B7)</x:f>
        <x:v>248000</x:v>
      </x:c>
      <x:c r="C8" s="30"/>
    </x:row>
  </x:sheetData>
  <x:mergeCells>
    <x:mergeCell ref="A1:H1"/>
    <x:mergeCell ref="A2:H2"/>
  </x:mergeCells>
  <x:pageMargins left="0.7" right="0.7" top="0.75" bottom="0.75" header="0.3" footer="0.3"/>
</x:worksheet>
</file>