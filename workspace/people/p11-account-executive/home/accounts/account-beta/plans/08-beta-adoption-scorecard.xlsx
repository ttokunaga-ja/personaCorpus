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bac3e9dcb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option Scorecard" sheetId="1" r:id="R2a14b96cb127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4F6F8"/>
      </x:patternFill>
    </x:fill>
    <x:fill>
      <x:patternFill patternType="solid">
        <x:fgColor rgb="FF2F6BFF"/>
      </x:patternFill>
    </x:fill>
  </x:fills>
  <x:borders count="2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6a32e121948f5" /><Relationship Type="http://schemas.openxmlformats.org/officeDocument/2006/relationships/theme" Target="/xl/theme/theme1.xml" Id="Rd9a828647de94c2c" /><Relationship Type="http://schemas.openxmlformats.org/officeDocument/2006/relationships/sharedStrings" Target="/xl/sharedStrings.xml" Id="R9c078013d0644657" /><Relationship Type="http://schemas.openxmlformats.org/officeDocument/2006/relationships/worksheet" Target="/xl/worksheets/sheet1.xml" Id="R2a14b96cb1274c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Account Beta adoption scorecard</x:v>
      </x:c>
      <x:c r="B1" s="4"/>
      <x:c r="C1" s="4"/>
      <x:c r="D1" s="4"/>
      <x:c r="E1" s="4"/>
      <x:c r="F1" s="4"/>
    </x:row>
    <x:row r="2">
      <x:c r="A2" s="6" t="str">
        <x:v>Account Beta | Target renewal 2026-09-30 | Base planning amount USD 186,000 (not yet approved)</x:v>
      </x:c>
      <x:c r="B2" s="6" t="str"/>
      <x:c r="C2" s="6" t="str"/>
      <x:c r="D2" s="6" t="str"/>
      <x:c r="E2" s="6" t="str"/>
      <x:c r="F2" s="6" t="str"/>
    </x:row>
    <x:row r="4" ht="24" customHeight="1">
      <x:c r="A4" s="12" t="str">
        <x:v>Metric</x:v>
      </x:c>
      <x:c r="B4" s="12" t="str">
        <x:v>Baseline</x:v>
      </x:c>
      <x:c r="C4" s="12" t="str">
        <x:v>Current</x:v>
      </x:c>
      <x:c r="D4" s="12" t="str">
        <x:v>Target</x:v>
      </x:c>
      <x:c r="E4" s="12" t="str">
        <x:v>Formula / status</x:v>
      </x:c>
      <x:c r="F4" s="12" t="str">
        <x:v>Owner</x:v>
      </x:c>
    </x:row>
    <x:row r="5">
      <x:c r="A5" s="15" t="str">
        <x:v>Active workflow teams</x:v>
      </x:c>
      <x:c r="B5" s="16" t="n">
        <x:v>0.72</x:v>
      </x:c>
      <x:c r="C5" s="16" t="n">
        <x:v>0.78</x:v>
      </x:c>
      <x:c r="D5" s="16" t="n">
        <x:v>0.9</x:v>
      </x:c>
      <x:c r="E5" s="16" t="n">
        <x:f>C5-D5</x:f>
        <x:v>-0.12</x:v>
      </x:c>
      <x:c r="F5" s="15" t="str">
        <x:v>Priya Noland</x:v>
      </x:c>
    </x:row>
    <x:row r="6">
      <x:c r="A6" s="15" t="str">
        <x:v>Monthly review completion</x:v>
      </x:c>
      <x:c r="B6" s="16" t="n">
        <x:v>0.75</x:v>
      </x:c>
      <x:c r="C6" s="16" t="n">
        <x:v>0.75</x:v>
      </x:c>
      <x:c r="D6" s="16" t="n">
        <x:v>1</x:v>
      </x:c>
      <x:c r="E6" s="16" t="n">
        <x:f>C6-D6</x:f>
        <x:v>-0.25</x:v>
      </x:c>
      <x:c r="F6" s="15" t="str">
        <x:v>Dana Quill</x:v>
      </x:c>
    </x:row>
    <x:row r="7">
      <x:c r="A7" s="15" t="str">
        <x:v>Open high-priority blockers</x:v>
      </x:c>
      <x:c r="B7" s="15" t="n">
        <x:v>6</x:v>
      </x:c>
      <x:c r="C7" s="15" t="n">
        <x:v>4</x:v>
      </x:c>
      <x:c r="D7" s="15" t="n">
        <x:v>0</x:v>
      </x:c>
      <x:c r="E7" s="15" t="n">
        <x:f>C7-D7</x:f>
        <x:v>4</x:v>
      </x:c>
      <x:c r="F7" s="15" t="str">
        <x:v>Joint team</x:v>
      </x:c>
    </x:row>
    <x:row r="8">
      <x:c r="A8" s="15" t="str">
        <x:v>Enablement attendance</x:v>
      </x:c>
      <x:c r="B8" s="16" t="n">
        <x:v>0.6</x:v>
      </x:c>
      <x:c r="C8" s="16" t="n">
        <x:v>0.82</x:v>
      </x:c>
      <x:c r="D8" s="16" t="n">
        <x:v>0.85</x:v>
      </x:c>
      <x:c r="E8" s="16" t="n">
        <x:f>C8-D8</x:f>
        <x:v>-0.030000000000000027</x:v>
      </x:c>
      <x:c r="F8" s="15" t="str">
        <x:v>Priya Noland</x:v>
      </x:c>
    </x:row>
    <x:row r="9">
      <x:c r="A9" s="15" t="str">
        <x:v>Sponsor confidence</x:v>
      </x:c>
      <x:c r="B9" s="15" t="n">
        <x:v>3</x:v>
      </x:c>
      <x:c r="C9" s="15" t="n">
        <x:v>4</x:v>
      </x:c>
      <x:c r="D9" s="15" t="n">
        <x:v>5</x:v>
      </x:c>
      <x:c r="E9" s="15" t="n">
        <x:f>C9-D9</x:f>
        <x:v>-1</x:v>
      </x:c>
      <x:c r="F9" s="15" t="str">
        <x:v>Rowan Mercer</x:v>
      </x:c>
    </x:row>
    <x:row r="11" ht="24" customHeight="1">
      <x:c r="A11" s="12" t="str">
        <x:v>Next review</x:v>
      </x:c>
      <x:c r="B11" s="12" t="str">
        <x:v>Action</x:v>
      </x:c>
      <x:c r="C11" s="12" t="str">
        <x:v>Due date</x:v>
      </x:c>
      <x:c r="D11" s="12" t="str">
        <x:v>Status</x:v>
      </x:c>
      <x:c r="E11" s="12" t="str">
        <x:v>Evidence</x:v>
      </x:c>
      <x:c r="F11" s="12" t="str">
        <x:v>Owner</x:v>
      </x:c>
    </x:row>
    <x:row r="12">
      <x:c r="A12" s="15" t="str">
        <x:v>Usage review</x:v>
      </x:c>
      <x:c r="B12" s="15" t="str">
        <x:v>Validate active-team denominator</x:v>
      </x:c>
      <x:c r="C12" s="17" t="n">
        <x:v>46248</x:v>
      </x:c>
      <x:c r="D12" s="15" t="str">
        <x:v>In Progress</x:v>
      </x:c>
      <x:c r="E12" s="15" t="str">
        <x:v>Scorecard export</x:v>
      </x:c>
      <x:c r="F12" s="15" t="str">
        <x:v>Priya Noland</x:v>
      </x:c>
    </x:row>
    <x:row r="13">
      <x:c r="A13" s="15" t="str">
        <x:v>Enablement clinic</x:v>
      </x:c>
      <x:c r="B13" s="15" t="str">
        <x:v>Close blocker gaps</x:v>
      </x:c>
      <x:c r="C13" s="17" t="n">
        <x:v>46255</x:v>
      </x:c>
      <x:c r="D13" s="15" t="str">
        <x:v>Not Started</x:v>
      </x:c>
      <x:c r="E13" s="15" t="str">
        <x:v>Attendance + workflow logs</x:v>
      </x:c>
      <x:c r="F13" s="15" t="str">
        <x:v>Priya Noland</x:v>
      </x:c>
    </x:row>
    <x:row r="14">
      <x:c r="A14" s="15" t="str">
        <x:v>Sponsor review</x:v>
      </x:c>
      <x:c r="B14" s="15" t="str">
        <x:v>Confirm value narrative</x:v>
      </x:c>
      <x:c r="C14" s="17" t="n">
        <x:v>46262</x:v>
      </x:c>
      <x:c r="D14" s="15" t="str">
        <x:v>Not Started</x:v>
      </x:c>
      <x:c r="E14" s="15" t="str">
        <x:v>Dana readout</x:v>
      </x:c>
      <x:c r="F14" s="15" t="str">
        <x:v>Rowan Mercer</x:v>
      </x:c>
    </x:row>
  </x:sheetData>
  <x:mergeCells>
    <x:mergeCell ref="A1:F1"/>
    <x:mergeCell ref="A2:F2"/>
  </x:mergeCells>
  <x:conditionalFormatting sqref="E5:E9">
    <x:cfRule type="colorScale" priority="1">
      <x:colorScale>
        <x:cfvo type="min"/>
        <x:cfvo type="percentile" val="50"/>
        <x:cfvo type="max"/>
        <x:color rgb="FFFCE8E6"/>
        <x:color rgb="FFFFF4CC"/>
        <x:color rgb="FFD9F2EA"/>
      </x:colorScale>
    </x:cfRule>
  </x:conditionalFormatting>
  <x:dataValidations count="1">
    <x:dataValidation type="list" sqref="D12:D14">
      <x:formula1>"Not Started,In Progress,Complete"</x:formula1>
    </x:dataValidation>
  </x:dataValidations>
  <x:pageMargins left="0.7" right="0.7" top="0.75" bottom="0.75" header="0.3" footer="0.3"/>
</x:worksheet>
</file>