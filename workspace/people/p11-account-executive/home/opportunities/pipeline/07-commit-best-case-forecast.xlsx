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a5a83eafb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 Summary" sheetId="1" r:id="R124e0073b348401a"/>
    <x:sheet xmlns:r="http://schemas.openxmlformats.org/officeDocument/2006/relationships" name="Opportunity Data" sheetId="2" r:id="R1642f4e77259428e"/>
    <x:sheet xmlns:r="http://schemas.openxmlformats.org/officeDocument/2006/relationships" name="Submission Notes" sheetId="3" r:id="Rfac7ff28da9a440f"/>
  </x:sheets>
  <x:definedNames>
    <x:definedName name="_xlnm.Print_Area" localSheetId="0">'Forecast Summary'!$A$1:$F$7</x:definedName>
    <x:definedName name="_xlnm.Print_Titles" localSheetId="0">'Forecast Summary'!$1:$3</x:definedName>
    <x:definedName name="_xlnm.Print_Area" localSheetId="1">'Opportunity Data'!$A$1:$N$8</x:definedName>
    <x:definedName name="_xlnm.Print_Titles" localSheetId="1">'Opportunity Data'!$1:$3</x:definedName>
    <x:definedName name="_xlnm.Print_Area" localSheetId="2">'Submission Notes'!$A$1:$D$6</x:definedName>
    <x:definedName name="_xlnm.Print_Titles" localSheetId="2">'Submission Notes'!$1:$3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&quot;$&quot;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A"/>
      </x:patternFill>
    </x:fill>
  </x:fills>
  <x:borders count="9">
    <x:border/>
    <x:border>
      <x:left style="thin">
        <x:color rgb="FFD9E0E7"/>
      </x:left>
      <x:top style="thin">
        <x:color rgb="FFD9E0E7"/>
      </x:top>
    </x:border>
    <x:border>
      <x:top style="thin">
        <x:color rgb="FFD9E0E7"/>
      </x:top>
    </x:border>
    <x:border>
      <x:right style="thin">
        <x:color rgb="FFD9E0E7"/>
      </x:right>
      <x:top style="thin">
        <x:color rgb="FFD9E0E7"/>
      </x:top>
    </x:border>
    <x:border>
      <x:left style="thin">
        <x:color rgb="FFD9E0E7"/>
      </x:left>
    </x:border>
    <x:border>
      <x:right style="thin">
        <x:color rgb="FFD9E0E7"/>
      </x:right>
    </x:border>
    <x:border>
      <x:left style="thin">
        <x:color rgb="FFD9E0E7"/>
      </x:left>
      <x:bottom style="thin">
        <x:color rgb="FFD9E0E7"/>
      </x:bottom>
    </x:border>
    <x:border>
      <x:bottom style="thin">
        <x:color rgb="FFD9E0E7"/>
      </x:bottom>
    </x:border>
    <x:border>
      <x:right style="thin">
        <x:color rgb="FFD9E0E7"/>
      </x:right>
      <x:bottom style="thin">
        <x:color rgb="FFD9E0E7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202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202" fontId="0" fillId="0" borderId="8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523023d0234384" /><Relationship Type="http://schemas.openxmlformats.org/officeDocument/2006/relationships/theme" Target="/xl/theme/theme1.xml" Id="Rb8ba945b4e304eae" /><Relationship Type="http://schemas.openxmlformats.org/officeDocument/2006/relationships/sharedStrings" Target="/xl/sharedStrings.xml" Id="R91d219b2aea44dbe" /><Relationship Type="http://schemas.openxmlformats.org/officeDocument/2006/relationships/worksheet" Target="/xl/worksheets/sheet1.xml" Id="R124e0073b348401a" /><Relationship Type="http://schemas.openxmlformats.org/officeDocument/2006/relationships/worksheet" Target="/xl/worksheets/sheet2.xml" Id="R1642f4e77259428e" /><Relationship Type="http://schemas.openxmlformats.org/officeDocument/2006/relationships/worksheet" Target="/xl/worksheets/sheet3.xml" Id="Rfac7ff28da9a44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4" max="4" width="15.4399995803833" hidden="0" customWidth="1"/>
    <x:col min="5" max="5" width="18.780000686645508" hidden="0" customWidth="1"/>
  </x:cols>
  <x:sheetData>
    <x:row r="1" ht="30" customHeight="1">
      <x:c r="A1" s="4" t="str">
        <x:v>Northstar Cloud | Commit &amp; Best Case Forecast</x:v>
      </x:c>
      <x:c r="B1" s="4"/>
      <x:c r="C1" s="4"/>
      <x:c r="D1" s="4"/>
      <x:c r="E1" s="4"/>
      <x:c r="F1" s="4"/>
    </x:row>
    <x:row r="3">
      <x:c r="A3" s="11" t="str">
        <x:v>Metric</x:v>
      </x:c>
      <x:c r="B3" s="13" t="str">
        <x:v>USD</x:v>
      </x:c>
      <x:c r="D3" s="7" t="str">
        <x:v>Submission control</x:v>
      </x:c>
      <x:c r="E3" s="7" t="str">
        <x:v>Status</x:v>
      </x:c>
    </x:row>
    <x:row r="4">
      <x:c r="A4" s="14" t="str">
        <x:v>Commit</x:v>
      </x:c>
      <x:c r="B4" s="16" t="n">
        <x:f>SUMIF('Opportunity Data'!$F$4:$F$8,A4,'Opportunity Data'!$I$4:$I$8)</x:f>
        <x:v>313000</x:v>
      </x:c>
      <x:c r="D4" t="str">
        <x:v>Report date</x:v>
      </x:c>
      <x:c r="E4" s="9" t="n">
        <x:v>46220</x:v>
      </x:c>
    </x:row>
    <x:row r="5">
      <x:c r="A5" s="14" t="str">
        <x:v>Best Case</x:v>
      </x:c>
      <x:c r="B5" s="16" t="n">
        <x:f>SUMIF('Opportunity Data'!$F$4:$F$8,A5,'Opportunity Data'!$I$4:$I$8)</x:f>
        <x:v>120000</x:v>
      </x:c>
      <x:c r="D5" t="str">
        <x:v>Prepared by</x:v>
      </x:c>
      <x:c r="E5" t="str">
        <x:v>Rowan Mercer</x:v>
      </x:c>
    </x:row>
    <x:row r="6">
      <x:c r="A6" s="14" t="str">
        <x:v>Pipeline</x:v>
      </x:c>
      <x:c r="B6" s="16" t="n">
        <x:f>SUMIF('Opportunity Data'!$F$4:$F$8,A6,'Opportunity Data'!$I$4:$I$8)</x:f>
        <x:v>281000</x:v>
      </x:c>
      <x:c r="D6" t="str">
        <x:v>Approval</x:v>
      </x:c>
      <x:c r="E6" t="str">
        <x:v>Ready for fictional review</x:v>
      </x:c>
    </x:row>
    <x:row r="7">
      <x:c r="A7" s="17" t="str">
        <x:v>Weighted forecast</x:v>
      </x:c>
      <x:c r="B7" s="22" t="n">
        <x:f>SUM('Opportunity Data'!N4:N8)</x:f>
        <x:v>470150</x:v>
      </x:c>
    </x:row>
  </x:sheetData>
  <x:mergeCells>
    <x:mergeCell ref="A1:F1"/>
  </x:mergeCells>
  <x:pageMargins left="0.25" right="0.25" top="0.35" bottom="0.35" header="0.15" footer="0.15"/>
  <x:printOptions horizontalCentered="1"/>
  <x:pageSetup orientation="landscape" paperSize="9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6" hidden="0" customWidth="1"/>
    <x:col min="4" max="4" width="16" hidden="0" customWidth="1"/>
    <x:col min="5" max="5" width="14" hidden="0" customWidth="1"/>
    <x:col min="6" max="6" width="18" hidden="0" customWidth="1"/>
    <x:col min="7" max="7" width="12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40" hidden="0" customWidth="1"/>
    <x:col min="13" max="13" width="16" hidden="0" customWidth="1"/>
    <x:col min="14" max="14" width="18" hidden="0" customWidth="1"/>
  </x:cols>
  <x:sheetData>
    <x:row r="1" ht="30" customHeight="1">
      <x:c r="A1" s="4" t="str">
        <x:v>Northstar Cloud | Opportunity Data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1" t="str">
        <x:v>opportunity_id</x:v>
      </x:c>
      <x:c r="B3" s="12" t="str">
        <x:v>account_name</x:v>
      </x:c>
      <x:c r="C3" s="12" t="str">
        <x:v>opportunity_name</x:v>
      </x:c>
      <x:c r="D3" s="12" t="str">
        <x:v>motion</x:v>
      </x:c>
      <x:c r="E3" s="12" t="str">
        <x:v>stage</x:v>
      </x:c>
      <x:c r="F3" s="12" t="str">
        <x:v>forecast_category</x:v>
      </x:c>
      <x:c r="G3" s="12" t="str">
        <x:v>probability</x:v>
      </x:c>
      <x:c r="H3" s="12" t="str">
        <x:v>close_date</x:v>
      </x:c>
      <x:c r="I3" s="12" t="str">
        <x:v>amount_usd</x:v>
      </x:c>
      <x:c r="J3" s="12" t="str">
        <x:v>owner</x:v>
      </x:c>
      <x:c r="K3" s="12" t="str">
        <x:v>partner</x:v>
      </x:c>
      <x:c r="L3" s="12" t="str">
        <x:v>next_step</x:v>
      </x:c>
      <x:c r="M3" s="12" t="str">
        <x:v>next_step_date</x:v>
      </x:c>
      <x:c r="N3" s="13" t="str">
        <x:v>weighted_amount_usd</x:v>
      </x:c>
    </x:row>
    <x:row r="4">
      <x:c r="A4" s="14" t="str">
        <x:v>OPP-ALPHA-RNW</x:v>
      </x:c>
      <x:c r="B4" s="15" t="str">
        <x:v>Account Alpha</x:v>
      </x:c>
      <x:c r="C4" s="15" t="str">
        <x:v>Northstar Cloud Renewal</x:v>
      </x:c>
      <x:c r="D4" s="15" t="str">
        <x:v>Renewal</x:v>
      </x:c>
      <x:c r="E4" s="15" t="str">
        <x:v>Closed Won</x:v>
      </x:c>
      <x:c r="F4" s="15" t="str">
        <x:v>Commit</x:v>
      </x:c>
      <x:c r="G4" s="8" t="n">
        <x:v>1</x:v>
      </x:c>
      <x:c r="H4" s="9" t="n">
        <x:v>46220</x:v>
      </x:c>
      <x:c r="I4" s="10" t="n">
        <x:v>248000</x:v>
      </x:c>
      <x:c r="J4" s="15" t="str">
        <x:v>Rowan Mercer</x:v>
      </x:c>
      <x:c r="K4" s="15" t="str">
        <x:v>Priya Noland</x:v>
      </x:c>
      <x:c r="L4" s="15" t="str">
        <x:v>Approved: USD 210,000 platform + 24,000 analytics + 14,000 support</x:v>
      </x:c>
      <x:c r="M4" s="9" t="n">
        <x:v>46218</x:v>
      </x:c>
      <x:c r="N4" s="16" t="n">
        <x:f>I4*G4</x:f>
        <x:v>248000</x:v>
      </x:c>
    </x:row>
    <x:row r="5">
      <x:c r="A5" s="14" t="str">
        <x:v>OPP-BETA-PLN</x:v>
      </x:c>
      <x:c r="B5" s="15" t="str">
        <x:v>Account Beta</x:v>
      </x:c>
      <x:c r="C5" s="15" t="str">
        <x:v>Planning Workspace</x:v>
      </x:c>
      <x:c r="D5" s="15" t="str">
        <x:v>New Business</x:v>
      </x:c>
      <x:c r="E5" s="15" t="str">
        <x:v>Discovery</x:v>
      </x:c>
      <x:c r="F5" s="15" t="str">
        <x:v>Pipeline</x:v>
      </x:c>
      <x:c r="G5" s="8" t="n">
        <x:v>0.4</x:v>
      </x:c>
      <x:c r="H5" s="9" t="n">
        <x:v>46295</x:v>
      </x:c>
      <x:c r="I5" s="10" t="n">
        <x:v>186000</x:v>
      </x:c>
      <x:c r="J5" s="15" t="str">
        <x:v>Rowan Mercer</x:v>
      </x:c>
      <x:c r="K5" s="15" t="str">
        <x:v>Elliot Park</x:v>
      </x:c>
      <x:c r="L5" s="15" t="str">
        <x:v>Planning target; discovery workshop scheduled</x:v>
      </x:c>
      <x:c r="M5" s="9" t="n">
        <x:v>46238</x:v>
      </x:c>
      <x:c r="N5" s="16" t="n">
        <x:f>I5*G5</x:f>
        <x:v>74400</x:v>
      </x:c>
    </x:row>
    <x:row r="6">
      <x:c r="A6" s="14" t="str">
        <x:v>OPP-GAMMA-ANL</x:v>
      </x:c>
      <x:c r="B6" s="15" t="str">
        <x:v>Account Gamma</x:v>
      </x:c>
      <x:c r="C6" s="15" t="str">
        <x:v>Analytics Expansion</x:v>
      </x:c>
      <x:c r="D6" s="15" t="str">
        <x:v>Expansion</x:v>
      </x:c>
      <x:c r="E6" s="15" t="str">
        <x:v>Proposal</x:v>
      </x:c>
      <x:c r="F6" s="15" t="str">
        <x:v>Best Case</x:v>
      </x:c>
      <x:c r="G6" s="8" t="n">
        <x:v>0.6</x:v>
      </x:c>
      <x:c r="H6" s="9" t="n">
        <x:v>46262</x:v>
      </x:c>
      <x:c r="I6" s="10" t="n">
        <x:v>120000</x:v>
      </x:c>
      <x:c r="J6" s="15" t="str">
        <x:v>Priya Noland</x:v>
      </x:c>
      <x:c r="K6" s="15" t="str">
        <x:v>Rowan Mercer</x:v>
      </x:c>
      <x:c r="L6" s="15" t="str">
        <x:v>Proposal review with fictional sponsor</x:v>
      </x:c>
      <x:c r="M6" s="9" t="n">
        <x:v>46241</x:v>
      </x:c>
      <x:c r="N6" s="16" t="n">
        <x:f>I6*G6</x:f>
        <x:v>72000</x:v>
      </x:c>
    </x:row>
    <x:row r="7">
      <x:c r="A7" s="14" t="str">
        <x:v>OPP-DELTA-SEC</x:v>
      </x:c>
      <x:c r="B7" s="15" t="str">
        <x:v>Account Delta</x:v>
      </x:c>
      <x:c r="C7" s="15" t="str">
        <x:v>Security Controls</x:v>
      </x:c>
      <x:c r="D7" s="15" t="str">
        <x:v>New Business</x:v>
      </x:c>
      <x:c r="E7" s="15" t="str">
        <x:v>Qualification</x:v>
      </x:c>
      <x:c r="F7" s="15" t="str">
        <x:v>Pipeline</x:v>
      </x:c>
      <x:c r="G7" s="8" t="n">
        <x:v>0.25</x:v>
      </x:c>
      <x:c r="H7" s="9" t="n">
        <x:v>46311</x:v>
      </x:c>
      <x:c r="I7" s="10" t="n">
        <x:v>95000</x:v>
      </x:c>
      <x:c r="J7" s="15" t="str">
        <x:v>Elliot Park</x:v>
      </x:c>
      <x:c r="K7" s="15" t="str">
        <x:v>Rowan Mercer</x:v>
      </x:c>
      <x:c r="L7" s="15" t="str">
        <x:v>Qualification criteria documented</x:v>
      </x:c>
      <x:c r="M7" s="9" t="n">
        <x:v>46248</x:v>
      </x:c>
      <x:c r="N7" s="16" t="n">
        <x:f>I7*G7</x:f>
        <x:v>23750</x:v>
      </x:c>
    </x:row>
    <x:row r="8">
      <x:c r="A8" s="17" t="str">
        <x:v>OPP-EPSILON-OPS</x:v>
      </x:c>
      <x:c r="B8" s="18" t="str">
        <x:v>Account Epsilon</x:v>
      </x:c>
      <x:c r="C8" s="18" t="str">
        <x:v>Operations Automation</x:v>
      </x:c>
      <x:c r="D8" s="18" t="str">
        <x:v>Expansion</x:v>
      </x:c>
      <x:c r="E8" s="18" t="str">
        <x:v>Negotiation</x:v>
      </x:c>
      <x:c r="F8" s="18" t="str">
        <x:v>Commit</x:v>
      </x:c>
      <x:c r="G8" s="19" t="n">
        <x:v>0.8</x:v>
      </x:c>
      <x:c r="H8" s="20" t="n">
        <x:v>46248</x:v>
      </x:c>
      <x:c r="I8" s="21" t="n">
        <x:v>65000</x:v>
      </x:c>
      <x:c r="J8" s="18" t="str">
        <x:v>Rowan Mercer</x:v>
      </x:c>
      <x:c r="K8" s="18" t="str">
        <x:v>Priya Noland</x:v>
      </x:c>
      <x:c r="L8" s="18" t="str">
        <x:v>Commercial terms under review</x:v>
      </x:c>
      <x:c r="M8" s="20" t="n">
        <x:v>46239</x:v>
      </x:c>
      <x:c r="N8" s="22" t="n">
        <x:f>I8*G8</x:f>
        <x:v>52000</x:v>
      </x:c>
    </x:row>
  </x:sheetData>
  <x:mergeCells>
    <x:mergeCell ref="A1:N1"/>
  </x:mergeCells>
  <x:conditionalFormatting sqref="G4:G8">
    <x:cfRule type="colorScale" priority="1">
      <x:colorScale>
        <x:cfvo type="min"/>
        <x:cfvo type="percentile" val="50"/>
        <x:cfvo type="max"/>
        <x:color rgb="FFFCE8E6"/>
        <x:color rgb="FFFFF4CC"/>
        <x:color rgb="FFD9F2EC"/>
      </x:colorScale>
    </x:cfRule>
  </x:conditionalFormatting>
  <x:dataValidations count="2">
    <x:dataValidation type="list" sqref="E4:E8">
      <x:formula1>"Qualification,Discovery,Proposal,Negotiation,Closed Won,Closed Lost"</x:formula1>
    </x:dataValidation>
    <x:dataValidation type="list" sqref="F4:F8">
      <x:formula1>"Commit,Best Case,Pipeline,Omitted"</x:formula1>
    </x:dataValidation>
  </x:dataValidations>
  <x:pageMargins left="0.25" right="0.25" top="0.35" bottom="0.35" header="0.15" footer="0.15"/>
  <x:printOptions horizontalCentered="1"/>
  <x:pageSetup orientation="landscape" paperSize="9" fitToWidth="1" fitToHeight="0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</x:cols>
  <x:sheetData>
    <x:row r="1" ht="30" customHeight="1">
      <x:c r="A1" s="4" t="str">
        <x:v>Submission Notes</x:v>
      </x:c>
      <x:c r="B1" s="4"/>
      <x:c r="C1" s="4"/>
      <x:c r="D1" s="4"/>
    </x:row>
    <x:row r="3">
      <x:c r="A3" s="11" t="str">
        <x:v>Topic</x:v>
      </x:c>
      <x:c r="B3" s="13" t="str">
        <x:v>Note</x:v>
      </x:c>
    </x:row>
    <x:row r="4">
      <x:c r="A4" s="14" t="str">
        <x:v>Scope</x:v>
      </x:c>
      <x:c r="B4" s="23" t="str">
        <x:v>Fictional Northstar Cloud sales forecast</x:v>
      </x:c>
    </x:row>
    <x:row r="5">
      <x:c r="A5" s="14" t="str">
        <x:v>Approved renewal</x:v>
      </x:c>
      <x:c r="B5" s="23" t="str">
        <x:v>Account Alpha: USD 248,000 on 2026-07-17</x:v>
      </x:c>
    </x:row>
    <x:row r="6">
      <x:c r="A6" s="17" t="str">
        <x:v>Planning target</x:v>
      </x:c>
      <x:c r="B6" s="24" t="str">
        <x:v>Account Beta: USD 186,000 close date 2026-09-30</x:v>
      </x:c>
    </x:row>
  </x:sheetData>
  <x:mergeCells>
    <x:mergeCell ref="A1:D1"/>
  </x:mergeCells>
  <x:pageMargins left="0.25" right="0.25" top="0.35" bottom="0.35" header="0.15" footer="0.15"/>
  <x:printOptions horizontalCentered="1"/>
  <x:pageSetup orientation="landscape" paperSize="9" fitToWidth="1" fitToHeight="0"/>
</x:worksheet>
</file>