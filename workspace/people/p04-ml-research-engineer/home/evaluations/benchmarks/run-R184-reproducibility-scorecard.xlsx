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c1093f858243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" sheetId="1" r:id="R886781b39b8c4365"/>
    <x:sheet xmlns:r="http://schemas.openxmlformats.org/officeDocument/2006/relationships" name="Analysis" sheetId="2" r:id="R54c02910ee664cd6"/>
    <x:sheet xmlns:r="http://schemas.openxmlformats.org/officeDocument/2006/relationships" name="Results" sheetId="3" r:id="R6165d6f6a62d44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4E36"/>
      <x:name val="Carlito"/>
    </x:font>
    <x:font>
      <x:sz val="11"/>
      <x:color rgb="FF6B4E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6B78"/>
      </x:patternFill>
    </x:fill>
    <x:fill>
      <x:patternFill patternType="solid">
        <x:fgColor rgb="FFE8F3EC"/>
      </x:patternFill>
    </x:fill>
    <x:fill>
      <x:patternFill patternType="solid">
        <x:fgColor rgb="FFFBE5B5"/>
      </x:patternFill>
    </x:fill>
  </x:fills>
  <x:borders count="10">
    <x:border/>
    <x:border>
      <x:left style="thin">
        <x:color rgb="FFC9D5E3"/>
      </x:left>
      <x:top style="thin">
        <x:color rgb="FFC9D5E3"/>
      </x:top>
    </x:border>
    <x:border>
      <x:top style="thin">
        <x:color rgb="FFC9D5E3"/>
      </x:top>
    </x:border>
    <x:border>
      <x:right style="thin">
        <x:color rgb="FFC9D5E3"/>
      </x:right>
      <x:top style="thin">
        <x:color rgb="FFC9D5E3"/>
      </x:top>
    </x:border>
    <x:border>
      <x:left style="thin">
        <x:color rgb="FFC9D5E3"/>
      </x:left>
    </x:border>
    <x:border>
      <x:right style="thin">
        <x:color rgb="FFC9D5E3"/>
      </x:right>
    </x:border>
    <x:border>
      <x:left style="thin">
        <x:color rgb="FFC9D5E3"/>
      </x:left>
      <x:bottom style="thin">
        <x:color rgb="FFC9D5E3"/>
      </x:bottom>
    </x:border>
    <x:border>
      <x:bottom style="thin">
        <x:color rgb="FFC9D5E3"/>
      </x:bottom>
    </x:border>
    <x:border>
      <x:right style="thin">
        <x:color rgb="FFC9D5E3"/>
      </x:right>
      <x:bottom style="thin">
        <x:color rgb="FFC9D5E3"/>
      </x:bottom>
    </x:border>
    <x:border>
      <x:left style="thin">
        <x:color rgb="FFC9D5E3"/>
      </x:left>
      <x:right style="thin">
        <x:color rgb="FFC9D5E3"/>
      </x:right>
      <x:top style="thin">
        <x:color rgb="FFC9D5E3"/>
      </x:top>
      <x:bottom style="thin">
        <x:color rgb="FFC9D5E3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horizontal="center"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3" borderId="9" xfId="0" applyNumberFormat="1" applyFont="1" applyFill="1" applyBorder="1"/>
    <x:xf numFmtId="0" fontId="2" fillId="3" borderId="9" xfId="0" applyNumberFormat="1" applyFont="1" applyFill="1" applyBorder="1"/>
    <x:xf numFmtId="200" fontId="0" fillId="0" borderId="9" xfId="0" applyNumberFormat="1" applyFont="1" applyFill="1" applyBorder="1"/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79f9d96e754806" /><Relationship Type="http://schemas.openxmlformats.org/officeDocument/2006/relationships/theme" Target="/xl/theme/theme1.xml" Id="R78f3026452e74adc" /><Relationship Type="http://schemas.openxmlformats.org/officeDocument/2006/relationships/sharedStrings" Target="/xl/sharedStrings.xml" Id="R89c9a9f4638643da" /><Relationship Type="http://schemas.openxmlformats.org/officeDocument/2006/relationships/worksheet" Target="/xl/worksheets/sheet1.xml" Id="R886781b39b8c4365" /><Relationship Type="http://schemas.openxmlformats.org/officeDocument/2006/relationships/worksheet" Target="/xl/worksheets/sheet2.xml" Id="R54c02910ee664cd6" /><Relationship Type="http://schemas.openxmlformats.org/officeDocument/2006/relationships/worksheet" Target="/xl/worksheets/sheet3.xml" Id="R6165d6f6a62d44b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91148144d034d6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reproducibility score by benchmark unit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Chart metric</c:v>
          </c:tx>
          <c:cat>
            <c:strRef>
              <c:f>'Analysis'!$E$5:$E$9</c:f>
              <c:strCache>
                <c:ptCount val="0"/>
              </c:strCache>
            </c:strRef>
          </c:cat>
          <c:val>
            <c:numRef>
              <c:f>'Analysis'!$F$5:$F$9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1148144d034d6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97c089ba55444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17" t="str">
        <x:v>Run R184 Reproducibility Scorecard — Raw Measurements</x:v>
      </x:c>
      <x:c r="B1" s="18"/>
      <x:c r="C1" s="18"/>
      <x:c r="D1" s="18"/>
      <x:c r="E1" s="18"/>
      <x:c r="F1" s="18"/>
      <x:c r="G1" s="18"/>
      <x:c r="H1" s="18"/>
    </x:row>
    <x:row r="2">
      <x:c r="A2" s="18" t="str">
        <x:v>Synthetic source lineage: Helix Forge Lab | HF-Eval-S1/S2 v3.2 | 2,400 synthetic records (S1 1,600; S2 800) | five synthetic intent labels</x:v>
      </x:c>
      <x:c r="B2" s="18"/>
      <x:c r="C2" s="18"/>
      <x:c r="D2" s="18"/>
      <x:c r="E2" s="18"/>
      <x:c r="F2" s="18"/>
      <x:c r="G2" s="18"/>
      <x:c r="H2" s="18"/>
    </x:row>
    <x:row r="3">
      <x:c r="A3" s="18" t="str">
        <x:v>Run lineage: run R184 | evaluation date 2026-07-13 | deterministic synthetic benchmark fixture</x:v>
      </x:c>
      <x:c r="B3" s="18"/>
      <x:c r="C3" s="18"/>
      <x:c r="D3" s="18"/>
      <x:c r="E3" s="18"/>
      <x:c r="F3" s="18"/>
      <x:c r="G3" s="18"/>
      <x:c r="H3" s="18"/>
    </x:row>
    <x:row r="4">
      <x:c r="A4" s="27" t="str">
        <x:v>Evidence item</x:v>
      </x:c>
      <x:c r="B4" s="27" t="str">
        <x:v>Completeness</x:v>
      </x:c>
      <x:c r="C4" s="27" t="str">
        <x:v>Replay agreement</x:v>
      </x:c>
      <x:c r="D4" s="27" t="str">
        <x:v>Witnesses</x:v>
      </x:c>
      <x:c r="E4" s="27" t="str">
        <x:v>Reproducibility score</x:v>
      </x:c>
      <x:c r="F4" s="20"/>
      <x:c r="G4" s="20"/>
      <x:c r="H4" s="27" t="str">
        <x:v>Suite partition</x:v>
      </x:c>
      <x:c r="I4" s="31" t="str">
        <x:v>Records</x:v>
      </x:c>
    </x:row>
    <x:row r="5">
      <x:c r="A5" s="29" t="str">
        <x:v>dataset_manifest</x:v>
      </x:c>
      <x:c r="B5" s="33" t="n">
        <x:v>1</x:v>
      </x:c>
      <x:c r="C5" s="33" t="n">
        <x:v>1</x:v>
      </x:c>
      <x:c r="D5" s="29" t="n">
        <x:v>3</x:v>
      </x:c>
      <x:c r="E5" s="33" t="n">
        <x:v>1</x:v>
      </x:c>
      <x:c r="F5" s="18"/>
      <x:c r="G5" s="18"/>
      <x:c r="H5" s="29" t="str">
        <x:v>HF-Eval-S1</x:v>
      </x:c>
      <x:c r="I5" s="32" t="n">
        <x:v>1600</x:v>
      </x:c>
    </x:row>
    <x:row r="6">
      <x:c r="A6" s="29" t="str">
        <x:v>label_schema</x:v>
      </x:c>
      <x:c r="B6" s="33" t="n">
        <x:v>1</x:v>
      </x:c>
      <x:c r="C6" s="33" t="n">
        <x:v>1</x:v>
      </x:c>
      <x:c r="D6" s="29" t="n">
        <x:v>3</x:v>
      </x:c>
      <x:c r="E6" s="33" t="n">
        <x:v>1</x:v>
      </x:c>
      <x:c r="F6" s="18"/>
      <x:c r="G6" s="18"/>
      <x:c r="H6" s="29" t="str">
        <x:v>HF-Eval-S2</x:v>
      </x:c>
      <x:c r="I6" s="32" t="n">
        <x:v>800</x:v>
      </x:c>
    </x:row>
    <x:row r="7">
      <x:c r="A7" s="29" t="str">
        <x:v>evaluation_config</x:v>
      </x:c>
      <x:c r="B7" s="33" t="n">
        <x:v>1</x:v>
      </x:c>
      <x:c r="C7" s="33" t="n">
        <x:v>0.98</x:v>
      </x:c>
      <x:c r="D7" s="29" t="n">
        <x:v>3</x:v>
      </x:c>
      <x:c r="E7" s="33" t="n">
        <x:v>0.99</x:v>
      </x:c>
      <x:c r="F7" s="18"/>
      <x:c r="G7" s="18"/>
      <x:c r="H7" s="23"/>
    </x:row>
    <x:row r="8">
      <x:c r="A8" s="29" t="str">
        <x:v>metric_snapshot</x:v>
      </x:c>
      <x:c r="B8" s="33" t="n">
        <x:v>1</x:v>
      </x:c>
      <x:c r="C8" s="33" t="n">
        <x:v>1</x:v>
      </x:c>
      <x:c r="D8" s="29" t="n">
        <x:v>3</x:v>
      </x:c>
      <x:c r="E8" s="33" t="n">
        <x:v>1</x:v>
      </x:c>
      <x:c r="F8" s="18"/>
      <x:c r="G8" s="18"/>
      <x:c r="H8" s="23"/>
    </x:row>
    <x:row r="9">
      <x:c r="A9" s="29" t="str">
        <x:v>environment_record</x:v>
      </x:c>
      <x:c r="B9" s="33" t="n">
        <x:v>0.95</x:v>
      </x:c>
      <x:c r="C9" s="33" t="n">
        <x:v>0.93</x:v>
      </x:c>
      <x:c r="D9" s="29" t="n">
        <x:v>3</x:v>
      </x:c>
      <x:c r="E9" s="33" t="n">
        <x:v>0.94</x:v>
      </x:c>
      <x:c r="F9" s="18"/>
      <x:c r="G9" s="18"/>
      <x:c r="H9" s="23"/>
    </x:row>
    <x:row r="10">
      <x:c r="A10" s="24"/>
      <x:c r="B10" s="25"/>
      <x:c r="C10" s="25"/>
      <x:c r="D10" s="25"/>
      <x:c r="E10" s="25"/>
      <x:c r="F10" s="25"/>
      <x:c r="G10" s="25"/>
      <x:c r="H10" s="26"/>
    </x:row>
    <x:row r="11">
      <x:c r="A11" s="18"/>
      <x:c r="B11" s="18"/>
      <x:c r="C11" s="18"/>
      <x:c r="D11" s="18"/>
      <x:c r="E11" s="18"/>
      <x:c r="F11" s="18"/>
      <x:c r="G11" s="18"/>
      <x:c r="H11" s="18"/>
    </x:row>
    <x:row r="12">
      <x:c r="A12" s="18"/>
      <x:c r="B12" s="18"/>
      <x:c r="C12" s="18"/>
      <x:c r="D12" s="18"/>
      <x:c r="E12" s="18"/>
      <x:c r="F12" s="18"/>
      <x:c r="G12" s="18"/>
      <x:c r="H12" s="18"/>
    </x:row>
    <x:row r="13">
      <x:c r="A13" s="18"/>
      <x:c r="B13" s="18"/>
      <x:c r="C13" s="18"/>
      <x:c r="D13" s="18"/>
      <x:c r="E13" s="18"/>
      <x:c r="F13" s="18"/>
      <x:c r="G13" s="18"/>
      <x:c r="H13" s="18"/>
    </x:row>
    <x:row r="14">
      <x:c r="A14" s="18"/>
      <x:c r="B14" s="18"/>
      <x:c r="C14" s="18"/>
      <x:c r="D14" s="18"/>
      <x:c r="E14" s="18"/>
      <x:c r="F14" s="18"/>
      <x:c r="G14" s="18"/>
      <x:c r="H14" s="18"/>
    </x:row>
    <x:row r="15">
      <x:c r="A15" s="18"/>
      <x:c r="B15" s="18"/>
      <x:c r="C15" s="18"/>
      <x:c r="D15" s="18"/>
      <x:c r="E15" s="18"/>
      <x:c r="F15" s="18"/>
      <x:c r="G15" s="18"/>
      <x:c r="H15" s="18"/>
    </x:row>
    <x:row r="16">
      <x:c r="A16" s="18"/>
      <x:c r="B16" s="18"/>
      <x:c r="C16" s="18"/>
      <x:c r="D16" s="18"/>
      <x:c r="E16" s="18"/>
      <x:c r="F16" s="18"/>
      <x:c r="G16" s="18"/>
      <x:c r="H16" s="18"/>
    </x:row>
    <x:row r="17">
      <x:c r="A17" s="18"/>
      <x:c r="B17" s="18"/>
      <x:c r="C17" s="18"/>
      <x:c r="D17" s="18"/>
      <x:c r="E17" s="18"/>
      <x:c r="F17" s="18"/>
      <x:c r="G17" s="18"/>
      <x:c r="H17" s="18"/>
    </x:row>
    <x:row r="18">
      <x:c r="A18" s="18"/>
      <x:c r="B18" s="18"/>
      <x:c r="C18" s="18"/>
      <x:c r="D18" s="18"/>
      <x:c r="E18" s="18"/>
      <x:c r="F18" s="18"/>
      <x:c r="G18" s="18"/>
      <x:c r="H18" s="18"/>
    </x:row>
    <x:row r="19">
      <x:c r="A19" s="18"/>
      <x:c r="B19" s="18"/>
      <x:c r="C19" s="18"/>
      <x:c r="D19" s="18"/>
      <x:c r="E19" s="18"/>
      <x:c r="F19" s="18"/>
      <x:c r="G19" s="18"/>
      <x:c r="H19" s="18"/>
    </x:row>
    <x:row r="20">
      <x:c r="A20" s="18"/>
      <x:c r="B20" s="18"/>
      <x:c r="C20" s="18"/>
      <x:c r="D20" s="18"/>
      <x:c r="E20" s="18"/>
      <x:c r="F20" s="18"/>
      <x:c r="G20" s="18"/>
      <x:c r="H20" s="18"/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17" t="str">
        <x:v>Run R184 Reproducibility Scorecard — Analysis</x:v>
      </x:c>
      <x:c r="B1" s="18"/>
      <x:c r="C1" s="18"/>
      <x:c r="D1" s="18"/>
      <x:c r="E1" s="18"/>
      <x:c r="F1" s="18"/>
      <x:c r="G1" s="18"/>
      <x:c r="H1" s="18"/>
    </x:row>
    <x:row r="2">
      <x:c r="A2" s="18" t="str">
        <x:v>Derived metrics reference the immutable Raw Data sheet; values are synthetic and audit-ready.</x:v>
      </x:c>
      <x:c r="B2" s="18"/>
      <x:c r="C2" s="18"/>
      <x:c r="D2" s="18"/>
      <x:c r="E2" s="18"/>
      <x:c r="F2" s="18"/>
      <x:c r="G2" s="18"/>
      <x:c r="H2" s="18"/>
    </x:row>
    <x:row r="3">
      <x:c r="A3" s="18"/>
      <x:c r="B3" s="18"/>
      <x:c r="C3" s="18"/>
      <x:c r="D3" s="18"/>
      <x:c r="E3" s="18"/>
      <x:c r="F3" s="18"/>
      <x:c r="G3" s="18"/>
      <x:c r="H3" s="18"/>
    </x:row>
    <x:row r="4">
      <x:c r="A4" s="27" t="str">
        <x:v>Metric</x:v>
      </x:c>
      <x:c r="B4" s="27" t="str">
        <x:v>Derived value</x:v>
      </x:c>
      <x:c r="C4" s="27" t="str">
        <x:v>Method</x:v>
      </x:c>
      <x:c r="D4" s="20"/>
      <x:c r="E4" s="27" t="str">
        <x:v>Chart label</x:v>
      </x:c>
      <x:c r="F4" s="27" t="str">
        <x:v>Chart metric</x:v>
      </x:c>
      <x:c r="G4" s="20"/>
      <x:c r="H4" s="21"/>
    </x:row>
    <x:row r="5">
      <x:c r="A5" s="29" t="str">
        <x:v>Mean reproducibility score</x:v>
      </x:c>
      <x:c r="B5" s="33" t="n">
        <x:f>AVERAGE('Raw Data'!E5:E9)</x:f>
        <x:v>0.986</x:v>
      </x:c>
      <x:c r="C5" s="29" t="str">
        <x:v>Arithmetic mean of raw rows</x:v>
      </x:c>
      <x:c r="D5" s="18"/>
      <x:c r="E5" s="29" t="str">
        <x:f>'Raw Data'!A5</x:f>
        <x:v>dataset_manifest</x:v>
      </x:c>
      <x:c r="F5" s="33" t="n">
        <x:f>'Raw Data'!E5</x:f>
        <x:v>1</x:v>
      </x:c>
      <x:c r="G5" s="18"/>
      <x:c r="H5" s="23"/>
    </x:row>
    <x:row r="6">
      <x:c r="A6" s="29" t="str">
        <x:v>Maximum</x:v>
      </x:c>
      <x:c r="B6" s="33" t="n">
        <x:f>MAX('Raw Data'!E5:E9)</x:f>
        <x:v>1</x:v>
      </x:c>
      <x:c r="C6" s="29" t="str">
        <x:v>MAX over raw metric</x:v>
      </x:c>
      <x:c r="D6" s="18"/>
      <x:c r="E6" s="29" t="str">
        <x:f>'Raw Data'!A6</x:f>
        <x:v>label_schema</x:v>
      </x:c>
      <x:c r="F6" s="33" t="n">
        <x:f>'Raw Data'!E6</x:f>
        <x:v>1</x:v>
      </x:c>
      <x:c r="G6" s="18"/>
      <x:c r="H6" s="23"/>
    </x:row>
    <x:row r="7">
      <x:c r="A7" s="29" t="str">
        <x:v>Minimum</x:v>
      </x:c>
      <x:c r="B7" s="33" t="n">
        <x:f>MIN('Raw Data'!E5:E9)</x:f>
        <x:v>0.94</x:v>
      </x:c>
      <x:c r="C7" s="29" t="str">
        <x:v>MIN over raw metric</x:v>
      </x:c>
      <x:c r="D7" s="18"/>
      <x:c r="E7" s="29" t="str">
        <x:f>'Raw Data'!A7</x:f>
        <x:v>evaluation_config</x:v>
      </x:c>
      <x:c r="F7" s="33" t="n">
        <x:f>'Raw Data'!E7</x:f>
        <x:v>0.99</x:v>
      </x:c>
      <x:c r="G7" s="18"/>
      <x:c r="H7" s="23"/>
    </x:row>
    <x:row r="8">
      <x:c r="A8" s="29" t="str">
        <x:v>Suite record coverage</x:v>
      </x:c>
      <x:c r="B8" s="29" t="n">
        <x:f>SUM('Raw Data'!I5:I6)</x:f>
        <x:v>2400</x:v>
      </x:c>
      <x:c r="C8" s="29" t="str">
        <x:v>SUM of S1 and S2 partitions</x:v>
      </x:c>
      <x:c r="D8" s="18"/>
      <x:c r="E8" s="29" t="str">
        <x:f>'Raw Data'!A8</x:f>
        <x:v>metric_snapshot</x:v>
      </x:c>
      <x:c r="F8" s="33" t="n">
        <x:f>'Raw Data'!E8</x:f>
        <x:v>1</x:v>
      </x:c>
      <x:c r="G8" s="18"/>
      <x:c r="H8" s="23"/>
    </x:row>
    <x:row r="9">
      <x:c r="A9" s="22"/>
      <x:c r="B9" s="18"/>
      <x:c r="C9" s="18"/>
      <x:c r="D9" s="18"/>
      <x:c r="E9" s="29" t="str">
        <x:f>'Raw Data'!A9</x:f>
        <x:v>environment_record</x:v>
      </x:c>
      <x:c r="F9" s="33" t="n">
        <x:f>'Raw Data'!E9</x:f>
        <x:v>0.94</x:v>
      </x:c>
      <x:c r="G9" s="18"/>
      <x:c r="H9" s="23"/>
    </x:row>
    <x:row r="10">
      <x:c r="A10" s="24"/>
      <x:c r="B10" s="25"/>
      <x:c r="C10" s="25"/>
      <x:c r="D10" s="25"/>
      <x:c r="E10" s="25"/>
      <x:c r="F10" s="25"/>
      <x:c r="G10" s="25"/>
      <x:c r="H10" s="26"/>
    </x:row>
    <x:row r="11">
      <x:c r="A11" s="18"/>
      <x:c r="B11" s="18"/>
      <x:c r="C11" s="18"/>
      <x:c r="D11" s="18"/>
      <x:c r="E11" s="18"/>
      <x:c r="F11" s="18"/>
      <x:c r="G11" s="18"/>
      <x:c r="H11" s="18"/>
    </x:row>
    <x:row r="12">
      <x:c r="A12" s="18"/>
      <x:c r="B12" s="18"/>
      <x:c r="C12" s="18"/>
      <x:c r="D12" s="18"/>
      <x:c r="E12" s="18"/>
      <x:c r="F12" s="18"/>
      <x:c r="G12" s="18"/>
      <x:c r="H12" s="18"/>
    </x:row>
    <x:row r="13">
      <x:c r="A13" s="18"/>
      <x:c r="B13" s="18"/>
      <x:c r="C13" s="18"/>
      <x:c r="D13" s="18"/>
      <x:c r="E13" s="18"/>
      <x:c r="F13" s="18"/>
      <x:c r="G13" s="18"/>
      <x:c r="H13" s="18"/>
    </x:row>
    <x:row r="14">
      <x:c r="A14" s="18"/>
      <x:c r="B14" s="18"/>
      <x:c r="C14" s="18"/>
      <x:c r="D14" s="18"/>
      <x:c r="E14" s="18"/>
      <x:c r="F14" s="18"/>
      <x:c r="G14" s="18"/>
      <x:c r="H14" s="18"/>
    </x:row>
    <x:row r="15">
      <x:c r="A15" s="18"/>
      <x:c r="B15" s="18"/>
      <x:c r="C15" s="18"/>
      <x:c r="D15" s="18"/>
      <x:c r="E15" s="18"/>
      <x:c r="F15" s="18"/>
      <x:c r="G15" s="18"/>
      <x:c r="H15" s="18"/>
    </x:row>
    <x:row r="16">
      <x:c r="A16" s="18"/>
      <x:c r="B16" s="18"/>
      <x:c r="C16" s="18"/>
      <x:c r="D16" s="18"/>
      <x:c r="E16" s="18"/>
      <x:c r="F16" s="18"/>
      <x:c r="G16" s="18"/>
      <x:c r="H16" s="18"/>
    </x:row>
    <x:row r="17">
      <x:c r="A17" s="18"/>
      <x:c r="B17" s="18"/>
      <x:c r="C17" s="18"/>
      <x:c r="D17" s="18"/>
      <x:c r="E17" s="18"/>
      <x:c r="F17" s="18"/>
      <x:c r="G17" s="18"/>
      <x:c r="H17" s="18"/>
    </x:row>
    <x:row r="18">
      <x:c r="A18" s="18"/>
      <x:c r="B18" s="18"/>
      <x:c r="C18" s="18"/>
      <x:c r="D18" s="18"/>
      <x:c r="E18" s="18"/>
      <x:c r="F18" s="18"/>
      <x:c r="G18" s="18"/>
      <x:c r="H18" s="18"/>
    </x:row>
    <x:row r="19">
      <x:c r="A19" s="18"/>
      <x:c r="B19" s="18"/>
      <x:c r="C19" s="18"/>
      <x:c r="D19" s="18"/>
      <x:c r="E19" s="18"/>
      <x:c r="F19" s="18"/>
      <x:c r="G19" s="18"/>
      <x:c r="H19" s="18"/>
    </x:row>
    <x:row r="20">
      <x:c r="A20" s="18"/>
      <x:c r="B20" s="18"/>
      <x:c r="C20" s="18"/>
      <x:c r="D20" s="18"/>
      <x:c r="E20" s="18"/>
      <x:c r="F20" s="18"/>
      <x:c r="G20" s="18"/>
      <x:c r="H20" s="18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897c089ba5544455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17" t="str">
        <x:v>Run R184 Reproducibility Scorecard — Results &amp; Decision</x:v>
      </x:c>
      <x:c r="B1" s="18"/>
      <x:c r="C1" s="18"/>
      <x:c r="D1" s="18"/>
      <x:c r="E1" s="18"/>
      <x:c r="F1" s="18"/>
      <x:c r="G1" s="18"/>
      <x:c r="H1" s="18"/>
    </x:row>
    <x:row r="2">
      <x:c r="A2" s="18" t="str">
        <x:v>Visible source lineage: Helix Forge Lab · run R184 · 2026-07-13 · HF-Eval-S1/S2 v3.2 · synthetic only</x:v>
      </x:c>
      <x:c r="B2" s="18"/>
      <x:c r="C2" s="18"/>
      <x:c r="D2" s="18"/>
      <x:c r="E2" s="18"/>
      <x:c r="F2" s="18"/>
      <x:c r="G2" s="18"/>
      <x:c r="H2" s="18"/>
    </x:row>
    <x:row r="3">
      <x:c r="A3" s="18"/>
      <x:c r="B3" s="18"/>
      <x:c r="C3" s="18"/>
      <x:c r="D3" s="18"/>
      <x:c r="E3" s="18"/>
      <x:c r="F3" s="18"/>
      <x:c r="G3" s="18"/>
      <x:c r="H3" s="18"/>
    </x:row>
    <x:row r="4">
      <x:c r="A4" s="27" t="str">
        <x:v>Decision metric</x:v>
      </x:c>
      <x:c r="B4" s="27" t="str">
        <x:v>Value</x:v>
      </x:c>
      <x:c r="C4" s="20"/>
      <x:c r="D4" s="20"/>
      <x:c r="E4" s="20"/>
      <x:c r="F4" s="20"/>
      <x:c r="G4" s="20"/>
      <x:c r="H4" s="21"/>
    </x:row>
    <x:row r="5">
      <x:c r="A5" s="29" t="str">
        <x:v>Mean reproducibility score</x:v>
      </x:c>
      <x:c r="B5" s="33" t="n">
        <x:f>'Analysis'!B5</x:f>
        <x:v>0.986</x:v>
      </x:c>
      <x:c r="C5" s="18"/>
      <x:c r="D5" s="18"/>
      <x:c r="E5" s="18"/>
      <x:c r="F5" s="18"/>
      <x:c r="G5" s="18"/>
      <x:c r="H5" s="23"/>
    </x:row>
    <x:row r="6">
      <x:c r="A6" s="29" t="str">
        <x:v>Benchmark ceiling</x:v>
      </x:c>
      <x:c r="B6" s="33" t="n">
        <x:f>'Analysis'!B6</x:f>
        <x:v>1</x:v>
      </x:c>
      <x:c r="C6" s="18"/>
      <x:c r="D6" s="18"/>
      <x:c r="E6" s="18"/>
      <x:c r="F6" s="18"/>
      <x:c r="G6" s="18"/>
      <x:c r="H6" s="23"/>
    </x:row>
    <x:row r="7">
      <x:c r="A7" s="29" t="str">
        <x:v>Benchmark floor</x:v>
      </x:c>
      <x:c r="B7" s="33" t="n">
        <x:f>'Analysis'!B7</x:f>
        <x:v>0.94</x:v>
      </x:c>
      <x:c r="C7" s="18"/>
      <x:c r="D7" s="18"/>
      <x:c r="E7" s="18"/>
      <x:c r="F7" s="18"/>
      <x:c r="G7" s="18"/>
      <x:c r="H7" s="23"/>
    </x:row>
    <x:row r="8">
      <x:c r="A8" s="29" t="str">
        <x:v>Synthetic record coverage</x:v>
      </x:c>
      <x:c r="B8" s="34" t="n">
        <x:f>'Analysis'!B8</x:f>
        <x:v>2400</x:v>
      </x:c>
      <x:c r="C8" s="18"/>
      <x:c r="D8" s="18"/>
      <x:c r="E8" s="18"/>
      <x:c r="F8" s="18"/>
      <x:c r="G8" s="18"/>
      <x:c r="H8" s="23"/>
    </x:row>
    <x:row r="9">
      <x:c r="A9" s="22"/>
      <x:c r="B9" s="18"/>
      <x:c r="C9" s="18"/>
      <x:c r="D9" s="18"/>
      <x:c r="E9" s="18"/>
      <x:c r="F9" s="18"/>
      <x:c r="G9" s="18"/>
      <x:c r="H9" s="23"/>
    </x:row>
    <x:row r="10">
      <x:c r="A10" s="38" t="str">
        <x:v>Recommendation: Record the final environment hash to close the only partial evidence item.</x:v>
      </x:c>
      <x:c r="B10" s="39"/>
      <x:c r="C10" s="39"/>
      <x:c r="D10" s="39"/>
      <x:c r="E10" s="39"/>
      <x:c r="F10" s="39"/>
      <x:c r="G10" s="39"/>
      <x:c r="H10" s="40"/>
    </x:row>
    <x:row r="11">
      <x:c r="A11" s="18"/>
      <x:c r="B11" s="18"/>
      <x:c r="C11" s="18"/>
      <x:c r="D11" s="18"/>
      <x:c r="E11" s="18"/>
      <x:c r="F11" s="18"/>
      <x:c r="G11" s="18"/>
      <x:c r="H11" s="18"/>
    </x:row>
    <x:row r="12">
      <x:c r="A12" s="42" t="str">
        <x:v>Audit note: all records, labels, and run artifacts are fictional; no external source, live data, or personal data was used.</x:v>
      </x:c>
      <x:c r="B12" s="42"/>
      <x:c r="C12" s="42"/>
      <x:c r="D12" s="42"/>
      <x:c r="E12" s="42"/>
      <x:c r="F12" s="42"/>
      <x:c r="G12" s="42"/>
      <x:c r="H12" s="42"/>
    </x:row>
    <x:row r="13">
      <x:c r="A13" s="18"/>
      <x:c r="B13" s="18"/>
      <x:c r="C13" s="18"/>
      <x:c r="D13" s="18"/>
      <x:c r="E13" s="18"/>
      <x:c r="F13" s="18"/>
      <x:c r="G13" s="18"/>
      <x:c r="H13" s="18"/>
    </x:row>
    <x:row r="14">
      <x:c r="A14" s="18"/>
      <x:c r="B14" s="18"/>
      <x:c r="C14" s="18"/>
      <x:c r="D14" s="18"/>
      <x:c r="E14" s="18"/>
      <x:c r="F14" s="18"/>
      <x:c r="G14" s="18"/>
      <x:c r="H14" s="18"/>
    </x:row>
    <x:row r="15">
      <x:c r="A15" s="18"/>
      <x:c r="B15" s="18"/>
      <x:c r="C15" s="18"/>
      <x:c r="D15" s="18"/>
      <x:c r="E15" s="18"/>
      <x:c r="F15" s="18"/>
      <x:c r="G15" s="18"/>
      <x:c r="H15" s="18"/>
    </x:row>
    <x:row r="16">
      <x:c r="A16" s="18"/>
      <x:c r="B16" s="18"/>
      <x:c r="C16" s="18"/>
      <x:c r="D16" s="18"/>
      <x:c r="E16" s="18"/>
      <x:c r="F16" s="18"/>
      <x:c r="G16" s="18"/>
      <x:c r="H16" s="18"/>
    </x:row>
    <x:row r="17">
      <x:c r="A17" s="18"/>
      <x:c r="B17" s="18"/>
      <x:c r="C17" s="18"/>
      <x:c r="D17" s="18"/>
      <x:c r="E17" s="18"/>
      <x:c r="F17" s="18"/>
      <x:c r="G17" s="18"/>
      <x:c r="H17" s="18"/>
    </x:row>
    <x:row r="18">
      <x:c r="A18" s="18"/>
      <x:c r="B18" s="18"/>
      <x:c r="C18" s="18"/>
      <x:c r="D18" s="18"/>
      <x:c r="E18" s="18"/>
      <x:c r="F18" s="18"/>
      <x:c r="G18" s="18"/>
      <x:c r="H18" s="18"/>
    </x:row>
    <x:row r="19">
      <x:c r="A19" s="18"/>
      <x:c r="B19" s="18"/>
      <x:c r="C19" s="18"/>
      <x:c r="D19" s="18"/>
      <x:c r="E19" s="18"/>
      <x:c r="F19" s="18"/>
      <x:c r="G19" s="18"/>
      <x:c r="H19" s="18"/>
    </x:row>
    <x:row r="20">
      <x:c r="A20" s="18"/>
      <x:c r="B20" s="18"/>
      <x:c r="C20" s="18"/>
      <x:c r="D20" s="18"/>
      <x:c r="E20" s="18"/>
      <x:c r="F20" s="18"/>
      <x:c r="G20" s="18"/>
      <x:c r="H20" s="18"/>
    </x:row>
  </x:sheetData>
  <x:mergeCells>
    <x:mergeCell ref="A1:H1"/>
    <x:mergeCell ref="A2:H2"/>
    <x:mergeCell ref="A10:H10"/>
    <x:mergeCell ref="A12:H12"/>
  </x:mergeCells>
  <x:pageMargins left="0.7" right="0.7" top="0.75" bottom="0.75" header="0.3" footer="0.3"/>
</x:worksheet>
</file>