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2cc8f1c4b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f66175950d5e4cf5"/>
    <x:sheet xmlns:r="http://schemas.openxmlformats.org/officeDocument/2006/relationships" name="Analysis" sheetId="2" r:id="R8758f751702f49bd"/>
    <x:sheet xmlns:r="http://schemas.openxmlformats.org/officeDocument/2006/relationships" name="Results" sheetId="3" r:id="Rc29dc8ca9f81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36"/>
      <x:name val="Carlito"/>
    </x:font>
    <x:font>
      <x:sz val="11"/>
      <x:color rgb="FF6B4E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E8F3EC"/>
      </x:patternFill>
    </x:fill>
    <x:fill>
      <x:patternFill patternType="solid">
        <x:fgColor rgb="FFFBE5B5"/>
      </x:patternFill>
    </x:fill>
  </x:fills>
  <x:borders count="10">
    <x:border/>
    <x:border>
      <x:left style="thin">
        <x:color rgb="FFC9D5E3"/>
      </x:left>
      <x:top style="thin">
        <x:color rgb="FFC9D5E3"/>
      </x:top>
    </x:border>
    <x:border>
      <x:top style="thin">
        <x:color rgb="FFC9D5E3"/>
      </x:top>
    </x:border>
    <x:border>
      <x:right style="thin">
        <x:color rgb="FFC9D5E3"/>
      </x:right>
      <x:top style="thin">
        <x:color rgb="FFC9D5E3"/>
      </x:top>
    </x:border>
    <x:border>
      <x:left style="thin">
        <x:color rgb="FFC9D5E3"/>
      </x:left>
    </x:border>
    <x:border>
      <x:right style="thin">
        <x:color rgb="FFC9D5E3"/>
      </x:right>
    </x:border>
    <x:border>
      <x:left style="thin">
        <x:color rgb="FFC9D5E3"/>
      </x:left>
      <x:bottom style="thin">
        <x:color rgb="FFC9D5E3"/>
      </x:bottom>
    </x:border>
    <x:border>
      <x:bottom style="thin">
        <x:color rgb="FFC9D5E3"/>
      </x:bottom>
    </x:border>
    <x:border>
      <x:right style="thin">
        <x:color rgb="FFC9D5E3"/>
      </x:right>
      <x:bottom style="thin">
        <x:color rgb="FFC9D5E3"/>
      </x:bottom>
    </x:border>
    <x:border>
      <x:left style="thin">
        <x:color rgb="FFC9D5E3"/>
      </x:left>
      <x:right style="thin">
        <x:color rgb="FFC9D5E3"/>
      </x:right>
      <x:top style="thin">
        <x:color rgb="FFC9D5E3"/>
      </x:top>
      <x:bottom style="thin">
        <x:color rgb="FFC9D5E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3" borderId="9" xfId="0" applyNumberFormat="1" applyFont="1" applyFill="1" applyBorder="1"/>
    <x:xf numFmtId="0" fontId="2" fillId="3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e619b550a4034" /><Relationship Type="http://schemas.openxmlformats.org/officeDocument/2006/relationships/theme" Target="/xl/theme/theme1.xml" Id="R1a4e0701c5b74d71" /><Relationship Type="http://schemas.openxmlformats.org/officeDocument/2006/relationships/sharedStrings" Target="/xl/sharedStrings.xml" Id="Rfa02459bd86c47c9" /><Relationship Type="http://schemas.openxmlformats.org/officeDocument/2006/relationships/worksheet" Target="/xl/worksheets/sheet1.xml" Id="Rf66175950d5e4cf5" /><Relationship Type="http://schemas.openxmlformats.org/officeDocument/2006/relationships/worksheet" Target="/xl/worksheets/sheet2.xml" Id="R8758f751702f49bd" /><Relationship Type="http://schemas.openxmlformats.org/officeDocument/2006/relationships/worksheet" Target="/xl/worksheets/sheet3.xml" Id="Rc29dc8ca9f8144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f480285e9445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macro F1 by benchmark unit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Chart metric</c:v>
          </c:tx>
          <c:cat>
            <c:strRef>
              <c:f>'Analysis'!$E$5:$E$7</c:f>
              <c:strCache>
                <c:ptCount val="0"/>
              </c:strCache>
            </c:strRef>
          </c:cat>
          <c:val>
            <c:numRef>
              <c:f>'Analysis'!$F$5:$F$7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f480285e94456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84b66b721c048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Benchmark Summary — Raw Measurements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Synthetic source lineage: Helix Forge Lab | HF-Eval-S1/S2 v3.2 | 2,400 synthetic records (S1 1,600; S2 800) | five synthetic intent labels</x:v>
      </x:c>
      <x:c r="B2" s="18"/>
      <x:c r="C2" s="18"/>
      <x:c r="D2" s="18"/>
      <x:c r="E2" s="18"/>
      <x:c r="F2" s="18"/>
      <x:c r="G2" s="18"/>
      <x:c r="H2" s="18"/>
    </x:row>
    <x:row r="3">
      <x:c r="A3" s="18" t="str">
        <x:v>Run lineage: run R184 | evaluation date 2026-07-13 | deterministic synthetic benchmark fixture</x:v>
      </x:c>
      <x:c r="B3" s="18"/>
      <x:c r="C3" s="18"/>
      <x:c r="D3" s="18"/>
      <x:c r="E3" s="18"/>
      <x:c r="F3" s="18"/>
      <x:c r="G3" s="18"/>
      <x:c r="H3" s="18"/>
    </x:row>
    <x:row r="4">
      <x:c r="A4" s="27" t="str">
        <x:v>Candidate model</x:v>
      </x:c>
      <x:c r="B4" s="27" t="str">
        <x:v>Precision</x:v>
      </x:c>
      <x:c r="C4" s="27" t="str">
        <x:v>Recall</x:v>
      </x:c>
      <x:c r="D4" s="27" t="str">
        <x:v>Macro F1</x:v>
      </x:c>
      <x:c r="E4" s="27" t="str">
        <x:v>Coverage</x:v>
      </x:c>
      <x:c r="F4" s="27" t="str">
        <x:v>p50 latency ms</x:v>
      </x:c>
      <x:c r="G4" s="20"/>
      <x:c r="H4" s="27" t="str">
        <x:v>Suite partition</x:v>
      </x:c>
      <x:c r="I4" s="31" t="str">
        <x:v>Records</x:v>
      </x:c>
    </x:row>
    <x:row r="5">
      <x:c r="A5" s="29" t="str">
        <x:v>Model Alpha M-14</x:v>
      </x:c>
      <x:c r="B5" s="33" t="n">
        <x:v>0.881</x:v>
      </x:c>
      <x:c r="C5" s="33" t="n">
        <x:v>0.865</x:v>
      </x:c>
      <x:c r="D5" s="33" t="n">
        <x:v>0.873</x:v>
      </x:c>
      <x:c r="E5" s="33" t="n">
        <x:v>0.921</x:v>
      </x:c>
      <x:c r="F5" s="29" t="n">
        <x:v>84</x:v>
      </x:c>
      <x:c r="G5" s="18"/>
      <x:c r="H5" s="29" t="str">
        <x:v>HF-Eval-S1</x:v>
      </x:c>
      <x:c r="I5" s="32" t="n">
        <x:v>1600</x:v>
      </x:c>
    </x:row>
    <x:row r="6">
      <x:c r="A6" s="29" t="str">
        <x:v>Model Beta B-07</x:v>
      </x:c>
      <x:c r="B6" s="33" t="n">
        <x:v>0.853</x:v>
      </x:c>
      <x:c r="C6" s="33" t="n">
        <x:v>0.839</x:v>
      </x:c>
      <x:c r="D6" s="33" t="n">
        <x:v>0.846</x:v>
      </x:c>
      <x:c r="E6" s="33" t="n">
        <x:v>0.904</x:v>
      </x:c>
      <x:c r="F6" s="29" t="n">
        <x:v>61</x:v>
      </x:c>
      <x:c r="G6" s="18"/>
      <x:c r="H6" s="29" t="str">
        <x:v>HF-Eval-S2</x:v>
      </x:c>
      <x:c r="I6" s="32" t="n">
        <x:v>800</x:v>
      </x:c>
    </x:row>
    <x:row r="7">
      <x:c r="A7" s="29" t="str">
        <x:v>Model Gamma G-03</x:v>
      </x:c>
      <x:c r="B7" s="33" t="n">
        <x:v>0.831</x:v>
      </x:c>
      <x:c r="C7" s="33" t="n">
        <x:v>0.818</x:v>
      </x:c>
      <x:c r="D7" s="33" t="n">
        <x:v>0.824</x:v>
      </x:c>
      <x:c r="E7" s="33" t="n">
        <x:v>0.892</x:v>
      </x:c>
      <x:c r="F7" s="29" t="n">
        <x:v>49</x:v>
      </x:c>
      <x:c r="G7" s="18"/>
      <x:c r="H7" s="23"/>
    </x:row>
    <x:row r="8">
      <x:c r="A8" s="22"/>
      <x:c r="B8" s="18"/>
      <x:c r="C8" s="18"/>
      <x:c r="D8" s="18"/>
      <x:c r="E8" s="18"/>
      <x:c r="F8" s="18"/>
      <x:c r="G8" s="18"/>
      <x:c r="H8" s="23"/>
    </x:row>
    <x:row r="9">
      <x:c r="A9" s="22"/>
      <x:c r="B9" s="18"/>
      <x:c r="C9" s="18"/>
      <x:c r="D9" s="18"/>
      <x:c r="E9" s="18"/>
      <x:c r="F9" s="18"/>
      <x:c r="G9" s="18"/>
      <x:c r="H9" s="23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Benchmark Summary — Analysis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Derived metrics reference the immutable Raw Data sheet; values are synthetic and audit-ready.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7" t="str">
        <x:v>Metric</x:v>
      </x:c>
      <x:c r="B4" s="27" t="str">
        <x:v>Derived value</x:v>
      </x:c>
      <x:c r="C4" s="27" t="str">
        <x:v>Method</x:v>
      </x:c>
      <x:c r="D4" s="20"/>
      <x:c r="E4" s="27" t="str">
        <x:v>Chart label</x:v>
      </x:c>
      <x:c r="F4" s="27" t="str">
        <x:v>Chart metric</x:v>
      </x:c>
      <x:c r="G4" s="20"/>
      <x:c r="H4" s="21"/>
    </x:row>
    <x:row r="5">
      <x:c r="A5" s="29" t="str">
        <x:v>Mean macro F1</x:v>
      </x:c>
      <x:c r="B5" s="33" t="n">
        <x:f>AVERAGE('Raw Data'!D5:D7)</x:f>
        <x:v>0.8476666666666666</x:v>
      </x:c>
      <x:c r="C5" s="29" t="str">
        <x:v>Arithmetic mean of raw rows</x:v>
      </x:c>
      <x:c r="D5" s="18"/>
      <x:c r="E5" s="29" t="str">
        <x:f>'Raw Data'!A5</x:f>
        <x:v>Model Alpha M-14</x:v>
      </x:c>
      <x:c r="F5" s="33" t="n">
        <x:f>'Raw Data'!D5</x:f>
        <x:v>0.873</x:v>
      </x:c>
      <x:c r="G5" s="18"/>
      <x:c r="H5" s="23"/>
    </x:row>
    <x:row r="6">
      <x:c r="A6" s="29" t="str">
        <x:v>Maximum</x:v>
      </x:c>
      <x:c r="B6" s="33" t="n">
        <x:f>MAX('Raw Data'!D5:D7)</x:f>
        <x:v>0.873</x:v>
      </x:c>
      <x:c r="C6" s="29" t="str">
        <x:v>MAX over raw metric</x:v>
      </x:c>
      <x:c r="D6" s="18"/>
      <x:c r="E6" s="29" t="str">
        <x:f>'Raw Data'!A6</x:f>
        <x:v>Model Beta B-07</x:v>
      </x:c>
      <x:c r="F6" s="33" t="n">
        <x:f>'Raw Data'!D6</x:f>
        <x:v>0.846</x:v>
      </x:c>
      <x:c r="G6" s="18"/>
      <x:c r="H6" s="23"/>
    </x:row>
    <x:row r="7">
      <x:c r="A7" s="29" t="str">
        <x:v>Minimum</x:v>
      </x:c>
      <x:c r="B7" s="33" t="n">
        <x:f>MIN('Raw Data'!D5:D7)</x:f>
        <x:v>0.824</x:v>
      </x:c>
      <x:c r="C7" s="29" t="str">
        <x:v>MIN over raw metric</x:v>
      </x:c>
      <x:c r="D7" s="18"/>
      <x:c r="E7" s="29" t="str">
        <x:f>'Raw Data'!A7</x:f>
        <x:v>Model Gamma G-03</x:v>
      </x:c>
      <x:c r="F7" s="33" t="n">
        <x:f>'Raw Data'!D7</x:f>
        <x:v>0.824</x:v>
      </x:c>
      <x:c r="G7" s="18"/>
      <x:c r="H7" s="23"/>
    </x:row>
    <x:row r="8">
      <x:c r="A8" s="29" t="str">
        <x:v>Suite record coverage</x:v>
      </x:c>
      <x:c r="B8" s="29" t="n">
        <x:f>SUM('Raw Data'!I5:I6)</x:f>
        <x:v>2400</x:v>
      </x:c>
      <x:c r="C8" s="29" t="str">
        <x:v>SUM of S1 and S2 partitions</x:v>
      </x:c>
      <x:c r="D8" s="18"/>
      <x:c r="E8" s="18"/>
      <x:c r="F8" s="34"/>
      <x:c r="G8" s="18"/>
      <x:c r="H8" s="23"/>
    </x:row>
    <x:row r="9">
      <x:c r="A9" s="22"/>
      <x:c r="B9" s="18"/>
      <x:c r="C9" s="18"/>
      <x:c r="D9" s="18"/>
      <x:c r="E9" s="18"/>
      <x:c r="F9" s="34"/>
      <x:c r="G9" s="18"/>
      <x:c r="H9" s="23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84b66b721c0488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Benchmark Summary — Results &amp; Decision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Visible source lineage: Helix Forge Lab · run R184 · 2026-07-13 · HF-Eval-S1/S2 v3.2 · synthetic only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7" t="str">
        <x:v>Decision metric</x:v>
      </x:c>
      <x:c r="B4" s="27" t="str">
        <x:v>Value</x:v>
      </x:c>
      <x:c r="C4" s="20"/>
      <x:c r="D4" s="20"/>
      <x:c r="E4" s="20"/>
      <x:c r="F4" s="20"/>
      <x:c r="G4" s="20"/>
      <x:c r="H4" s="21"/>
    </x:row>
    <x:row r="5">
      <x:c r="A5" s="29" t="str">
        <x:v>Mean macro F1</x:v>
      </x:c>
      <x:c r="B5" s="33" t="n">
        <x:f>'Analysis'!B5</x:f>
        <x:v>0.8476666666666666</x:v>
      </x:c>
      <x:c r="C5" s="18"/>
      <x:c r="D5" s="18"/>
      <x:c r="E5" s="18"/>
      <x:c r="F5" s="18"/>
      <x:c r="G5" s="18"/>
      <x:c r="H5" s="23"/>
    </x:row>
    <x:row r="6">
      <x:c r="A6" s="29" t="str">
        <x:v>Benchmark ceiling</x:v>
      </x:c>
      <x:c r="B6" s="33" t="n">
        <x:f>'Analysis'!B6</x:f>
        <x:v>0.873</x:v>
      </x:c>
      <x:c r="C6" s="18"/>
      <x:c r="D6" s="18"/>
      <x:c r="E6" s="18"/>
      <x:c r="F6" s="18"/>
      <x:c r="G6" s="18"/>
      <x:c r="H6" s="23"/>
    </x:row>
    <x:row r="7">
      <x:c r="A7" s="29" t="str">
        <x:v>Benchmark floor</x:v>
      </x:c>
      <x:c r="B7" s="33" t="n">
        <x:f>'Analysis'!B7</x:f>
        <x:v>0.824</x:v>
      </x:c>
      <x:c r="C7" s="18"/>
      <x:c r="D7" s="18"/>
      <x:c r="E7" s="18"/>
      <x:c r="F7" s="18"/>
      <x:c r="G7" s="18"/>
      <x:c r="H7" s="23"/>
    </x:row>
    <x:row r="8">
      <x:c r="A8" s="29" t="str">
        <x:v>Synthetic record coverage</x:v>
      </x:c>
      <x:c r="B8" s="35" t="n">
        <x:f>'Analysis'!B8</x:f>
        <x:v>2400</x:v>
      </x:c>
      <x:c r="C8" s="18"/>
      <x:c r="D8" s="18"/>
      <x:c r="E8" s="18"/>
      <x:c r="F8" s="18"/>
      <x:c r="G8" s="18"/>
      <x:c r="H8" s="23"/>
    </x:row>
    <x:row r="9">
      <x:c r="A9" s="22"/>
      <x:c r="B9" s="18"/>
      <x:c r="C9" s="18"/>
      <x:c r="D9" s="18"/>
      <x:c r="E9" s="18"/>
      <x:c r="F9" s="18"/>
      <x:c r="G9" s="18"/>
      <x:c r="H9" s="23"/>
    </x:row>
    <x:row r="10">
      <x:c r="A10" s="39" t="str">
        <x:v>Recommendation: Advance Model Alpha M-14 to monitored release review.</x:v>
      </x:c>
      <x:c r="B10" s="40"/>
      <x:c r="C10" s="40"/>
      <x:c r="D10" s="40"/>
      <x:c r="E10" s="40"/>
      <x:c r="F10" s="40"/>
      <x:c r="G10" s="40"/>
      <x:c r="H10" s="41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43" t="str">
        <x:v>Audit note: all records, labels, and run artifacts are fictional; no external source, live data, or personal data was used.</x:v>
      </x:c>
      <x:c r="B12" s="43"/>
      <x:c r="C12" s="43"/>
      <x:c r="D12" s="43"/>
      <x:c r="E12" s="43"/>
      <x:c r="F12" s="43"/>
      <x:c r="G12" s="43"/>
      <x:c r="H12" s="43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 t="str">
        <x:v>Seed anchor: Helix Forge Lab | Model Alpha M-14 | 2026-07-13 | run R184 | F1 0.873</x:v>
      </x:c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  <x:mergeCell ref="A10:H10"/>
    <x:mergeCell ref="A12:H12"/>
    <x:mergeCell ref="A14:H14"/>
  </x:mergeCells>
  <x:pageMargins left="0.7" right="0.7" top="0.75" bottom="0.75" header="0.3" footer="0.3"/>
</x:worksheet>
</file>