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c394142872004bd4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Inputs" sheetId="1" r:id="R152c93eb62b04db9"/>
    <x:sheet xmlns:r="http://schemas.openxmlformats.org/officeDocument/2006/relationships" name="Timeline" sheetId="2" r:id="R517461f0902b4bc7"/>
    <x:sheet xmlns:r="http://schemas.openxmlformats.org/officeDocument/2006/relationships" name="Review" sheetId="3" r:id="R823f273ddd744257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5">
    <x:numFmt numFmtId="200" formatCode="0"/>
    <x:numFmt numFmtId="201" formatCode="0.00"/>
    <x:numFmt numFmtId="202" formatCode="#,##0"/>
    <x:numFmt numFmtId="203" formatCode="0.0%"/>
    <x:numFmt numFmtId="204" formatCode="0.00%"/>
  </x:numFmts>
  <x:fonts count="4">
    <x:font>
      <x:sz val="11"/>
      <x:name val="Carlito"/>
    </x:font>
    <x:font>
      <x:b/>
      <x:sz val="16"/>
      <x:color rgb="FFFFFFFF"/>
      <x:name val="Carlito"/>
    </x:font>
    <x:font>
      <x:i/>
      <x:sz val="11"/>
      <x:color rgb="FF000000"/>
      <x:name val="Carlito"/>
    </x:font>
    <x:font>
      <x:b/>
      <x:sz val="11"/>
      <x:name val="Carlito"/>
    </x:font>
  </x:fonts>
  <x:fills count="5">
    <x:fill>
      <x:patternFill patternType="none"/>
    </x:fill>
    <x:fill>
      <x:patternFill patternType="gray125"/>
    </x:fill>
    <x:fill>
      <x:patternFill patternType="solid">
        <x:fgColor rgb="FF000000"/>
      </x:patternFill>
    </x:fill>
    <x:fill>
      <x:patternFill patternType="solid">
        <x:fgColor rgb="FFEAF4FF"/>
      </x:patternFill>
    </x:fill>
    <x:fill>
      <x:patternFill patternType="solid">
        <x:fgColor rgb="FFEDEDED"/>
      </x:patternFill>
    </x:fill>
  </x:fills>
  <x:borders count="20">
    <x:border/>
    <x:border>
      <x:left style="thin">
        <x:color rgb="FFB8BCC4"/>
      </x:left>
      <x:top style="thin">
        <x:color rgb="FFB8BCC4"/>
      </x:top>
      <x:bottom style="thin">
        <x:color rgb="FFB8BCC4"/>
      </x:bottom>
    </x:border>
    <x:border>
      <x:top style="thin">
        <x:color rgb="FFB8BCC4"/>
      </x:top>
      <x:bottom style="thin">
        <x:color rgb="FFB8BCC4"/>
      </x:bottom>
    </x:border>
    <x:border>
      <x:right style="thin">
        <x:color rgb="FFB8BCC4"/>
      </x:right>
      <x:top style="thin">
        <x:color rgb="FFB8BCC4"/>
      </x:top>
      <x:bottom style="thin">
        <x:color rgb="FFB8BCC4"/>
      </x:bottom>
    </x:border>
    <x:border>
      <x:left style="thin">
        <x:color rgb="FFB8BCC4"/>
      </x:left>
      <x:right style="thin">
        <x:color rgb="FFD9D9D9"/>
      </x:right>
      <x:top style="thin">
        <x:color rgb="FFB8BCC4"/>
      </x:top>
      <x:bottom style="thin">
        <x:color rgb="FFD9D9D9"/>
      </x:bottom>
    </x:border>
    <x:border>
      <x:left style="thin">
        <x:color rgb="FFD9D9D9"/>
      </x:left>
      <x:right style="thin">
        <x:color rgb="FFD9D9D9"/>
      </x:right>
      <x:top style="thin">
        <x:color rgb="FFB8BCC4"/>
      </x:top>
      <x:bottom style="thin">
        <x:color rgb="FFD9D9D9"/>
      </x:bottom>
    </x:border>
    <x:border>
      <x:left style="thin">
        <x:color rgb="FFD9D9D9"/>
      </x:left>
      <x:top style="thin">
        <x:color rgb="FFB8BCC4"/>
      </x:top>
      <x:bottom style="thin">
        <x:color rgb="FFD9D9D9"/>
      </x:bottom>
    </x:border>
    <x:border>
      <x:left style="thin">
        <x:color rgb="FFB8BCC4"/>
      </x:left>
      <x:right style="thin">
        <x:color rgb="FFD9D9D9"/>
      </x:right>
      <x:top style="thin">
        <x:color rgb="FFD9D9D9"/>
      </x:top>
      <x:bottom style="thin">
        <x:color rgb="FFD9D9D9"/>
      </x:bottom>
    </x:border>
    <x:border>
      <x:left style="thin">
        <x:color rgb="FFD9D9D9"/>
      </x:left>
      <x:right style="thin">
        <x:color rgb="FFD9D9D9"/>
      </x:right>
      <x:top style="thin">
        <x:color rgb="FFD9D9D9"/>
      </x:top>
      <x:bottom style="thin">
        <x:color rgb="FFD9D9D9"/>
      </x:bottom>
    </x:border>
    <x:border>
      <x:left style="thin">
        <x:color rgb="FFD9D9D9"/>
      </x:left>
      <x:top style="thin">
        <x:color rgb="FFD9D9D9"/>
      </x:top>
      <x:bottom style="thin">
        <x:color rgb="FFD9D9D9"/>
      </x:bottom>
    </x:border>
    <x:border>
      <x:left style="thin">
        <x:color rgb="FFB8BCC4"/>
      </x:left>
      <x:right style="thin">
        <x:color rgb="FFD9D9D9"/>
      </x:right>
      <x:top style="thin">
        <x:color rgb="FFD9D9D9"/>
      </x:top>
      <x:bottom style="thin">
        <x:color rgb="FFB8BCC4"/>
      </x:bottom>
    </x:border>
    <x:border>
      <x:left style="thin">
        <x:color rgb="FFD9D9D9"/>
      </x:left>
      <x:right style="thin">
        <x:color rgb="FFD9D9D9"/>
      </x:right>
      <x:top style="thin">
        <x:color rgb="FFD9D9D9"/>
      </x:top>
      <x:bottom style="thin">
        <x:color rgb="FFB8BCC4"/>
      </x:bottom>
    </x:border>
    <x:border>
      <x:left style="thin">
        <x:color rgb="FFD9D9D9"/>
      </x:left>
      <x:top style="thin">
        <x:color rgb="FFD9D9D9"/>
      </x:top>
      <x:bottom style="thin">
        <x:color rgb="FFB8BCC4"/>
      </x:bottom>
    </x:border>
    <x:border>
      <x:right style="thin">
        <x:color rgb="FFD9D9D9"/>
      </x:right>
      <x:bottom style="thin">
        <x:color rgb="FFD9D9D9"/>
      </x:bottom>
    </x:border>
    <x:border>
      <x:left style="thin">
        <x:color rgb="FFD9D9D9"/>
      </x:left>
      <x:right style="thin">
        <x:color rgb="FFD9D9D9"/>
      </x:right>
      <x:bottom style="thin">
        <x:color rgb="FFD9D9D9"/>
      </x:bottom>
    </x:border>
    <x:border>
      <x:left style="thin">
        <x:color rgb="FFD9D9D9"/>
      </x:left>
      <x:bottom style="thin">
        <x:color rgb="FFD9D9D9"/>
      </x:bottom>
    </x:border>
    <x:border>
      <x:right style="thin">
        <x:color rgb="FFD9D9D9"/>
      </x:right>
      <x:top style="thin">
        <x:color rgb="FFD9D9D9"/>
      </x:top>
      <x:bottom style="thin">
        <x:color rgb="FFD9D9D9"/>
      </x:bottom>
    </x:border>
    <x:border>
      <x:right style="thin">
        <x:color rgb="FFD9D9D9"/>
      </x:right>
      <x:top style="thin">
        <x:color rgb="FFD9D9D9"/>
      </x:top>
    </x:border>
    <x:border>
      <x:left style="thin">
        <x:color rgb="FFD9D9D9"/>
      </x:left>
      <x:right style="thin">
        <x:color rgb="FFD9D9D9"/>
      </x:right>
      <x:top style="thin">
        <x:color rgb="FFD9D9D9"/>
      </x:top>
    </x:border>
    <x:border>
      <x:left style="thin">
        <x:color rgb="FFD9D9D9"/>
      </x:left>
      <x:top style="thin">
        <x:color rgb="FFD9D9D9"/>
      </x:top>
    </x:border>
  </x:borders>
  <x:cellStyleXfs count="1">
    <x:xf numFmtId="0" fontId="0" fillId="0" borderId="0"/>
  </x:cellStyleXfs>
  <x:cellXfs count="68">
    <x:xf numFmtId="0" fontId="0" fillId="0" borderId="0" xfId="0"/>
    <x:xf numFmtId="200" fontId="0" fillId="0" borderId="0" xfId="0" applyNumberFormat="1" applyFont="1" applyFill="1" applyBorder="1"/>
    <x:xf numFmtId="201" fontId="0" fillId="0" borderId="0" xfId="0" applyNumberFormat="1" applyFont="1" applyFill="1" applyBorder="1"/>
    <x:xf numFmtId="202" fontId="0" fillId="0" borderId="0" xfId="0" applyNumberFormat="1" applyFont="1" applyFill="1" applyBorder="1"/>
    <x:xf numFmtId="203" fontId="0" fillId="0" borderId="0" xfId="0" applyNumberFormat="1" applyFont="1" applyFill="1" applyBorder="1"/>
    <x:xf numFmtId="204" fontId="0" fillId="0" borderId="0" xfId="0" applyNumberFormat="1" applyFont="1" applyFill="1" applyBorder="1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horizontal="left"/>
    </x:xf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0" fillId="4" borderId="0" xfId="0" applyNumberFormat="1" applyFont="1" applyFill="1" applyBorder="1"/>
    <x:xf numFmtId="0" fontId="3" fillId="4" borderId="0" xfId="0" applyNumberFormat="1" applyFont="1" applyFill="1" applyBorder="1"/>
    <x:xf numFmtId="0" fontId="3" fillId="4" borderId="1" xfId="0" applyNumberFormat="1" applyFont="1" applyFill="1" applyBorder="1"/>
    <x:xf numFmtId="0" fontId="3" fillId="4" borderId="2" xfId="0" applyNumberFormat="1" applyFont="1" applyFill="1" applyBorder="1"/>
    <x:xf numFmtId="0" fontId="3" fillId="4" borderId="3" xfId="0" applyNumberFormat="1" applyFont="1" applyFill="1" applyBorder="1"/>
    <x:xf numFmtId="0" fontId="3" fillId="4" borderId="4" xfId="0" applyNumberFormat="1" applyFont="1" applyFill="1" applyBorder="1"/>
    <x:xf numFmtId="0" fontId="3" fillId="4" borderId="5" xfId="0" applyNumberFormat="1" applyFont="1" applyFill="1" applyBorder="1"/>
    <x:xf numFmtId="0" fontId="3" fillId="4" borderId="6" xfId="0" applyNumberFormat="1" applyFont="1" applyFill="1" applyBorder="1"/>
    <x:xf numFmtId="0" fontId="0" fillId="0" borderId="7" xfId="0" applyNumberFormat="1" applyFont="1" applyFill="1" applyBorder="1"/>
    <x:xf numFmtId="200" fontId="0" fillId="0" borderId="8" xfId="0" applyNumberFormat="1" applyFont="1" applyFill="1" applyBorder="1"/>
    <x:xf numFmtId="0" fontId="0" fillId="0" borderId="9" xfId="0" applyNumberFormat="1" applyFont="1" applyFill="1" applyBorder="1"/>
    <x:xf numFmtId="201" fontId="0" fillId="0" borderId="8" xfId="0" applyNumberFormat="1" applyFont="1" applyFill="1" applyBorder="1"/>
    <x:xf numFmtId="202" fontId="0" fillId="0" borderId="8" xfId="0" applyNumberFormat="1" applyFont="1" applyFill="1" applyBorder="1"/>
    <x:xf numFmtId="203" fontId="0" fillId="0" borderId="8" xfId="0" applyNumberFormat="1" applyFont="1" applyFill="1" applyBorder="1"/>
    <x:xf numFmtId="0" fontId="0" fillId="0" borderId="10" xfId="0" applyNumberFormat="1" applyFont="1" applyFill="1" applyBorder="1"/>
    <x:xf numFmtId="0" fontId="0" fillId="0" borderId="11" xfId="0" applyNumberFormat="1" applyFont="1" applyFill="1" applyBorder="1"/>
    <x:xf numFmtId="0" fontId="0" fillId="0" borderId="12" xfId="0" applyNumberFormat="1" applyFont="1" applyFill="1" applyBorder="1"/>
    <x:xf numFmtId="0" fontId="3" fillId="4" borderId="1" xfId="0" applyNumberFormat="1" applyFont="1" applyFill="1" applyBorder="1" applyAlignment="1">
      <x:alignment wrapText="1"/>
    </x:xf>
    <x:xf numFmtId="0" fontId="3" fillId="4" borderId="2" xfId="0" applyNumberFormat="1" applyFont="1" applyFill="1" applyBorder="1" applyAlignment="1">
      <x:alignment wrapText="1"/>
    </x:xf>
    <x:xf numFmtId="0" fontId="3" fillId="4" borderId="3" xfId="0" applyNumberFormat="1" applyFont="1" applyFill="1" applyBorder="1" applyAlignment="1">
      <x:alignment wrapText="1"/>
    </x:xf>
    <x:xf numFmtId="0" fontId="0" fillId="0" borderId="0" xfId="0" applyNumberFormat="1" applyFont="1" applyFill="1" applyBorder="1" applyAlignment="1">
      <x:alignment wrapText="1"/>
    </x:xf>
    <x:xf numFmtId="0" fontId="3" fillId="4" borderId="4" xfId="0" applyNumberFormat="1" applyFont="1" applyFill="1" applyBorder="1" applyAlignment="1">
      <x:alignment wrapText="1"/>
    </x:xf>
    <x:xf numFmtId="0" fontId="3" fillId="4" borderId="5" xfId="0" applyNumberFormat="1" applyFont="1" applyFill="1" applyBorder="1" applyAlignment="1">
      <x:alignment wrapText="1"/>
    </x:xf>
    <x:xf numFmtId="0" fontId="3" fillId="4" borderId="6" xfId="0" applyNumberFormat="1" applyFont="1" applyFill="1" applyBorder="1" applyAlignment="1">
      <x:alignment wrapText="1"/>
    </x:xf>
    <x:xf numFmtId="0" fontId="0" fillId="0" borderId="7" xfId="0" applyNumberFormat="1" applyFont="1" applyFill="1" applyBorder="1" applyAlignment="1">
      <x:alignment wrapText="1"/>
    </x:xf>
    <x:xf numFmtId="0" fontId="0" fillId="0" borderId="8" xfId="0" applyNumberFormat="1" applyFont="1" applyFill="1" applyBorder="1" applyAlignment="1">
      <x:alignment wrapText="1"/>
    </x:xf>
    <x:xf numFmtId="0" fontId="0" fillId="0" borderId="9" xfId="0" applyNumberFormat="1" applyFont="1" applyFill="1" applyBorder="1" applyAlignment="1">
      <x:alignment wrapText="1"/>
    </x:xf>
    <x:xf numFmtId="0" fontId="0" fillId="0" borderId="10" xfId="0" applyNumberFormat="1" applyFont="1" applyFill="1" applyBorder="1" applyAlignment="1">
      <x:alignment wrapText="1"/>
    </x:xf>
    <x:xf numFmtId="0" fontId="0" fillId="0" borderId="11" xfId="0" applyNumberFormat="1" applyFont="1" applyFill="1" applyBorder="1" applyAlignment="1">
      <x:alignment wrapText="1"/>
    </x:xf>
    <x:xf numFmtId="0" fontId="0" fillId="0" borderId="12" xfId="0" applyNumberFormat="1" applyFont="1" applyFill="1" applyBorder="1" applyAlignment="1">
      <x:alignment wrapText="1"/>
    </x:xf>
    <x:xf numFmtId="0" fontId="1" fillId="2" borderId="0" xfId="0" applyNumberFormat="1" applyFont="1" applyFill="1" applyBorder="1" applyAlignment="1">
      <x:alignment horizontal="left" wrapText="1"/>
    </x:xf>
    <x:xf numFmtId="0" fontId="2" fillId="3" borderId="0" xfId="0" applyNumberFormat="1" applyFont="1" applyFill="1" applyBorder="1" applyAlignment="1">
      <x:alignment wrapText="1"/>
    </x:xf>
    <x:xf numFmtId="200" fontId="0" fillId="0" borderId="8" xfId="0" applyNumberFormat="1" applyFont="1" applyFill="1" applyBorder="1" applyAlignment="1">
      <x:alignment wrapText="1"/>
    </x:xf>
    <x:xf numFmtId="201" fontId="0" fillId="0" borderId="8" xfId="0" applyNumberFormat="1" applyFont="1" applyFill="1" applyBorder="1" applyAlignment="1">
      <x:alignment wrapText="1"/>
    </x:xf>
    <x:xf numFmtId="202" fontId="0" fillId="0" borderId="8" xfId="0" applyNumberFormat="1" applyFont="1" applyFill="1" applyBorder="1" applyAlignment="1">
      <x:alignment wrapText="1"/>
    </x:xf>
    <x:xf numFmtId="203" fontId="0" fillId="0" borderId="8" xfId="0" applyNumberFormat="1" applyFont="1" applyFill="1" applyBorder="1" applyAlignment="1">
      <x:alignment wrapText="1"/>
    </x:xf>
    <x:xf numFmtId="202" fontId="0" fillId="0" borderId="0" xfId="0" applyNumberFormat="1" applyFont="1" applyFill="1" applyBorder="1" applyAlignment="1">
      <x:alignment wrapText="1"/>
    </x:xf>
    <x:xf numFmtId="204" fontId="0" fillId="0" borderId="0" xfId="0" applyNumberFormat="1" applyFont="1" applyFill="1" applyBorder="1" applyAlignment="1">
      <x:alignment wrapText="1"/>
    </x:xf>
    <x:xf numFmtId="0" fontId="3" fillId="4" borderId="13" xfId="0" applyNumberFormat="1" applyFont="1" applyFill="1" applyBorder="1"/>
    <x:xf numFmtId="0" fontId="3" fillId="4" borderId="14" xfId="0" applyNumberFormat="1" applyFont="1" applyFill="1" applyBorder="1"/>
    <x:xf numFmtId="0" fontId="3" fillId="4" borderId="15" xfId="0" applyNumberFormat="1" applyFont="1" applyFill="1" applyBorder="1"/>
    <x:xf numFmtId="0" fontId="0" fillId="0" borderId="16" xfId="0" applyNumberFormat="1" applyFont="1" applyFill="1" applyBorder="1"/>
    <x:xf numFmtId="0" fontId="0" fillId="0" borderId="8" xfId="0" applyNumberFormat="1" applyFont="1" applyFill="1" applyBorder="1"/>
    <x:xf numFmtId="202" fontId="0" fillId="0" borderId="9" xfId="0" applyNumberFormat="1" applyFont="1" applyFill="1" applyBorder="1"/>
    <x:xf numFmtId="0" fontId="0" fillId="0" borderId="17" xfId="0" applyNumberFormat="1" applyFont="1" applyFill="1" applyBorder="1"/>
    <x:xf numFmtId="0" fontId="0" fillId="0" borderId="18" xfId="0" applyNumberFormat="1" applyFont="1" applyFill="1" applyBorder="1"/>
    <x:xf numFmtId="202" fontId="0" fillId="0" borderId="19" xfId="0" applyNumberFormat="1" applyFont="1" applyFill="1" applyBorder="1"/>
    <x:xf numFmtId="204" fontId="0" fillId="0" borderId="9" xfId="0" applyNumberFormat="1" applyFont="1" applyFill="1" applyBorder="1"/>
    <x:xf numFmtId="0" fontId="0" fillId="0" borderId="19" xfId="0" applyNumberFormat="1" applyFont="1" applyFill="1" applyBorder="1"/>
    <x:xf numFmtId="0" fontId="1" fillId="2" borderId="0" xfId="0" applyNumberFormat="1" applyFont="1" applyFill="1" applyBorder="1" applyAlignment="1">
      <x:alignment wrapText="1"/>
    </x:xf>
    <x:xf numFmtId="0" fontId="3" fillId="4" borderId="13" xfId="0" applyNumberFormat="1" applyFont="1" applyFill="1" applyBorder="1" applyAlignment="1">
      <x:alignment wrapText="1"/>
    </x:xf>
    <x:xf numFmtId="0" fontId="3" fillId="4" borderId="15" xfId="0" applyNumberFormat="1" applyFont="1" applyFill="1" applyBorder="1" applyAlignment="1">
      <x:alignment wrapText="1"/>
    </x:xf>
    <x:xf numFmtId="0" fontId="0" fillId="0" borderId="16" xfId="0" applyNumberFormat="1" applyFont="1" applyFill="1" applyBorder="1" applyAlignment="1">
      <x:alignment wrapText="1"/>
    </x:xf>
    <x:xf numFmtId="202" fontId="0" fillId="0" borderId="9" xfId="0" applyNumberFormat="1" applyFont="1" applyFill="1" applyBorder="1" applyAlignment="1">
      <x:alignment wrapText="1"/>
    </x:xf>
    <x:xf numFmtId="204" fontId="0" fillId="0" borderId="9" xfId="0" applyNumberFormat="1" applyFont="1" applyFill="1" applyBorder="1" applyAlignment="1">
      <x:alignment wrapText="1"/>
    </x:xf>
    <x:xf numFmtId="0" fontId="0" fillId="0" borderId="17" xfId="0" applyNumberFormat="1" applyFont="1" applyFill="1" applyBorder="1" applyAlignment="1">
      <x:alignment wrapText="1"/>
    </x:xf>
    <x:xf numFmtId="0" fontId="0" fillId="0" borderId="19" xfId="0" applyNumberFormat="1" applyFont="1" applyFill="1" applyBorder="1" applyAlignment="1">
      <x:alignment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469c9c99b1f6416a" /><Relationship Type="http://schemas.openxmlformats.org/officeDocument/2006/relationships/theme" Target="/xl/theme/theme1.xml" Id="R2b223328c4a7460e" /><Relationship Type="http://schemas.openxmlformats.org/officeDocument/2006/relationships/sharedStrings" Target="/xl/sharedStrings.xml" Id="Re28303de1b124da8" /><Relationship Type="http://schemas.openxmlformats.org/officeDocument/2006/relationships/worksheet" Target="/xl/worksheets/sheet1.xml" Id="R152c93eb62b04db9" /><Relationship Type="http://schemas.openxmlformats.org/officeDocument/2006/relationships/worksheet" Target="/xl/worksheets/sheet2.xml" Id="R517461f0902b4bc7" /><Relationship Type="http://schemas.openxmlformats.org/officeDocument/2006/relationships/worksheet" Target="/xl/worksheets/sheet3.xml" Id="R823f273ddd744257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6" hidden="0" customWidth="1"/>
    <x:col min="2" max="2" width="16" hidden="0" customWidth="1"/>
    <x:col min="3" max="3" width="36" hidden="0" customWidth="1"/>
  </x:cols>
  <x:sheetData>
    <x:row r="1">
      <x:c r="A1" s="41" t="str">
        <x:v>2026 07 20 Postmortem Edge Dns Analysis Workbook Xlsx</x:v>
      </x:c>
      <x:c r="B1" s="41"/>
      <x:c r="C1" s="41"/>
    </x:row>
    <x:row r="2">
      <x:c r="A2" s="42" t="str">
        <x:v>Northstar Transit Cloud | Edge SVC-08 | p02-full-003346</x:v>
      </x:c>
      <x:c r="B2" s="42"/>
      <x:c r="C2" s="42"/>
    </x:row>
    <x:row r="3">
      <x:c r="A3" s="31"/>
      <x:c r="B3" s="31"/>
      <x:c r="C3" s="31"/>
    </x:row>
    <x:row r="4">
      <x:c r="A4" s="32" t="str">
        <x:v>Metric</x:v>
      </x:c>
      <x:c r="B4" s="33" t="str">
        <x:v>Value</x:v>
      </x:c>
      <x:c r="C4" s="34" t="str">
        <x:v>Unit</x:v>
      </x:c>
    </x:row>
    <x:row r="5">
      <x:c r="A5" s="35" t="str">
        <x:v>Identity p95</x:v>
      </x:c>
      <x:c r="B5" s="43" t="n">
        <x:v>286</x:v>
      </x:c>
      <x:c r="C5" s="37" t="str">
        <x:v>ms</x:v>
      </x:c>
    </x:row>
    <x:row r="6">
      <x:c r="A6" s="35" t="str">
        <x:v>Peak p95</x:v>
      </x:c>
      <x:c r="B6" s="44" t="n">
        <x:v>1.84</x:v>
      </x:c>
      <x:c r="C6" s="37" t="str">
        <x:v>seconds</x:v>
      </x:c>
    </x:row>
    <x:row r="7">
      <x:c r="A7" s="35" t="str">
        <x:v>Q-07 maximum</x:v>
      </x:c>
      <x:c r="B7" s="45" t="n">
        <x:v>38420</x:v>
      </x:c>
      <x:c r="C7" s="37" t="str">
        <x:v>jobs</x:v>
      </x:c>
    </x:row>
    <x:row r="8">
      <x:c r="A8" s="35" t="str">
        <x:v>Error allowance remaining</x:v>
      </x:c>
      <x:c r="B8" s="46" t="n">
        <x:v>0.024</x:v>
      </x:c>
      <x:c r="C8" s="37" t="str">
        <x:v>request-error allowance</x:v>
      </x:c>
    </x:row>
    <x:row r="9">
      <x:c r="A9" s="35" t="str">
        <x:v>Identity p95</x:v>
      </x:c>
      <x:c r="B9" s="45" t="n">
        <x:v>286</x:v>
      </x:c>
      <x:c r="C9" s="37" t="str">
        <x:v>ms below 350 ms</x:v>
      </x:c>
    </x:row>
    <x:row r="10">
      <x:c r="A10" s="35" t="str">
        <x:v>Post-mitigation headroom</x:v>
      </x:c>
      <x:c r="B10" s="46" t="n">
        <x:v>0.31</x:v>
      </x:c>
      <x:c r="C10" s="37" t="str">
        <x:v>percent</x:v>
      </x:c>
    </x:row>
    <x:row r="11">
      <x:c r="A11" s="35" t="str">
        <x:v>Artifact fingerprint</x:v>
      </x:c>
      <x:c r="B11" s="45" t="n">
        <x:v>2852</x:v>
      </x:c>
      <x:c r="C11" s="37" t="str">
        <x:v>variant</x:v>
      </x:c>
    </x:row>
    <x:row r="12">
      <x:c r="A12" s="38" t="str">
        <x:v>Evidence relationship</x:v>
      </x:c>
      <x:c r="B12" s="39" t="str">
        <x:v>rel.recurrence.2026-q2</x:v>
      </x:c>
      <x:c r="C12" s="40" t="str">
        <x:v>contract</x:v>
      </x:c>
    </x:row>
    <x:row r="13">
      <x:c r="A13" s="31"/>
      <x:c r="B13" s="31"/>
      <x:c r="C13" s="31"/>
    </x:row>
    <x:row r="14">
      <x:c r="A14" s="31" t="str">
        <x:v>Baseline demand</x:v>
      </x:c>
      <x:c r="B14" s="47" t="n">
        <x:v>1850</x:v>
      </x:c>
      <x:c r="C14" s="31" t="str">
        <x:v>requests/s</x:v>
      </x:c>
    </x:row>
    <x:row r="15">
      <x:c r="A15" s="31" t="str">
        <x:v>Peak demand</x:v>
      </x:c>
      <x:c r="B15" s="47" t="n">
        <x:v>2420</x:v>
      </x:c>
      <x:c r="C15" s="31" t="str">
        <x:v>requests/s</x:v>
      </x:c>
    </x:row>
    <x:row r="16">
      <x:c r="A16" s="31" t="str">
        <x:v>Availability SLO</x:v>
      </x:c>
      <x:c r="B16" s="48" t="n">
        <x:v>0.9995</x:v>
      </x:c>
      <x:c r="C16" s="31" t="str">
        <x:v>percent</x:v>
      </x:c>
    </x:row>
    <x:row r="17">
      <x:c r="A17" s="31" t="str">
        <x:v>Lowest availability</x:v>
      </x:c>
      <x:c r="B17" s="48" t="n">
        <x:v>0.9214</x:v>
      </x:c>
      <x:c r="C17" s="31" t="str">
        <x:v>percent</x:v>
      </x:c>
    </x:row>
    <x:row r="18">
      <x:c r="A18" s="31"/>
      <x:c r="B18" s="31"/>
      <x:c r="C18" s="31"/>
    </x:row>
    <x:row r="19">
      <x:c r="A19" s="31"/>
      <x:c r="B19" s="31"/>
      <x:c r="C19" s="31"/>
    </x:row>
    <x:row r="20">
      <x:c r="A20" s="32" t="str">
        <x:v>Scope facts and canonical corpus anchors</x:v>
      </x:c>
      <x:c r="B20" s="33"/>
      <x:c r="C20" s="34"/>
    </x:row>
    <x:row r="21">
      <x:c r="A21" s="35" t="str">
        <x:v>Dependency metric</x:v>
      </x:c>
      <x:c r="B21" s="36" t="str">
        <x:v>Identity p95</x:v>
      </x:c>
      <x:c r="C21" s="37"/>
    </x:row>
    <x:row r="22">
      <x:c r="A22" s="35" t="str">
        <x:v>Dependency source</x:v>
      </x:c>
      <x:c r="B22" s="36" t="str">
        <x:v>documents/operations/postmortems/evidence/metrics/2026-07-13-postmortem-identity-cache-metrics-csv-s001473.csv</x:v>
      </x:c>
      <x:c r="C22" s="37"/>
    </x:row>
    <x:row r="23">
      <x:c r="A23" s="35" t="str">
        <x:v>Focus</x:v>
      </x:c>
      <x:c r="B23" s="36" t="str">
        <x:v>org.ntc · inc.inc-260519 · rel.recurrence.2026-q2 · date.2026-07-20</x:v>
      </x:c>
      <x:c r="C23" s="37"/>
    </x:row>
    <x:row r="24">
      <x:c r="A24" s="35" t="str">
        <x:v>Checkout latency SLO</x:v>
      </x:c>
      <x:c r="B24" s="36" t="str">
        <x:v>99.0% below 400 ms</x:v>
      </x:c>
      <x:c r="C24" s="37"/>
    </x:row>
    <x:row r="25">
      <x:c r="A25" s="35" t="str">
        <x:v>Canonical corpus anchors</x:v>
      </x:c>
      <x:c r="B25" s="36" t="str">
        <x:v>Northstar Transit Cloud | Checkout SVC-17 | 2026-07-13 | error budget 2.4% | INC-260713</x:v>
      </x:c>
      <x:c r="C25" s="37"/>
    </x:row>
    <x:row r="26">
      <x:c r="A26" s="38" t="str">
        <x:v>Variant</x:v>
      </x:c>
      <x:c r="B26" s="39" t="str">
        <x:v>37</x:v>
      </x:c>
      <x:c r="C26" s="40"/>
    </x:row>
  </x:sheetData>
  <x:mergeCells>
    <x:mergeCell ref="A1:C1"/>
    <x:mergeCell ref="A2:C2"/>
    <x:mergeCell ref="A20:C20"/>
    <x:mergeCell ref="B21:C21"/>
    <x:mergeCell ref="B22:C22"/>
    <x:mergeCell ref="B23:C23"/>
    <x:mergeCell ref="B24:C24"/>
    <x:mergeCell ref="B25:C25"/>
    <x:mergeCell ref="B26:C26"/>
  </x:mergeCells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0" hidden="0" customWidth="1"/>
    <x:col min="2" max="2" width="18" hidden="0" customWidth="1"/>
    <x:col min="3" max="3" width="42" hidden="0" customWidth="1"/>
  </x:cols>
  <x:sheetData>
    <x:row r="1">
      <x:c r="A1" s="7" t="str">
        <x:v>Incident evidence: exact frozen milestones</x:v>
      </x:c>
      <x:c r="B1" s="7"/>
      <x:c r="C1" s="7"/>
    </x:row>
    <x:row r="3">
      <x:c r="A3" s="49" t="str">
        <x:v>UTC</x:v>
      </x:c>
      <x:c r="B3" s="50" t="str">
        <x:v>Status</x:v>
      </x:c>
      <x:c r="C3" s="51" t="str">
        <x:v>Canonical event</x:v>
      </x:c>
    </x:row>
    <x:row r="4">
      <x:c r="A4" s="52" t="str">
        <x:v>09:18</x:v>
      </x:c>
      <x:c r="B4" s="53" t="str">
        <x:v>DEP start</x:v>
      </x:c>
      <x:c r="C4" s="21" t="str">
        <x:v>DEP-260713-017 start</x:v>
      </x:c>
    </x:row>
    <x:row r="5">
      <x:c r="A5" s="52" t="str">
        <x:v>09:42</x:v>
      </x:c>
      <x:c r="B5" s="53" t="str">
        <x:v>Warning</x:v>
      </x:c>
      <x:c r="C5" s="21" t="str">
        <x:v>Q-07 warning threshold 12,000</x:v>
      </x:c>
    </x:row>
    <x:row r="6">
      <x:c r="A6" s="52" t="str">
        <x:v>09:47</x:v>
      </x:c>
      <x:c r="B6" s="53" t="str">
        <x:v>S2</x:v>
      </x:c>
      <x:c r="C6" s="21" t="str">
        <x:v>S2 declared</x:v>
      </x:c>
    </x:row>
    <x:row r="7">
      <x:c r="A7" s="52" t="str">
        <x:v>09:54</x:v>
      </x:c>
      <x:c r="B7" s="53" t="str">
        <x:v>Rate limit</x:v>
      </x:c>
      <x:c r="C7" s="21" t="str">
        <x:v>Authorizations rate-limited; Identity stayed available</x:v>
      </x:c>
    </x:row>
    <x:row r="8">
      <x:c r="A8" s="52" t="str">
        <x:v>10:02</x:v>
      </x:c>
      <x:c r="B8" s="53" t="str">
        <x:v>Rollback approval</x:v>
      </x:c>
      <x:c r="C8" s="21" t="str">
        <x:v>Rollback approval</x:v>
      </x:c>
    </x:row>
    <x:row r="9">
      <x:c r="A9" s="52" t="str">
        <x:v>10:11</x:v>
      </x:c>
      <x:c r="B9" s="53" t="str">
        <x:v>Concurrency</x:v>
      </x:c>
      <x:c r="C9" s="21" t="str">
        <x:v>Consumer concurrency increased</x:v>
      </x:c>
    </x:row>
    <x:row r="10">
      <x:c r="A10" s="52" t="str">
        <x:v>10:24</x:v>
      </x:c>
      <x:c r="B10" s="53" t="str">
        <x:v>Recovery</x:v>
      </x:c>
      <x:c r="C10" s="21" t="str">
        <x:v>Q-07 below 8,000; short-window burn recovery</x:v>
      </x:c>
    </x:row>
    <x:row r="11">
      <x:c r="A11" s="52" t="str">
        <x:v>10:31</x:v>
      </x:c>
      <x:c r="B11" s="53" t="str">
        <x:v>Impact close</x:v>
      </x:c>
      <x:c r="C11" s="21" t="str">
        <x:v>Impact ended</x:v>
      </x:c>
    </x:row>
    <x:row r="12">
      <x:c r="A12" s="52" t="str">
        <x:v>10:42</x:v>
      </x:c>
      <x:c r="B12" s="53" t="str">
        <x:v>Resolution</x:v>
      </x:c>
      <x:c r="C12" s="21" t="str">
        <x:v>Resolution; enhanced monitoring 24 hours</x:v>
      </x:c>
    </x:row>
    <x:row r="13">
      <x:c r="A13" s="52"/>
      <x:c r="B13" s="53"/>
      <x:c r="C13" s="21"/>
    </x:row>
    <x:row r="14">
      <x:c r="A14" s="52" t="str">
        <x:v>Maximum observed Q-07 depth</x:v>
      </x:c>
      <x:c r="B14" s="53"/>
      <x:c r="C14" s="54" t="n">
        <x:v>38420</x:v>
      </x:c>
    </x:row>
    <x:row r="15">
      <x:c r="A15" s="52" t="str">
        <x:v>Q-07 warning threshold</x:v>
      </x:c>
      <x:c r="B15" s="53"/>
      <x:c r="C15" s="54" t="n">
        <x:v>12000</x:v>
      </x:c>
    </x:row>
    <x:row r="16">
      <x:c r="A16" s="55" t="str">
        <x:v>Q-07 critical threshold</x:v>
      </x:c>
      <x:c r="B16" s="56"/>
      <x:c r="C16" s="57" t="n">
        <x:v>24000</x:v>
      </x:c>
    </x:row>
    <x:row r="18" ht="72" customHeight="1">
      <x:c r="A18" s="31" t="str">
        <x:v>Dependency citation</x:v>
      </x:c>
      <x:c r="B18" s="31"/>
      <x:c r="C18" s="31" t="str">
        <x:v>documents/operations/postmortems/evidence/metrics/2026-07-13-postmortem-identity-cache-metrics-csv-s001473.csv</x:v>
      </x:c>
    </x:row>
    <x:row r="19" ht="72" customHeight="1">
      <x:c r="A19" s="31" t="str">
        <x:v>Dependency excerpt</x:v>
      </x:c>
      <x:c r="B19" s="31"/>
      <x:c r="C19" s="31" t="str">
        <x:v>Dependency evidence: Identity p95 = 286 ms; source p02-full-001473, row:canonical-metric.</x:v>
      </x:c>
    </x:row>
  </x:sheetData>
  <x:mergeCells>
    <x:mergeCell ref="A1:C1"/>
    <x:mergeCell ref="A14:B14"/>
    <x:mergeCell ref="A15:B15"/>
    <x:mergeCell ref="A16:B16"/>
    <x:mergeCell ref="A18:B18"/>
    <x:mergeCell ref="A19:B19"/>
  </x:mergeCells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30" hidden="0" customWidth="1"/>
    <x:col min="2" max="2" width="32" hidden="0" customWidth="1"/>
  </x:cols>
  <x:sheetData>
    <x:row r="1">
      <x:c r="A1" s="60" t="str">
        <x:v>incident review: formula-driven conclusions</x:v>
      </x:c>
      <x:c r="B1" s="60"/>
    </x:row>
    <x:row r="2">
      <x:c r="A2" s="31"/>
      <x:c r="B2" s="31"/>
    </x:row>
    <x:row r="3">
      <x:c r="A3" s="61" t="str">
        <x:v>Derived measure</x:v>
      </x:c>
      <x:c r="B3" s="62" t="str">
        <x:v>Formula result</x:v>
      </x:c>
    </x:row>
    <x:row r="4">
      <x:c r="A4" s="63" t="str">
        <x:v>Queue above critical (38,420 − 24,000)</x:v>
      </x:c>
      <x:c r="B4" s="64" t="n">
        <x:f>Timeline!$C$14-Timeline!$C$16</x:f>
        <x:v>14420</x:v>
      </x:c>
    </x:row>
    <x:row r="5">
      <x:c r="A5" s="63" t="str">
        <x:v>Demand increase</x:v>
      </x:c>
      <x:c r="B5" s="65" t="n">
        <x:f>('Inputs'!$B$15-'Inputs'!$B$14)/'Inputs'!$B$14</x:f>
        <x:v>0.3081081081081081</x:v>
      </x:c>
    </x:row>
    <x:row r="6">
      <x:c r="A6" s="63" t="str">
        <x:v>Availability gap to SLO</x:v>
      </x:c>
      <x:c r="B6" s="65" t="n">
        <x:f>'Inputs'!$B$16-'Inputs'!$B$17</x:f>
        <x:v>0.07810000000000006</x:v>
      </x:c>
    </x:row>
    <x:row r="7">
      <x:c r="A7" s="66" t="str">
        <x:v>Artifact control ID</x:v>
      </x:c>
      <x:c r="B7" s="67" t="str">
        <x:v>p02-full-003346</x:v>
      </x:c>
    </x:row>
    <x:row r="8">
      <x:c r="A8" s="31"/>
      <x:c r="B8" s="31"/>
    </x:row>
    <x:row r="9">
      <x:c r="A9" s="31"/>
      <x:c r="B9" s="31"/>
    </x:row>
    <x:row r="10">
      <x:c r="A10" s="61" t="str">
        <x:v>Decision</x:v>
      </x:c>
      <x:c r="B10" s="62" t="str">
        <x:v>Evidence</x:v>
      </x:c>
    </x:row>
    <x:row r="11">
      <x:c r="A11" s="63" t="str">
        <x:v>S2 declared</x:v>
      </x:c>
      <x:c r="B11" s="37" t="str">
        <x:v>09:47 UTC</x:v>
      </x:c>
    </x:row>
    <x:row r="12">
      <x:c r="A12" s="63" t="str">
        <x:v>Rollback approved</x:v>
      </x:c>
      <x:c r="B12" s="37" t="str">
        <x:v>10:02 UTC</x:v>
      </x:c>
    </x:row>
    <x:row r="13">
      <x:c r="A13" s="66" t="str">
        <x:v>Impact ended</x:v>
      </x:c>
      <x:c r="B13" s="67" t="str">
        <x:v>10:31 UTC</x:v>
      </x:c>
    </x:row>
  </x:sheetData>
  <x:mergeCells>
    <x:mergeCell ref="A1:B1"/>
  </x:mergeCells>
  <x:pageMargins left="0.7" right="0.7" top="0.75" bottom="0.75" header="0.3" footer="0.3"/>
</x:worksheet>
</file>