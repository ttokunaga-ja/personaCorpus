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f9ad52d253f430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nputs" sheetId="1" r:id="Rc833ffd74cc7469e"/>
    <x:sheet xmlns:r="http://schemas.openxmlformats.org/officeDocument/2006/relationships" name="Timeline" sheetId="2" r:id="R316a6e94f5f14953"/>
    <x:sheet xmlns:r="http://schemas.openxmlformats.org/officeDocument/2006/relationships" name="Review" sheetId="3" r:id="R2d4b25f17d884a8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0.00%"/>
    <x:numFmt numFmtId="201" formatCode="0.0%"/>
    <x:numFmt numFmtId="202" formatCode="0.0&quot;x&quot;"/>
    <x:numFmt numFmtId="203" formatCode="#,##0"/>
  </x:numFmts>
  <x:fonts count="4">
    <x:font>
      <x:sz val="11"/>
      <x:name val="Carlito"/>
    </x:font>
    <x:font>
      <x:b/>
      <x:sz val="16"/>
      <x:color rgb="FFFFFFFF"/>
      <x:name val="Carlito"/>
    </x:font>
    <x:font>
      <x:i/>
      <x:sz val="11"/>
      <x:color rgb="FF000000"/>
      <x:name val="Carlito"/>
    </x:font>
    <x:font>
      <x:b/>
      <x:sz val="11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000000"/>
      </x:patternFill>
    </x:fill>
    <x:fill>
      <x:patternFill patternType="solid">
        <x:fgColor rgb="FFEAF4FF"/>
      </x:patternFill>
    </x:fill>
    <x:fill>
      <x:patternFill patternType="solid">
        <x:fgColor rgb="FFEDEDED"/>
      </x:patternFill>
    </x:fill>
  </x:fills>
  <x:borders count="20">
    <x:border/>
    <x:border>
      <x:left style="thin">
        <x:color rgb="FFB8BCC4"/>
      </x:left>
      <x:top style="thin">
        <x:color rgb="FFB8BCC4"/>
      </x:top>
      <x:bottom style="thin">
        <x:color rgb="FFB8BCC4"/>
      </x:bottom>
    </x:border>
    <x:border>
      <x:top style="thin">
        <x:color rgb="FFB8BCC4"/>
      </x:top>
      <x:bottom style="thin">
        <x:color rgb="FFB8BCC4"/>
      </x:bottom>
    </x:border>
    <x:border>
      <x:right style="thin">
        <x:color rgb="FFB8BCC4"/>
      </x:right>
      <x:top style="thin">
        <x:color rgb="FFB8BCC4"/>
      </x:top>
      <x:bottom style="thin">
        <x:color rgb="FFB8BCC4"/>
      </x:bottom>
    </x:border>
    <x:border>
      <x:left style="thin">
        <x:color rgb="FFB8BCC4"/>
      </x:left>
      <x:right style="thin">
        <x:color rgb="FFD9D9D9"/>
      </x:right>
      <x:top style="thin">
        <x:color rgb="FFB8BCC4"/>
      </x:top>
      <x:bottom style="thin">
        <x:color rgb="FFD9D9D9"/>
      </x:bottom>
    </x:border>
    <x:border>
      <x:left style="thin">
        <x:color rgb="FFD9D9D9"/>
      </x:left>
      <x:right style="thin">
        <x:color rgb="FFD9D9D9"/>
      </x:right>
      <x:top style="thin">
        <x:color rgb="FFB8BCC4"/>
      </x:top>
      <x:bottom style="thin">
        <x:color rgb="FFD9D9D9"/>
      </x:bottom>
    </x:border>
    <x:border>
      <x:left style="thin">
        <x:color rgb="FFD9D9D9"/>
      </x:left>
      <x:top style="thin">
        <x:color rgb="FFB8BCC4"/>
      </x:top>
      <x:bottom style="thin">
        <x:color rgb="FFD9D9D9"/>
      </x:bottom>
    </x:border>
    <x:border>
      <x:left style="thin">
        <x:color rgb="FFB8BCC4"/>
      </x:left>
      <x:right style="thin">
        <x:color rgb="FFD9D9D9"/>
      </x:right>
      <x:top style="thin">
        <x:color rgb="FFD9D9D9"/>
      </x:top>
      <x:bottom style="thin">
        <x:color rgb="FFD9D9D9"/>
      </x:bottom>
    </x:border>
    <x:border>
      <x:left style="thin">
        <x:color rgb="FFD9D9D9"/>
      </x:left>
      <x:right style="thin">
        <x:color rgb="FFD9D9D9"/>
      </x:right>
      <x:top style="thin">
        <x:color rgb="FFD9D9D9"/>
      </x:top>
      <x:bottom style="thin">
        <x:color rgb="FFD9D9D9"/>
      </x:bottom>
    </x:border>
    <x:border>
      <x:left style="thin">
        <x:color rgb="FFD9D9D9"/>
      </x:left>
      <x:top style="thin">
        <x:color rgb="FFD9D9D9"/>
      </x:top>
      <x:bottom style="thin">
        <x:color rgb="FFD9D9D9"/>
      </x:bottom>
    </x:border>
    <x:border>
      <x:left style="thin">
        <x:color rgb="FFB8BCC4"/>
      </x:left>
      <x:right style="thin">
        <x:color rgb="FFD9D9D9"/>
      </x:right>
      <x:top style="thin">
        <x:color rgb="FFD9D9D9"/>
      </x:top>
      <x:bottom style="thin">
        <x:color rgb="FFB8BCC4"/>
      </x:bottom>
    </x:border>
    <x:border>
      <x:left style="thin">
        <x:color rgb="FFD9D9D9"/>
      </x:left>
      <x:right style="thin">
        <x:color rgb="FFD9D9D9"/>
      </x:right>
      <x:top style="thin">
        <x:color rgb="FFD9D9D9"/>
      </x:top>
      <x:bottom style="thin">
        <x:color rgb="FFB8BCC4"/>
      </x:bottom>
    </x:border>
    <x:border>
      <x:left style="thin">
        <x:color rgb="FFD9D9D9"/>
      </x:left>
      <x:top style="thin">
        <x:color rgb="FFD9D9D9"/>
      </x:top>
      <x:bottom style="thin">
        <x:color rgb="FFB8BCC4"/>
      </x:bottom>
    </x:border>
    <x:border>
      <x:right style="thin">
        <x:color rgb="FFD9D9D9"/>
      </x:right>
      <x:bottom style="thin">
        <x:color rgb="FFD9D9D9"/>
      </x:bottom>
    </x:border>
    <x:border>
      <x:left style="thin">
        <x:color rgb="FFD9D9D9"/>
      </x:left>
      <x:right style="thin">
        <x:color rgb="FFD9D9D9"/>
      </x:right>
      <x:bottom style="thin">
        <x:color rgb="FFD9D9D9"/>
      </x:bottom>
    </x:border>
    <x:border>
      <x:left style="thin">
        <x:color rgb="FFD9D9D9"/>
      </x:left>
      <x:bottom style="thin">
        <x:color rgb="FFD9D9D9"/>
      </x:bottom>
    </x:border>
    <x:border>
      <x:right style="thin">
        <x:color rgb="FFD9D9D9"/>
      </x:right>
      <x:top style="thin">
        <x:color rgb="FFD9D9D9"/>
      </x:top>
      <x:bottom style="thin">
        <x:color rgb="FFD9D9D9"/>
      </x:bottom>
    </x:border>
    <x:border>
      <x:right style="thin">
        <x:color rgb="FFD9D9D9"/>
      </x:right>
      <x:top style="thin">
        <x:color rgb="FFD9D9D9"/>
      </x:top>
    </x:border>
    <x:border>
      <x:left style="thin">
        <x:color rgb="FFD9D9D9"/>
      </x:left>
      <x:right style="thin">
        <x:color rgb="FFD9D9D9"/>
      </x:right>
      <x:top style="thin">
        <x:color rgb="FFD9D9D9"/>
      </x:top>
    </x:border>
    <x:border>
      <x:left style="thin">
        <x:color rgb="FFD9D9D9"/>
      </x:left>
      <x:top style="thin">
        <x:color rgb="FFD9D9D9"/>
      </x:top>
    </x:border>
  </x:borders>
  <x:cellStyleXfs count="1">
    <x:xf numFmtId="0" fontId="0" fillId="0" borderId="0"/>
  </x:cellStyleXfs>
  <x:cellXfs count="67">
    <x:xf numFmtId="0" fontId="0" fillId="0" borderId="0" xfId="0"/>
    <x:xf numFmtId="200" fontId="0" fillId="0" borderId="0" xfId="0" applyNumberFormat="1" applyFont="1" applyFill="1" applyBorder="1"/>
    <x:xf numFmtId="201" fontId="0" fillId="0" borderId="0" xfId="0" applyNumberFormat="1" applyFont="1" applyFill="1" applyBorder="1"/>
    <x:xf numFmtId="202" fontId="0" fillId="0" borderId="0" xfId="0" applyNumberFormat="1" applyFont="1" applyFill="1" applyBorder="1"/>
    <x:xf numFmtId="203" fontId="0" fillId="0" borderId="0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1" xfId="0" applyNumberFormat="1" applyFont="1" applyFill="1" applyBorder="1"/>
    <x:xf numFmtId="0" fontId="3" fillId="4" borderId="2" xfId="0" applyNumberFormat="1" applyFont="1" applyFill="1" applyBorder="1"/>
    <x:xf numFmtId="0" fontId="3" fillId="4" borderId="3" xfId="0" applyNumberFormat="1" applyFont="1" applyFill="1" applyBorder="1"/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6" xfId="0" applyNumberFormat="1" applyFont="1" applyFill="1" applyBorder="1"/>
    <x:xf numFmtId="0" fontId="0" fillId="0" borderId="7" xfId="0" applyNumberFormat="1" applyFont="1" applyFill="1" applyBorder="1"/>
    <x:xf numFmtId="200" fontId="0" fillId="0" borderId="8" xfId="0" applyNumberFormat="1" applyFont="1" applyFill="1" applyBorder="1"/>
    <x:xf numFmtId="0" fontId="0" fillId="0" borderId="9" xfId="0" applyNumberFormat="1" applyFont="1" applyFill="1" applyBorder="1"/>
    <x:xf numFmtId="201" fontId="0" fillId="0" borderId="8" xfId="0" applyNumberFormat="1" applyFont="1" applyFill="1" applyBorder="1"/>
    <x:xf numFmtId="202" fontId="0" fillId="0" borderId="8" xfId="0" applyNumberFormat="1" applyFont="1" applyFill="1" applyBorder="1"/>
    <x:xf numFmtId="203" fontId="0" fillId="0" borderId="8" xfId="0" applyNumberFormat="1" applyFont="1" applyFill="1" applyBorder="1"/>
    <x:xf numFmtId="0" fontId="0" fillId="0" borderId="10" xfId="0" applyNumberFormat="1" applyFont="1" applyFill="1" applyBorder="1"/>
    <x:xf numFmtId="0" fontId="0" fillId="0" borderId="11" xfId="0" applyNumberFormat="1" applyFont="1" applyFill="1" applyBorder="1"/>
    <x:xf numFmtId="0" fontId="0" fillId="0" borderId="12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wrapText="1"/>
    </x:xf>
    <x:xf numFmtId="0" fontId="3" fillId="4" borderId="3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6" xfId="0" applyNumberFormat="1" applyFont="1" applyFill="1" applyBorder="1" applyAlignment="1">
      <x:alignment wrapText="1"/>
    </x:xf>
    <x:xf numFmtId="0" fontId="0" fillId="0" borderId="7" xfId="0" applyNumberFormat="1" applyFont="1" applyFill="1" applyBorder="1" applyAlignment="1">
      <x:alignment wrapText="1"/>
    </x:xf>
    <x:xf numFmtId="0" fontId="0" fillId="0" borderId="8" xfId="0" applyNumberFormat="1" applyFont="1" applyFill="1" applyBorder="1" applyAlignment="1">
      <x:alignment wrapText="1"/>
    </x:xf>
    <x:xf numFmtId="0" fontId="0" fillId="0" borderId="9" xfId="0" applyNumberFormat="1" applyFont="1" applyFill="1" applyBorder="1" applyAlignment="1">
      <x:alignment wrapText="1"/>
    </x:xf>
    <x:xf numFmtId="0" fontId="0" fillId="0" borderId="10" xfId="0" applyNumberFormat="1" applyFont="1" applyFill="1" applyBorder="1" applyAlignment="1">
      <x:alignment wrapText="1"/>
    </x:xf>
    <x:xf numFmtId="0" fontId="0" fillId="0" borderId="11" xfId="0" applyNumberFormat="1" applyFont="1" applyFill="1" applyBorder="1" applyAlignment="1">
      <x:alignment wrapText="1"/>
    </x:xf>
    <x:xf numFmtId="0" fontId="0" fillId="0" borderId="12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left" wrapText="1"/>
    </x:xf>
    <x:xf numFmtId="0" fontId="2" fillId="3" borderId="0" xfId="0" applyNumberFormat="1" applyFont="1" applyFill="1" applyBorder="1" applyAlignment="1">
      <x:alignment wrapText="1"/>
    </x:xf>
    <x:xf numFmtId="200" fontId="0" fillId="0" borderId="8" xfId="0" applyNumberFormat="1" applyFont="1" applyFill="1" applyBorder="1" applyAlignment="1">
      <x:alignment wrapText="1"/>
    </x:xf>
    <x:xf numFmtId="201" fontId="0" fillId="0" borderId="8" xfId="0" applyNumberFormat="1" applyFont="1" applyFill="1" applyBorder="1" applyAlignment="1">
      <x:alignment wrapText="1"/>
    </x:xf>
    <x:xf numFmtId="202" fontId="0" fillId="0" borderId="8" xfId="0" applyNumberFormat="1" applyFont="1" applyFill="1" applyBorder="1" applyAlignment="1">
      <x:alignment wrapText="1"/>
    </x:xf>
    <x:xf numFmtId="203" fontId="0" fillId="0" borderId="8" xfId="0" applyNumberFormat="1" applyFont="1" applyFill="1" applyBorder="1" applyAlignment="1">
      <x:alignment wrapText="1"/>
    </x:xf>
    <x:xf numFmtId="203" fontId="0" fillId="0" borderId="0" xfId="0" applyNumberFormat="1" applyFont="1" applyFill="1" applyBorder="1" applyAlignment="1">
      <x:alignment wrapText="1"/>
    </x:xf>
    <x:xf numFmtId="200" fontId="0" fillId="0" borderId="0" xfId="0" applyNumberFormat="1" applyFont="1" applyFill="1" applyBorder="1" applyAlignment="1">
      <x:alignment wrapText="1"/>
    </x:xf>
    <x:xf numFmtId="0" fontId="3" fillId="4" borderId="13" xfId="0" applyNumberFormat="1" applyFont="1" applyFill="1" applyBorder="1"/>
    <x:xf numFmtId="0" fontId="3" fillId="4" borderId="14" xfId="0" applyNumberFormat="1" applyFont="1" applyFill="1" applyBorder="1"/>
    <x:xf numFmtId="0" fontId="3" fillId="4" borderId="15" xfId="0" applyNumberFormat="1" applyFont="1" applyFill="1" applyBorder="1"/>
    <x:xf numFmtId="0" fontId="0" fillId="0" borderId="16" xfId="0" applyNumberFormat="1" applyFont="1" applyFill="1" applyBorder="1"/>
    <x:xf numFmtId="0" fontId="0" fillId="0" borderId="8" xfId="0" applyNumberFormat="1" applyFont="1" applyFill="1" applyBorder="1"/>
    <x:xf numFmtId="203" fontId="0" fillId="0" borderId="9" xfId="0" applyNumberFormat="1" applyFont="1" applyFill="1" applyBorder="1"/>
    <x:xf numFmtId="0" fontId="0" fillId="0" borderId="17" xfId="0" applyNumberFormat="1" applyFont="1" applyFill="1" applyBorder="1"/>
    <x:xf numFmtId="0" fontId="0" fillId="0" borderId="18" xfId="0" applyNumberFormat="1" applyFont="1" applyFill="1" applyBorder="1"/>
    <x:xf numFmtId="203" fontId="0" fillId="0" borderId="19" xfId="0" applyNumberFormat="1" applyFont="1" applyFill="1" applyBorder="1"/>
    <x:xf numFmtId="200" fontId="0" fillId="0" borderId="9" xfId="0" applyNumberFormat="1" applyFont="1" applyFill="1" applyBorder="1"/>
    <x:xf numFmtId="0" fontId="0" fillId="0" borderId="19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3" fillId="4" borderId="13" xfId="0" applyNumberFormat="1" applyFont="1" applyFill="1" applyBorder="1" applyAlignment="1">
      <x:alignment wrapText="1"/>
    </x:xf>
    <x:xf numFmtId="0" fontId="3" fillId="4" borderId="15" xfId="0" applyNumberFormat="1" applyFont="1" applyFill="1" applyBorder="1" applyAlignment="1">
      <x:alignment wrapText="1"/>
    </x:xf>
    <x:xf numFmtId="0" fontId="0" fillId="0" borderId="16" xfId="0" applyNumberFormat="1" applyFont="1" applyFill="1" applyBorder="1" applyAlignment="1">
      <x:alignment wrapText="1"/>
    </x:xf>
    <x:xf numFmtId="203" fontId="0" fillId="0" borderId="9" xfId="0" applyNumberFormat="1" applyFont="1" applyFill="1" applyBorder="1" applyAlignment="1">
      <x:alignment wrapText="1"/>
    </x:xf>
    <x:xf numFmtId="200" fontId="0" fillId="0" borderId="9" xfId="0" applyNumberFormat="1" applyFont="1" applyFill="1" applyBorder="1" applyAlignment="1">
      <x:alignment wrapText="1"/>
    </x:xf>
    <x:xf numFmtId="0" fontId="0" fillId="0" borderId="17" xfId="0" applyNumberFormat="1" applyFont="1" applyFill="1" applyBorder="1" applyAlignment="1">
      <x:alignment wrapText="1"/>
    </x:xf>
    <x:xf numFmtId="0" fontId="0" fillId="0" borderId="19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67bf7ffe439442f" /><Relationship Type="http://schemas.openxmlformats.org/officeDocument/2006/relationships/theme" Target="/xl/theme/theme1.xml" Id="R7a1c0091085247aa" /><Relationship Type="http://schemas.openxmlformats.org/officeDocument/2006/relationships/sharedStrings" Target="/xl/sharedStrings.xml" Id="Rb76c8bec1d0e4c16" /><Relationship Type="http://schemas.openxmlformats.org/officeDocument/2006/relationships/worksheet" Target="/xl/worksheets/sheet1.xml" Id="Rc833ffd74cc7469e" /><Relationship Type="http://schemas.openxmlformats.org/officeDocument/2006/relationships/worksheet" Target="/xl/worksheets/sheet2.xml" Id="R316a6e94f5f14953" /><Relationship Type="http://schemas.openxmlformats.org/officeDocument/2006/relationships/worksheet" Target="/xl/worksheets/sheet3.xml" Id="R2d4b25f17d884a82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6" hidden="0" customWidth="1"/>
    <x:col min="2" max="2" width="16" hidden="0" customWidth="1"/>
    <x:col min="3" max="3" width="36" hidden="0" customWidth="1"/>
  </x:cols>
  <x:sheetData>
    <x:row r="1">
      <x:c r="A1" s="40" t="str">
        <x:v>2026 Q3 Alert Policy Export Gap Analysis Workbook Xlsx</x:v>
      </x:c>
      <x:c r="B1" s="40"/>
      <x:c r="C1" s="40"/>
    </x:row>
    <x:row r="2">
      <x:c r="A2" s="41" t="str">
        <x:v>Northstar Transit Cloud | Platform Reliability | p02-full-001743</x:v>
      </x:c>
      <x:c r="B2" s="41"/>
      <x:c r="C2" s="41"/>
    </x:row>
    <x:row r="3">
      <x:c r="A3" s="30"/>
      <x:c r="B3" s="30"/>
      <x:c r="C3" s="30"/>
    </x:row>
    <x:row r="4">
      <x:c r="A4" s="31" t="str">
        <x:v>Metric</x:v>
      </x:c>
      <x:c r="B4" s="32" t="str">
        <x:v>Value</x:v>
      </x:c>
      <x:c r="C4" s="33" t="str">
        <x:v>Unit</x:v>
      </x:c>
    </x:row>
    <x:row r="5">
      <x:c r="A5" s="34" t="str">
        <x:v>Checkout availability SLO</x:v>
      </x:c>
      <x:c r="B5" s="42" t="n">
        <x:v>0.9995</x:v>
      </x:c>
      <x:c r="C5" s="36" t="str">
        <x:v>percent</x:v>
      </x:c>
    </x:row>
    <x:row r="6">
      <x:c r="A6" s="34" t="str">
        <x:v>Latency target</x:v>
      </x:c>
      <x:c r="B6" s="43" t="n">
        <x:v>0.99</x:v>
      </x:c>
      <x:c r="C6" s="36" t="str">
        <x:v>below 400 ms</x:v>
      </x:c>
    </x:row>
    <x:row r="7">
      <x:c r="A7" s="34" t="str">
        <x:v>Short burn</x:v>
      </x:c>
      <x:c r="B7" s="44" t="n">
        <x:v>14.6</x:v>
      </x:c>
      <x:c r="C7" s="36" t="str">
        <x:v>x</x:v>
      </x:c>
    </x:row>
    <x:row r="8">
      <x:c r="A8" s="34" t="str">
        <x:v>Error allowance remaining</x:v>
      </x:c>
      <x:c r="B8" s="43" t="n">
        <x:v>0.024</x:v>
      </x:c>
      <x:c r="C8" s="36" t="str">
        <x:v>request-error allowance</x:v>
      </x:c>
    </x:row>
    <x:row r="9">
      <x:c r="A9" s="34" t="str">
        <x:v>Identity p95</x:v>
      </x:c>
      <x:c r="B9" s="45" t="n">
        <x:v>286</x:v>
      </x:c>
      <x:c r="C9" s="36" t="str">
        <x:v>ms below 350 ms</x:v>
      </x:c>
    </x:row>
    <x:row r="10">
      <x:c r="A10" s="34" t="str">
        <x:v>Post-mitigation headroom</x:v>
      </x:c>
      <x:c r="B10" s="43" t="n">
        <x:v>0.31</x:v>
      </x:c>
      <x:c r="C10" s="36" t="str">
        <x:v>percent</x:v>
      </x:c>
    </x:row>
    <x:row r="11">
      <x:c r="A11" s="34" t="str">
        <x:v>Artifact fingerprint</x:v>
      </x:c>
      <x:c r="B11" s="45" t="n">
        <x:v>9331</x:v>
      </x:c>
      <x:c r="C11" s="36" t="str">
        <x:v>variant</x:v>
      </x:c>
    </x:row>
    <x:row r="12">
      <x:c r="A12" s="37" t="str">
        <x:v>Evidence relationship</x:v>
      </x:c>
      <x:c r="B12" s="38" t="str">
        <x:v>rel.slo.2026-q3</x:v>
      </x:c>
      <x:c r="C12" s="39" t="str">
        <x:v>contract</x:v>
      </x:c>
    </x:row>
    <x:row r="13">
      <x:c r="A13" s="30"/>
      <x:c r="B13" s="30"/>
      <x:c r="C13" s="30"/>
    </x:row>
    <x:row r="14">
      <x:c r="A14" s="30" t="str">
        <x:v>Baseline demand</x:v>
      </x:c>
      <x:c r="B14" s="46" t="n">
        <x:v>1850</x:v>
      </x:c>
      <x:c r="C14" s="30" t="str">
        <x:v>requests/s</x:v>
      </x:c>
    </x:row>
    <x:row r="15">
      <x:c r="A15" s="30" t="str">
        <x:v>Peak demand</x:v>
      </x:c>
      <x:c r="B15" s="46" t="n">
        <x:v>2420</x:v>
      </x:c>
      <x:c r="C15" s="30" t="str">
        <x:v>requests/s</x:v>
      </x:c>
    </x:row>
    <x:row r="16">
      <x:c r="A16" s="30" t="str">
        <x:v>Availability SLO</x:v>
      </x:c>
      <x:c r="B16" s="47" t="n">
        <x:v>0.9995</x:v>
      </x:c>
      <x:c r="C16" s="30" t="str">
        <x:v>percent</x:v>
      </x:c>
    </x:row>
    <x:row r="17">
      <x:c r="A17" s="30" t="str">
        <x:v>Lowest availability</x:v>
      </x:c>
      <x:c r="B17" s="47" t="n">
        <x:v>0.9214</x:v>
      </x:c>
      <x:c r="C17" s="30" t="str">
        <x:v>percent</x:v>
      </x:c>
    </x:row>
    <x:row r="18">
      <x:c r="A18" s="30"/>
      <x:c r="B18" s="30"/>
      <x:c r="C18" s="30"/>
    </x:row>
    <x:row r="19">
      <x:c r="A19" s="30"/>
      <x:c r="B19" s="30"/>
      <x:c r="C19" s="30"/>
    </x:row>
    <x:row r="20">
      <x:c r="A20" s="31" t="str">
        <x:v>Scope facts and canonical corpus anchors</x:v>
      </x:c>
      <x:c r="B20" s="32"/>
      <x:c r="C20" s="33"/>
    </x:row>
    <x:row r="21">
      <x:c r="A21" s="34" t="str">
        <x:v>Dependency metric</x:v>
      </x:c>
      <x:c r="B21" s="35" t="str">
        <x:v>Checkout availability SLO</x:v>
      </x:c>
      <x:c r="C21" s="36"/>
    </x:row>
    <x:row r="22">
      <x:c r="A22" s="34" t="str">
        <x:v>Dependency source</x:v>
      </x:c>
      <x:c r="B22" s="35" t="str">
        <x:v>observability/alerts/rules/data/2026-07-14-alert-policy-authentication-metrics-tsv-s000428.tsv</x:v>
      </x:c>
      <x:c r="C22" s="36"/>
    </x:row>
    <x:row r="23">
      <x:c r="A23" s="34" t="str">
        <x:v>Focus</x:v>
      </x:c>
      <x:c r="B23" s="35" t="str">
        <x:v>org.ntc · slo.checkout.availability · rel.slo.2026-q3 · period.2026-q3</x:v>
      </x:c>
      <x:c r="C23" s="36"/>
    </x:row>
    <x:row r="24">
      <x:c r="A24" s="34" t="str">
        <x:v>Checkout latency SLO</x:v>
      </x:c>
      <x:c r="B24" s="35" t="str">
        <x:v>99.0% below 400 ms</x:v>
      </x:c>
      <x:c r="C24" s="36"/>
    </x:row>
    <x:row r="25">
      <x:c r="A25" s="34" t="str">
        <x:v>Canonical corpus anchors</x:v>
      </x:c>
      <x:c r="B25" s="35" t="str">
        <x:v>Northstar Transit Cloud | Checkout SVC-17 | 2026-07-13 | error budget 2.4% | INC-260713</x:v>
      </x:c>
      <x:c r="C25" s="36"/>
    </x:row>
    <x:row r="26">
      <x:c r="A26" s="37" t="str">
        <x:v>Variant</x:v>
      </x:c>
      <x:c r="B26" s="38" t="str">
        <x:v>97</x:v>
      </x:c>
      <x:c r="C26" s="39"/>
    </x:row>
  </x:sheetData>
  <x:mergeCells>
    <x:mergeCell ref="A1:C1"/>
    <x:mergeCell ref="A2:C2"/>
    <x:mergeCell ref="A20:C20"/>
    <x:mergeCell ref="B21:C21"/>
    <x:mergeCell ref="B22:C22"/>
    <x:mergeCell ref="B23:C23"/>
    <x:mergeCell ref="B24:C24"/>
    <x:mergeCell ref="B25:C25"/>
    <x:mergeCell ref="B26:C26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" hidden="0" customWidth="1"/>
    <x:col min="2" max="2" width="18" hidden="0" customWidth="1"/>
    <x:col min="3" max="3" width="42" hidden="0" customWidth="1"/>
  </x:cols>
  <x:sheetData>
    <x:row r="1">
      <x:c r="A1" s="6" t="str">
        <x:v>SLO evidence: exact frozen milestones</x:v>
      </x:c>
      <x:c r="B1" s="6"/>
      <x:c r="C1" s="6"/>
    </x:row>
    <x:row r="3">
      <x:c r="A3" s="48" t="str">
        <x:v>UTC</x:v>
      </x:c>
      <x:c r="B3" s="49" t="str">
        <x:v>Status</x:v>
      </x:c>
      <x:c r="C3" s="50" t="str">
        <x:v>Canonical event</x:v>
      </x:c>
    </x:row>
    <x:row r="4">
      <x:c r="A4" s="51" t="str">
        <x:v>09:18</x:v>
      </x:c>
      <x:c r="B4" s="52" t="str">
        <x:v>DEP start</x:v>
      </x:c>
      <x:c r="C4" s="20" t="str">
        <x:v>DEP-260713-017 start</x:v>
      </x:c>
    </x:row>
    <x:row r="5">
      <x:c r="A5" s="51" t="str">
        <x:v>09:42</x:v>
      </x:c>
      <x:c r="B5" s="52" t="str">
        <x:v>Warning</x:v>
      </x:c>
      <x:c r="C5" s="20" t="str">
        <x:v>Q-07 warning threshold 12,000</x:v>
      </x:c>
    </x:row>
    <x:row r="6">
      <x:c r="A6" s="51" t="str">
        <x:v>09:47</x:v>
      </x:c>
      <x:c r="B6" s="52" t="str">
        <x:v>S2</x:v>
      </x:c>
      <x:c r="C6" s="20" t="str">
        <x:v>S2 declared</x:v>
      </x:c>
    </x:row>
    <x:row r="7">
      <x:c r="A7" s="51" t="str">
        <x:v>09:54</x:v>
      </x:c>
      <x:c r="B7" s="52" t="str">
        <x:v>Rate limit</x:v>
      </x:c>
      <x:c r="C7" s="20" t="str">
        <x:v>Authorizations rate-limited; Identity stayed available</x:v>
      </x:c>
    </x:row>
    <x:row r="8">
      <x:c r="A8" s="51" t="str">
        <x:v>10:02</x:v>
      </x:c>
      <x:c r="B8" s="52" t="str">
        <x:v>Rollback approval</x:v>
      </x:c>
      <x:c r="C8" s="20" t="str">
        <x:v>Rollback approval</x:v>
      </x:c>
    </x:row>
    <x:row r="9">
      <x:c r="A9" s="51" t="str">
        <x:v>10:11</x:v>
      </x:c>
      <x:c r="B9" s="52" t="str">
        <x:v>Concurrency</x:v>
      </x:c>
      <x:c r="C9" s="20" t="str">
        <x:v>Consumer concurrency increased</x:v>
      </x:c>
    </x:row>
    <x:row r="10">
      <x:c r="A10" s="51" t="str">
        <x:v>10:24</x:v>
      </x:c>
      <x:c r="B10" s="52" t="str">
        <x:v>Recovery</x:v>
      </x:c>
      <x:c r="C10" s="20" t="str">
        <x:v>Q-07 below 8,000; short-window burn recovery</x:v>
      </x:c>
    </x:row>
    <x:row r="11">
      <x:c r="A11" s="51" t="str">
        <x:v>10:31</x:v>
      </x:c>
      <x:c r="B11" s="52" t="str">
        <x:v>Impact close</x:v>
      </x:c>
      <x:c r="C11" s="20" t="str">
        <x:v>Impact ended</x:v>
      </x:c>
    </x:row>
    <x:row r="12">
      <x:c r="A12" s="51" t="str">
        <x:v>10:42</x:v>
      </x:c>
      <x:c r="B12" s="52" t="str">
        <x:v>Resolution</x:v>
      </x:c>
      <x:c r="C12" s="20" t="str">
        <x:v>Resolution; enhanced monitoring 24 hours</x:v>
      </x:c>
    </x:row>
    <x:row r="13">
      <x:c r="A13" s="51"/>
      <x:c r="B13" s="52"/>
      <x:c r="C13" s="20"/>
    </x:row>
    <x:row r="14">
      <x:c r="A14" s="51" t="str">
        <x:v>Maximum observed Q-07 depth</x:v>
      </x:c>
      <x:c r="B14" s="52"/>
      <x:c r="C14" s="53" t="n">
        <x:v>38420</x:v>
      </x:c>
    </x:row>
    <x:row r="15">
      <x:c r="A15" s="51" t="str">
        <x:v>Q-07 warning threshold</x:v>
      </x:c>
      <x:c r="B15" s="52"/>
      <x:c r="C15" s="53" t="n">
        <x:v>12000</x:v>
      </x:c>
    </x:row>
    <x:row r="16">
      <x:c r="A16" s="54" t="str">
        <x:v>Q-07 critical threshold</x:v>
      </x:c>
      <x:c r="B16" s="55"/>
      <x:c r="C16" s="56" t="n">
        <x:v>24000</x:v>
      </x:c>
    </x:row>
    <x:row r="18" ht="72" customHeight="1">
      <x:c r="A18" s="30" t="str">
        <x:v>Dependency citation</x:v>
      </x:c>
      <x:c r="B18" s="30"/>
      <x:c r="C18" s="30" t="str">
        <x:v>observability/alerts/rules/data/2026-07-14-alert-policy-authentication-metrics-tsv-s000428.tsv</x:v>
      </x:c>
    </x:row>
    <x:row r="19" ht="72" customHeight="1">
      <x:c r="A19" s="30" t="str">
        <x:v>Dependency excerpt</x:v>
      </x:c>
      <x:c r="B19" s="30"/>
      <x:c r="C19" s="30" t="str">
        <x:v>Dependency evidence: Checkout availability SLO = 99.95%; source p02-full-000428, row:canonical-metric.</x:v>
      </x:c>
    </x:row>
  </x:sheetData>
  <x:mergeCells>
    <x:mergeCell ref="A1:C1"/>
    <x:mergeCell ref="A14:B14"/>
    <x:mergeCell ref="A15:B15"/>
    <x:mergeCell ref="A16:B16"/>
    <x:mergeCell ref="A18:B18"/>
    <x:mergeCell ref="A19:B19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0" hidden="0" customWidth="1"/>
    <x:col min="2" max="2" width="32" hidden="0" customWidth="1"/>
  </x:cols>
  <x:sheetData>
    <x:row r="1">
      <x:c r="A1" s="59" t="str">
        <x:v>slo review: formula-driven conclusions</x:v>
      </x:c>
      <x:c r="B1" s="59"/>
    </x:row>
    <x:row r="2">
      <x:c r="A2" s="30"/>
      <x:c r="B2" s="30"/>
    </x:row>
    <x:row r="3">
      <x:c r="A3" s="60" t="str">
        <x:v>Derived measure</x:v>
      </x:c>
      <x:c r="B3" s="61" t="str">
        <x:v>Formula result</x:v>
      </x:c>
    </x:row>
    <x:row r="4">
      <x:c r="A4" s="62" t="str">
        <x:v>Queue above critical (38,420 − 24,000)</x:v>
      </x:c>
      <x:c r="B4" s="63" t="n">
        <x:f>Timeline!$C$14-Timeline!$C$16</x:f>
        <x:v>14420</x:v>
      </x:c>
    </x:row>
    <x:row r="5">
      <x:c r="A5" s="62" t="str">
        <x:v>Demand increase</x:v>
      </x:c>
      <x:c r="B5" s="64" t="n">
        <x:f>('Inputs'!$B$15-'Inputs'!$B$14)/'Inputs'!$B$14</x:f>
        <x:v>0.3081081081081081</x:v>
      </x:c>
    </x:row>
    <x:row r="6">
      <x:c r="A6" s="62" t="str">
        <x:v>Availability gap to SLO</x:v>
      </x:c>
      <x:c r="B6" s="64" t="n">
        <x:f>'Inputs'!$B$16-'Inputs'!$B$17</x:f>
        <x:v>0.07810000000000006</x:v>
      </x:c>
    </x:row>
    <x:row r="7">
      <x:c r="A7" s="65" t="str">
        <x:v>Artifact control ID</x:v>
      </x:c>
      <x:c r="B7" s="66" t="str">
        <x:v>p02-full-001743</x:v>
      </x:c>
    </x:row>
    <x:row r="8">
      <x:c r="A8" s="30"/>
      <x:c r="B8" s="30"/>
    </x:row>
    <x:row r="9">
      <x:c r="A9" s="30"/>
      <x:c r="B9" s="30"/>
    </x:row>
    <x:row r="10">
      <x:c r="A10" s="60" t="str">
        <x:v>Decision</x:v>
      </x:c>
      <x:c r="B10" s="61" t="str">
        <x:v>Evidence</x:v>
      </x:c>
    </x:row>
    <x:row r="11">
      <x:c r="A11" s="62" t="str">
        <x:v>Short burn peak</x:v>
      </x:c>
      <x:c r="B11" s="36" t="str">
        <x:v>14.6× one-hour</x:v>
      </x:c>
    </x:row>
    <x:row r="12">
      <x:c r="A12" s="62" t="str">
        <x:v>Long burn peak</x:v>
      </x:c>
      <x:c r="B12" s="36" t="str">
        <x:v>5.2× six-hour</x:v>
      </x:c>
    </x:row>
    <x:row r="13">
      <x:c r="A13" s="65" t="str">
        <x:v>Allowance remaining</x:v>
      </x:c>
      <x:c r="B13" s="66" t="str">
        <x:v>2.4% request-error</x:v>
      </x:c>
    </x:row>
  </x:sheetData>
  <x:mergeCells>
    <x:mergeCell ref="A1:B1"/>
  </x:mergeCells>
  <x:pageMargins left="0.7" right="0.7" top="0.75" bottom="0.75" header="0.3" footer="0.3"/>
</x:worksheet>
</file>