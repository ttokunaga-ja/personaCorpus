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55f342e36142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375fc9d44c7e4db6"/>
    <x:sheet xmlns:r="http://schemas.openxmlformats.org/officeDocument/2006/relationships" name="Daily SLI" sheetId="2" r:id="Re7fec830a2f5483e"/>
    <x:sheet xmlns:r="http://schemas.openxmlformats.org/officeDocument/2006/relationships" name="Burn Analysis" sheetId="3" r:id="Rda246461a70840e0"/>
    <x:sheet xmlns:r="http://schemas.openxmlformats.org/officeDocument/2006/relationships" name="Action Log" sheetId="4" r:id="R0564ebad6c4d4a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%"/>
    <x:numFmt numFmtId="201" formatCode="0.0%"/>
    <x:numFmt numFmtId="202" formatCode="0.0x"/>
    <x:numFmt numFmtId="203" formatCode="yyyy-mm-dd"/>
    <x:numFmt numFmtId="204" formatCode="#,##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23047"/>
      <x:name val="Carlito"/>
    </x:font>
    <x:font>
      <x:b/>
      <x:sz val="11"/>
      <x:color rgb="FF123047"/>
      <x:name val="Carlito"/>
    </x:font>
    <x:font>
      <x:b/>
      <x:sz val="14"/>
      <x:color rgb="FF123047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DDEBF7"/>
      </x:patternFill>
    </x:fill>
    <x:fill>
      <x:patternFill patternType="solid">
        <x:fgColor rgb="FFEAF4F4"/>
      </x:patternFill>
    </x:fill>
    <x:fill>
      <x:patternFill patternType="solid">
        <x:fgColor rgb="FFFFF1CC"/>
      </x:patternFill>
    </x:fill>
    <x:fill>
      <x:patternFill patternType="solid">
        <x:fgColor rgb="FFFCE3E3"/>
      </x:patternFill>
    </x:fill>
    <x:fill>
      <x:patternFill patternType="solid">
        <x:fgColor rgb="FF007F82"/>
      </x:patternFill>
    </x:fill>
  </x:fills>
  <x:borders count="11">
    <x:border/>
    <x:border>
      <x:left style="thin">
        <x:color rgb="FFC9D5DB"/>
      </x:left>
      <x:right style="thin">
        <x:color rgb="FFC9D5DB"/>
      </x:right>
      <x:top style="thin">
        <x:color rgb="FFC9D5DB"/>
      </x:top>
      <x:bottom style="thin">
        <x:color rgb="FFC9D5DB"/>
      </x:bottom>
    </x:border>
    <x:border>
      <x:left style="thin">
        <x:color rgb="FFC9D5DB"/>
      </x:left>
      <x:top style="thin">
        <x:color rgb="FFC9D5DB"/>
      </x:top>
      <x:bottom style="thin">
        <x:color rgb="FFC9D5DB"/>
      </x:bottom>
    </x:border>
    <x:border>
      <x:top style="thin">
        <x:color rgb="FFC9D5DB"/>
      </x:top>
      <x:bottom style="thin">
        <x:color rgb="FFC9D5DB"/>
      </x:bottom>
    </x:border>
    <x:border>
      <x:right style="thin">
        <x:color rgb="FFC9D5DB"/>
      </x:right>
      <x:top style="thin">
        <x:color rgb="FFC9D5DB"/>
      </x:top>
      <x:bottom style="thin">
        <x:color rgb="FFC9D5DB"/>
      </x:bottom>
    </x:border>
    <x:border>
      <x:right style="thin">
        <x:color rgb="FFC9D5DB"/>
      </x:right>
      <x:bottom style="thin">
        <x:color rgb="FFC9D5DB"/>
      </x:bottom>
    </x:border>
    <x:border>
      <x:left style="thin">
        <x:color rgb="FFC9D5DB"/>
      </x:left>
      <x:right style="thin">
        <x:color rgb="FFC9D5DB"/>
      </x:right>
      <x:bottom style="thin">
        <x:color rgb="FFC9D5DB"/>
      </x:bottom>
    </x:border>
    <x:border>
      <x:left style="thin">
        <x:color rgb="FFC9D5DB"/>
      </x:left>
      <x:bottom style="thin">
        <x:color rgb="FFC9D5DB"/>
      </x:bottom>
    </x:border>
    <x:border>
      <x:right style="thin">
        <x:color rgb="FFC9D5DB"/>
      </x:right>
      <x:top style="thin">
        <x:color rgb="FFC9D5DB"/>
      </x:top>
    </x:border>
    <x:border>
      <x:left style="thin">
        <x:color rgb="FFC9D5DB"/>
      </x:left>
      <x:right style="thin">
        <x:color rgb="FFC9D5DB"/>
      </x:right>
      <x:top style="thin">
        <x:color rgb="FFC9D5DB"/>
      </x:top>
    </x:border>
    <x:border>
      <x:left style="thin">
        <x:color rgb="FFC9D5DB"/>
      </x:left>
      <x:top style="thin">
        <x:color rgb="FFC9D5DB"/>
      </x:top>
    </x:border>
  </x:borders>
  <x:cellStyleXfs count="1">
    <x:xf numFmtId="0" fontId="0" fillId="0" borderId="0"/>
  </x:cellStyleXfs>
  <x:cellXfs count="1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200" fontId="4" fillId="4" borderId="1" xfId="0" applyNumberFormat="1" applyFont="1" applyFill="1" applyBorder="1"/>
    <x:xf numFmtId="200" fontId="4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201" fontId="4" fillId="5" borderId="1" xfId="0" applyNumberFormat="1" applyFont="1" applyFill="1" applyBorder="1"/>
    <x:xf numFmtId="201" fontId="4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202" fontId="4" fillId="6" borderId="1" xfId="0" applyNumberFormat="1" applyFont="1" applyFill="1" applyBorder="1"/>
    <x:xf numFmtId="202" fontId="4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2" xfId="0" applyNumberFormat="1" applyFont="1" applyFill="1" applyBorder="1"/>
    <x:xf numFmtId="0" fontId="5" fillId="7" borderId="3" xfId="0" applyNumberFormat="1" applyFont="1" applyFill="1" applyBorder="1"/>
    <x:xf numFmtId="0" fontId="5" fillId="7" borderId="4" xfId="0" applyNumberFormat="1" applyFont="1" applyFill="1" applyBorder="1"/>
    <x:xf numFmtId="0" fontId="5" fillId="7" borderId="2" xfId="0" applyNumberFormat="1" applyFont="1" applyFill="1" applyBorder="1" applyAlignment="1">
      <x:alignment wrapText="1"/>
    </x:xf>
    <x:xf numFmtId="0" fontId="5" fillId="7" borderId="3" xfId="0" applyNumberFormat="1" applyFont="1" applyFill="1" applyBorder="1" applyAlignment="1">
      <x:alignment wrapText="1"/>
    </x:xf>
    <x:xf numFmtId="0" fontId="5" fillId="7" borderId="4" xfId="0" applyNumberFormat="1" applyFont="1" applyFill="1" applyBorder="1" applyAlignment="1">
      <x:alignment wrapText="1"/>
    </x:xf>
    <x:xf numFmtId="0" fontId="5" fillId="7" borderId="2" xfId="0" applyNumberFormat="1" applyFont="1" applyFill="1" applyBorder="1" applyAlignment="1">
      <x:alignment horizontal="center" wrapText="1"/>
    </x:xf>
    <x:xf numFmtId="0" fontId="5" fillId="7" borderId="3" xfId="0" applyNumberFormat="1" applyFont="1" applyFill="1" applyBorder="1" applyAlignment="1">
      <x:alignment horizontal="center" wrapText="1"/>
    </x:xf>
    <x:xf numFmtId="0" fontId="5" fillId="7" borderId="4" xfId="0" applyNumberFormat="1" applyFont="1" applyFill="1" applyBorder="1" applyAlignment="1">
      <x:alignment horizontal="center" wrapText="1"/>
    </x:xf>
    <x:xf numFmtId="0" fontId="5" fillId="7" borderId="2" xfId="0" applyNumberFormat="1" applyFont="1" applyFill="1" applyBorder="1" applyAlignment="1">
      <x:alignment horizontal="center" vertical="center" wrapText="1"/>
    </x:xf>
    <x:xf numFmtId="0" fontId="5" fillId="7" borderId="3" xfId="0" applyNumberFormat="1" applyFont="1" applyFill="1" applyBorder="1" applyAlignment="1">
      <x:alignment horizontal="center" vertical="center" wrapText="1"/>
    </x:xf>
    <x:xf numFmtId="0" fontId="5" fillId="7" borderId="4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20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5" xfId="0" applyNumberFormat="1" applyFont="1" applyFill="1" applyBorder="1"/>
    <x:xf numFmtId="204" fontId="0" fillId="0" borderId="6" xfId="0" applyNumberFormat="1" applyFont="1" applyFill="1" applyBorder="1"/>
    <x:xf numFmtId="200" fontId="0" fillId="0" borderId="6" xfId="0" applyNumberFormat="1" applyFont="1" applyFill="1" applyBorder="1"/>
    <x:xf numFmtId="202" fontId="0" fillId="0" borderId="6" xfId="0" applyNumberFormat="1" applyFont="1" applyFill="1" applyBorder="1"/>
    <x:xf numFmtId="0" fontId="0" fillId="0" borderId="7" xfId="0" applyNumberFormat="1" applyFont="1" applyFill="1" applyBorder="1"/>
    <x:xf numFmtId="203" fontId="0" fillId="0" borderId="4" xfId="0" applyNumberFormat="1" applyFont="1" applyFill="1" applyBorder="1"/>
    <x:xf numFmtId="204" fontId="0" fillId="0" borderId="1" xfId="0" applyNumberFormat="1" applyFont="1" applyFill="1" applyBorder="1"/>
    <x:xf numFmtId="200" fontId="0" fillId="0" borderId="1" xfId="0" applyNumberFormat="1" applyFont="1" applyFill="1" applyBorder="1"/>
    <x:xf numFmtId="202" fontId="0" fillId="0" borderId="1" xfId="0" applyNumberFormat="1" applyFont="1" applyFill="1" applyBorder="1"/>
    <x:xf numFmtId="0" fontId="0" fillId="0" borderId="2" xfId="0" applyNumberFormat="1" applyFont="1" applyFill="1" applyBorder="1"/>
    <x:xf numFmtId="203" fontId="0" fillId="0" borderId="8" xfId="0" applyNumberFormat="1" applyFont="1" applyFill="1" applyBorder="1"/>
    <x:xf numFmtId="204" fontId="0" fillId="0" borderId="9" xfId="0" applyNumberFormat="1" applyFont="1" applyFill="1" applyBorder="1"/>
    <x:xf numFmtId="200" fontId="0" fillId="0" borderId="9" xfId="0" applyNumberFormat="1" applyFont="1" applyFill="1" applyBorder="1"/>
    <x:xf numFmtId="202" fontId="0" fillId="0" borderId="9" xfId="0" applyNumberFormat="1" applyFont="1" applyFill="1" applyBorder="1"/>
    <x:xf numFmtId="0" fontId="0" fillId="0" borderId="10" xfId="0" applyNumberFormat="1" applyFont="1" applyFill="1" applyBorder="1"/>
    <x:xf numFmtId="203" fontId="0" fillId="0" borderId="5" xfId="0" applyNumberFormat="1" applyFont="1" applyFill="1" applyBorder="1" applyAlignment="1">
      <x:alignment vertical="center"/>
    </x:xf>
    <x:xf numFmtId="204" fontId="0" fillId="0" borderId="6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2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203" fontId="0" fillId="0" borderId="4" xfId="0" applyNumberFormat="1" applyFont="1" applyFill="1" applyBorder="1" applyAlignment="1">
      <x:alignment vertical="center"/>
    </x:xf>
    <x:xf numFmtId="204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203" fontId="0" fillId="0" borderId="8" xfId="0" applyNumberFormat="1" applyFont="1" applyFill="1" applyBorder="1" applyAlignment="1">
      <x:alignment vertical="center"/>
    </x:xf>
    <x:xf numFmtId="204" fontId="0" fillId="0" borderId="9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2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/>
    <x:xf numFmtId="0" fontId="0" fillId="0" borderId="4" xfId="0" applyNumberFormat="1" applyFont="1" applyFill="1" applyBorder="1"/>
    <x:xf numFmtId="0" fontId="0" fillId="0" borderId="8" xfId="0" applyNumberFormat="1" applyFont="1" applyFill="1" applyBorder="1"/>
    <x:xf numFmtId="0" fontId="0" fillId="0" borderId="5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wrapText="1"/>
    </x:xf>
    <x:xf numFmtId="203" fontId="0" fillId="0" borderId="6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203" fontId="0" fillId="0" borderId="6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  <x:xf numFmtId="203" fontId="0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05d35ae318499e" /><Relationship Type="http://schemas.openxmlformats.org/officeDocument/2006/relationships/theme" Target="/xl/theme/theme1.xml" Id="R0fffb5609c284880" /><Relationship Type="http://schemas.openxmlformats.org/officeDocument/2006/relationships/sharedStrings" Target="/xl/sharedStrings.xml" Id="Re0097c5c59e745d2" /><Relationship Type="http://schemas.openxmlformats.org/officeDocument/2006/relationships/worksheet" Target="/xl/worksheets/sheet1.xml" Id="R375fc9d44c7e4db6" /><Relationship Type="http://schemas.openxmlformats.org/officeDocument/2006/relationships/worksheet" Target="/xl/worksheets/sheet2.xml" Id="Re7fec830a2f5483e" /><Relationship Type="http://schemas.openxmlformats.org/officeDocument/2006/relationships/worksheet" Target="/xl/worksheets/sheet3.xml" Id="Rda246461a70840e0" /><Relationship Type="http://schemas.openxmlformats.org/officeDocument/2006/relationships/worksheet" Target="/xl/worksheets/sheet4.xml" Id="R0564ebad6c4d4a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34" hidden="0" customWidth="1"/>
  </x:cols>
  <x:sheetData>
    <x:row r="1" ht="28" customHeight="1">
      <x:c r="A1" s="4" t="str">
        <x:v>Northstar Transit Cloud | Checkout SVC-17 SLO Review | 2026-07-13</x:v>
      </x:c>
      <x:c r="B1" s="4"/>
      <x:c r="C1" s="4"/>
      <x:c r="D1" s="4"/>
      <x:c r="E1" s="4"/>
      <x:c r="F1" s="4"/>
      <x:c r="G1" s="4"/>
      <x:c r="H1" s="4"/>
    </x:row>
    <x:row r="3">
      <x:c r="A3" s="6" t="str">
        <x:v>Review scope</x:v>
      </x:c>
      <x:c r="B3" s="6" t="str">
        <x:v>30-day availability and latency posture</x:v>
      </x:c>
      <x:c r="C3" s="6" t="str"/>
      <x:c r="D3" s="6" t="str"/>
      <x:c r="E3" s="6" t="str"/>
      <x:c r="F3" s="6" t="str"/>
      <x:c r="G3" s="6" t="str"/>
      <x:c r="H3" s="6" t="str"/>
    </x:row>
    <x:row r="5">
      <x:c r="A5" s="10" t="str">
        <x:v>Availability SLO</x:v>
      </x:c>
      <x:c r="C5" s="10" t="str">
        <x:v>Observed availability</x:v>
      </x:c>
      <x:c r="E5" s="18" t="str">
        <x:v>Error budget remaining</x:v>
      </x:c>
      <x:c r="G5" s="26" t="str">
        <x:v>Highest burn rate</x:v>
      </x:c>
    </x:row>
    <x:row r="6">
      <x:c r="A6" s="14" t="n">
        <x:f>'Daily SLI'!$D$3</x:f>
        <x:v>0.999</x:v>
      </x:c>
      <x:c r="C6" s="14" t="n">
        <x:f>AVERAGE('Daily SLI'!$E$3:$E$16)</x:f>
        <x:v>0.9988171159775385</x:v>
      </x:c>
      <x:c r="E6" s="22" t="n">
        <x:f>MAX(0,1-(1-C6)/(1-A6))</x:f>
        <x:v>0</x:v>
      </x:c>
      <x:c r="G6" s="30" t="n">
        <x:f>MAX('Burn Analysis'!$F$2:$F$6)</x:f>
        <x:v>1.9</x:v>
      </x:c>
    </x:row>
    <x:row r="9">
      <x:c r="A9" s="42" t="str">
        <x:v>Indicator</x:v>
      </x:c>
      <x:c r="B9" s="43" t="str">
        <x:v>Objective</x:v>
      </x:c>
      <x:c r="C9" s="43" t="str">
        <x:v>Current</x:v>
      </x:c>
      <x:c r="D9" s="43" t="str">
        <x:v>Status</x:v>
      </x:c>
      <x:c r="E9" s="43" t="str">
        <x:v>Window</x:v>
      </x:c>
      <x:c r="F9" s="43" t="str">
        <x:v>Owner</x:v>
      </x:c>
      <x:c r="G9" s="43" t="str">
        <x:v>Source</x:v>
      </x:c>
      <x:c r="H9" s="44" t="str">
        <x:v>Review note</x:v>
      </x:c>
    </x:row>
    <x:row r="10">
      <x:c r="A10" s="58" t="str">
        <x:v>Availability</x:v>
      </x:c>
      <x:c r="B10" s="59" t="str">
        <x:v>99.90%</x:v>
      </x:c>
      <x:c r="C10" s="60" t="n">
        <x:f>C6</x:f>
        <x:v>0.9988171159775385</x:v>
      </x:c>
      <x:c r="D10" s="59" t="str">
        <x:v>At risk</x:v>
      </x:c>
      <x:c r="E10" s="59" t="str">
        <x:v>30d</x:v>
      </x:c>
      <x:c r="F10" s="59" t="str">
        <x:v>checkout-primary</x:v>
      </x:c>
      <x:c r="G10" s="59" t="str">
        <x:v>Daily SLI</x:v>
      </x:c>
      <x:c r="H10" s="61" t="str">
        <x:v>INC-260713 recovery monitored</x:v>
      </x:c>
    </x:row>
    <x:row r="11">
      <x:c r="A11" s="62" t="str">
        <x:v>Checkout p95 latency</x:v>
      </x:c>
      <x:c r="B11" s="63" t="str">
        <x:v>500 ms</x:v>
      </x:c>
      <x:c r="C11" s="63" t="str">
        <x:v>421 ms</x:v>
      </x:c>
      <x:c r="D11" s="63" t="str">
        <x:v>Watch</x:v>
      </x:c>
      <x:c r="E11" s="63" t="str">
        <x:v>15m</x:v>
      </x:c>
      <x:c r="F11" s="63" t="str">
        <x:v>checkout-primary</x:v>
      </x:c>
      <x:c r="G11" s="63" t="str">
        <x:v>Latency panel</x:v>
      </x:c>
      <x:c r="H11" s="64" t="str">
        <x:v>Payment authorization remains elevated</x:v>
      </x:c>
    </x:row>
    <x:row r="12">
      <x:c r="A12" s="62" t="str">
        <x:v>Checkout p99 latency</x:v>
      </x:c>
      <x:c r="B12" s="63" t="str">
        <x:v>900 ms</x:v>
      </x:c>
      <x:c r="C12" s="63" t="str">
        <x:v>862 ms</x:v>
      </x:c>
      <x:c r="D12" s="63" t="str">
        <x:v>Watch</x:v>
      </x:c>
      <x:c r="E12" s="63" t="str">
        <x:v>15m</x:v>
      </x:c>
      <x:c r="F12" s="63" t="str">
        <x:v>checkout-primary</x:v>
      </x:c>
      <x:c r="G12" s="63" t="str">
        <x:v>Latency panel</x:v>
      </x:c>
      <x:c r="H12" s="64" t="str">
        <x:v>Remain below paging threshold</x:v>
      </x:c>
    </x:row>
    <x:row r="13">
      <x:c r="A13" s="65" t="str">
        <x:v>Synthetic purchase</x:v>
      </x:c>
      <x:c r="B13" s="66" t="str">
        <x:v>99.95%</x:v>
      </x:c>
      <x:c r="C13" s="66" t="str">
        <x:v>99.98%</x:v>
      </x:c>
      <x:c r="D13" s="66" t="str">
        <x:v>Healthy</x:v>
      </x:c>
      <x:c r="E13" s="66" t="str">
        <x:v>24h</x:v>
      </x:c>
      <x:c r="F13" s="66" t="str">
        <x:v>synthetics-secondary</x:v>
      </x:c>
      <x:c r="G13" s="66" t="str">
        <x:v>Synthetic probes</x:v>
      </x:c>
      <x:c r="H13" s="67" t="str">
        <x:v>All regions passing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6" hidden="0" customWidth="1"/>
  </x:cols>
  <x:sheetData>
    <x:row r="1" ht="28" customHeight="1">
      <x:c r="A1" s="4" t="str">
        <x:v>Checkout SVC-17 | Daily Availability Inputs</x:v>
      </x:c>
      <x:c r="B1" s="4"/>
      <x:c r="C1" s="4"/>
      <x:c r="D1" s="4"/>
      <x:c r="E1" s="4"/>
      <x:c r="F1" s="4"/>
      <x:c r="G1" s="4"/>
      <x:c r="H1" s="4"/>
    </x:row>
    <x:row r="2">
      <x:c r="A2" s="42" t="str">
        <x:v>Date</x:v>
      </x:c>
      <x:c r="B2" s="43" t="str">
        <x:v>Successful requests</x:v>
      </x:c>
      <x:c r="C2" s="43" t="str">
        <x:v>Eligible requests</x:v>
      </x:c>
      <x:c r="D2" s="43" t="str">
        <x:v>Availability SLO</x:v>
      </x:c>
      <x:c r="E2" s="43" t="str">
        <x:v>Observed availability</x:v>
      </x:c>
      <x:c r="F2" s="43" t="str">
        <x:v>Error requests</x:v>
      </x:c>
      <x:c r="G2" s="43" t="str">
        <x:v>Budget consumed</x:v>
      </x:c>
      <x:c r="H2" s="44" t="str">
        <x:v>Daily status</x:v>
      </x:c>
    </x:row>
    <x:row r="3">
      <x:c r="A3" s="86" t="n">
        <x:v>46203</x:v>
      </x:c>
      <x:c r="B3" s="87" t="n">
        <x:v>1215000</x:v>
      </x:c>
      <x:c r="C3" s="87" t="n">
        <x:v>1215900</x:v>
      </x:c>
      <x:c r="D3" s="88" t="n">
        <x:v>0.999</x:v>
      </x:c>
      <x:c r="E3" s="88" t="n">
        <x:f>B3/C3</x:f>
        <x:v>0.999259807549963</x:v>
      </x:c>
      <x:c r="F3" s="87" t="n">
        <x:f>C3-B3</x:f>
        <x:v>900</x:v>
      </x:c>
      <x:c r="G3" s="89" t="n">
        <x:f>MAX(0,(1-E3)/(1-D3))</x:f>
        <x:v>0.7401924500369799</x:v>
      </x:c>
      <x:c r="H3" s="90" t="str">
        <x:v>Healthy</x:v>
      </x:c>
    </x:row>
    <x:row r="4">
      <x:c r="A4" s="91" t="n">
        <x:v>46204</x:v>
      </x:c>
      <x:c r="B4" s="92" t="n">
        <x:v>1230200</x:v>
      </x:c>
      <x:c r="C4" s="92" t="n">
        <x:v>1231300</x:v>
      </x:c>
      <x:c r="D4" s="93" t="n">
        <x:v>0.999</x:v>
      </x:c>
      <x:c r="E4" s="93" t="n">
        <x:f>B4/C4</x:f>
        <x:v>0.9991066352635426</x:v>
      </x:c>
      <x:c r="F4" s="92" t="n">
        <x:f>C4-B4</x:f>
        <x:v>1100</x:v>
      </x:c>
      <x:c r="G4" s="94" t="n">
        <x:f>MAX(0,(1-E4)/(1-D4))</x:f>
        <x:v>0.8933647364574019</x:v>
      </x:c>
      <x:c r="H4" s="95" t="str">
        <x:v>Healthy</x:v>
      </x:c>
    </x:row>
    <x:row r="5">
      <x:c r="A5" s="91" t="n">
        <x:v>46205</x:v>
      </x:c>
      <x:c r="B5" s="92" t="n">
        <x:v>1246700</x:v>
      </x:c>
      <x:c r="C5" s="92" t="n">
        <x:v>1248200</x:v>
      </x:c>
      <x:c r="D5" s="93" t="n">
        <x:v>0.999</x:v>
      </x:c>
      <x:c r="E5" s="93" t="n">
        <x:f>B5/C5</x:f>
        <x:v>0.9987982695080917</x:v>
      </x:c>
      <x:c r="F5" s="92" t="n">
        <x:f>C5-B5</x:f>
        <x:v>1500</x:v>
      </x:c>
      <x:c r="G5" s="94" t="n">
        <x:f>MAX(0,(1-E5)/(1-D5))</x:f>
        <x:v>1.2017304919083027</x:v>
      </x:c>
      <x:c r="H5" s="95" t="str">
        <x:v>Watch</x:v>
      </x:c>
    </x:row>
    <x:row r="6">
      <x:c r="A6" s="91" t="n">
        <x:v>46206</x:v>
      </x:c>
      <x:c r="B6" s="92" t="n">
        <x:v>1224400</x:v>
      </x:c>
      <x:c r="C6" s="92" t="n">
        <x:v>1226100</x:v>
      </x:c>
      <x:c r="D6" s="93" t="n">
        <x:v>0.999</x:v>
      </x:c>
      <x:c r="E6" s="93" t="n">
        <x:f>B6/C6</x:f>
        <x:v>0.9986134899274122</x:v>
      </x:c>
      <x:c r="F6" s="92" t="n">
        <x:f>C6-B6</x:f>
        <x:v>1700</x:v>
      </x:c>
      <x:c r="G6" s="94" t="n">
        <x:f>MAX(0,(1-E6)/(1-D6))</x:f>
        <x:v>1.3865100725878308</x:v>
      </x:c>
      <x:c r="H6" s="95" t="str">
        <x:v>Watch</x:v>
      </x:c>
    </x:row>
    <x:row r="7">
      <x:c r="A7" s="91" t="n">
        <x:v>46207</x:v>
      </x:c>
      <x:c r="B7" s="92" t="n">
        <x:v>1173000</x:v>
      </x:c>
      <x:c r="C7" s="92" t="n">
        <x:v>1173900</x:v>
      </x:c>
      <x:c r="D7" s="93" t="n">
        <x:v>0.999</x:v>
      </x:c>
      <x:c r="E7" s="93" t="n">
        <x:f>B7/C7</x:f>
        <x:v>0.9992333248147202</x:v>
      </x:c>
      <x:c r="F7" s="92" t="n">
        <x:f>C7-B7</x:f>
        <x:v>900</x:v>
      </x:c>
      <x:c r="G7" s="94" t="n">
        <x:f>MAX(0,(1-E7)/(1-D7))</x:f>
        <x:v>0.7666751852798408</x:v>
      </x:c>
      <x:c r="H7" s="95" t="str">
        <x:v>Healthy</x:v>
      </x:c>
    </x:row>
    <x:row r="8">
      <x:c r="A8" s="91" t="n">
        <x:v>46208</x:v>
      </x:c>
      <x:c r="B8" s="92" t="n">
        <x:v>1099500</x:v>
      </x:c>
      <x:c r="C8" s="92" t="n">
        <x:v>1100200</x:v>
      </x:c>
      <x:c r="D8" s="93" t="n">
        <x:v>0.999</x:v>
      </x:c>
      <x:c r="E8" s="93" t="n">
        <x:f>B8/C8</x:f>
        <x:v>0.9993637520450828</x:v>
      </x:c>
      <x:c r="F8" s="92" t="n">
        <x:f>C8-B8</x:f>
        <x:v>700</x:v>
      </x:c>
      <x:c r="G8" s="94" t="n">
        <x:f>MAX(0,(1-E8)/(1-D8))</x:f>
        <x:v>0.6362479549172345</x:v>
      </x:c>
      <x:c r="H8" s="95" t="str">
        <x:v>Healthy</x:v>
      </x:c>
    </x:row>
    <x:row r="9">
      <x:c r="A9" s="91" t="n">
        <x:v>46209</x:v>
      </x:c>
      <x:c r="B9" s="92" t="n">
        <x:v>1285000</x:v>
      </x:c>
      <x:c r="C9" s="92" t="n">
        <x:v>1286500</x:v>
      </x:c>
      <x:c r="D9" s="93" t="n">
        <x:v>0.999</x:v>
      </x:c>
      <x:c r="E9" s="93" t="n">
        <x:f>B9/C9</x:f>
        <x:v>0.9988340458608628</x:v>
      </x:c>
      <x:c r="F9" s="92" t="n">
        <x:f>C9-B9</x:f>
        <x:v>1500</x:v>
      </x:c>
      <x:c r="G9" s="94" t="n">
        <x:f>MAX(0,(1-E9)/(1-D9))</x:f>
        <x:v>1.1659541391372252</x:v>
      </x:c>
      <x:c r="H9" s="95" t="str">
        <x:v>Watch</x:v>
      </x:c>
    </x:row>
    <x:row r="10">
      <x:c r="A10" s="91" t="n">
        <x:v>46210</x:v>
      </x:c>
      <x:c r="B10" s="92" t="n">
        <x:v>1312400</x:v>
      </x:c>
      <x:c r="C10" s="92" t="n">
        <x:v>1314500</x:v>
      </x:c>
      <x:c r="D10" s="93" t="n">
        <x:v>0.999</x:v>
      </x:c>
      <x:c r="E10" s="93" t="n">
        <x:f>B10/C10</x:f>
        <x:v>0.998402434385698</x:v>
      </x:c>
      <x:c r="F10" s="92" t="n">
        <x:f>C10-B10</x:f>
        <x:v>2100</x:v>
      </x:c>
      <x:c r="G10" s="94" t="n">
        <x:f>MAX(0,(1-E10)/(1-D10))</x:f>
        <x:v>1.5975656143020198</x:v>
      </x:c>
      <x:c r="H10" s="95" t="str">
        <x:v>Watch</x:v>
      </x:c>
    </x:row>
    <x:row r="11">
      <x:c r="A11" s="91" t="n">
        <x:v>46211</x:v>
      </x:c>
      <x:c r="B11" s="92" t="n">
        <x:v>1291600</x:v>
      </x:c>
      <x:c r="C11" s="92" t="n">
        <x:v>1292700</x:v>
      </x:c>
      <x:c r="D11" s="93" t="n">
        <x:v>0.999</x:v>
      </x:c>
      <x:c r="E11" s="93" t="n">
        <x:f>B11/C11</x:f>
        <x:v>0.9991490678425002</x:v>
      </x:c>
      <x:c r="F11" s="92" t="n">
        <x:f>C11-B11</x:f>
        <x:v>1100</x:v>
      </x:c>
      <x:c r="G11" s="94" t="n">
        <x:f>MAX(0,(1-E11)/(1-D11))</x:f>
        <x:v>0.8509321574997611</x:v>
      </x:c>
      <x:c r="H11" s="95" t="str">
        <x:v>Healthy</x:v>
      </x:c>
    </x:row>
    <x:row r="12">
      <x:c r="A12" s="91" t="n">
        <x:v>46212</x:v>
      </x:c>
      <x:c r="B12" s="92" t="n">
        <x:v>1304700</x:v>
      </x:c>
      <x:c r="C12" s="92" t="n">
        <x:v>1306100</x:v>
      </x:c>
      <x:c r="D12" s="93" t="n">
        <x:v>0.999</x:v>
      </x:c>
      <x:c r="E12" s="93" t="n">
        <x:f>B12/C12</x:f>
        <x:v>0.9989281065768318</x:v>
      </x:c>
      <x:c r="F12" s="92" t="n">
        <x:f>C12-B12</x:f>
        <x:v>1400</x:v>
      </x:c>
      <x:c r="G12" s="94" t="n">
        <x:f>MAX(0,(1-E12)/(1-D12))</x:f>
        <x:v>1.0718934231681567</x:v>
      </x:c>
      <x:c r="H12" s="95" t="str">
        <x:v>Watch</x:v>
      </x:c>
    </x:row>
    <x:row r="13">
      <x:c r="A13" s="91" t="n">
        <x:v>46213</x:v>
      </x:c>
      <x:c r="B13" s="92" t="n">
        <x:v>1330500</x:v>
      </x:c>
      <x:c r="C13" s="92" t="n">
        <x:v>1331700</x:v>
      </x:c>
      <x:c r="D13" s="93" t="n">
        <x:v>0.999</x:v>
      </x:c>
      <x:c r="E13" s="93" t="n">
        <x:f>B13/C13</x:f>
        <x:v>0.999098896147781</x:v>
      </x:c>
      <x:c r="F13" s="92" t="n">
        <x:f>C13-B13</x:f>
        <x:v>1200</x:v>
      </x:c>
      <x:c r="G13" s="94" t="n">
        <x:f>MAX(0,(1-E13)/(1-D13))</x:f>
        <x:v>0.9011038522189755</x:v>
      </x:c>
      <x:c r="H13" s="95" t="str">
        <x:v>Healthy</x:v>
      </x:c>
    </x:row>
    <x:row r="14">
      <x:c r="A14" s="91" t="n">
        <x:v>46214</x:v>
      </x:c>
      <x:c r="B14" s="92" t="n">
        <x:v>1322200</x:v>
      </x:c>
      <x:c r="C14" s="92" t="n">
        <x:v>1323600</x:v>
      </x:c>
      <x:c r="D14" s="93" t="n">
        <x:v>0.999</x:v>
      </x:c>
      <x:c r="E14" s="93" t="n">
        <x:f>B14/C14</x:f>
        <x:v>0.9989422786340284</x:v>
      </x:c>
      <x:c r="F14" s="92" t="n">
        <x:f>C14-B14</x:f>
        <x:v>1400</x:v>
      </x:c>
      <x:c r="G14" s="94" t="n">
        <x:f>MAX(0,(1-E14)/(1-D14))</x:f>
        <x:v>1.057721365971597</x:v>
      </x:c>
      <x:c r="H14" s="95" t="str">
        <x:v>Watch</x:v>
      </x:c>
    </x:row>
    <x:row r="15">
      <x:c r="A15" s="91" t="n">
        <x:v>46215</x:v>
      </x:c>
      <x:c r="B15" s="92" t="n">
        <x:v>1341600</x:v>
      </x:c>
      <x:c r="C15" s="92" t="n">
        <x:v>1343600</x:v>
      </x:c>
      <x:c r="D15" s="93" t="n">
        <x:v>0.999</x:v>
      </x:c>
      <x:c r="E15" s="93" t="n">
        <x:f>B15/C15</x:f>
        <x:v>0.9985114617445668</x:v>
      </x:c>
      <x:c r="F15" s="92" t="n">
        <x:f>C15-B15</x:f>
        <x:v>2000</x:v>
      </x:c>
      <x:c r="G15" s="94" t="n">
        <x:f>MAX(0,(1-E15)/(1-D15))</x:f>
        <x:v>1.488538255433157</x:v>
      </x:c>
      <x:c r="H15" s="95" t="str">
        <x:v>Watch</x:v>
      </x:c>
    </x:row>
    <x:row r="16">
      <x:c r="A16" s="96" t="n">
        <x:v>46216</x:v>
      </x:c>
      <x:c r="B16" s="97" t="n">
        <x:v>1352400</x:v>
      </x:c>
      <x:c r="C16" s="97" t="n">
        <x:v>1356200</x:v>
      </x:c>
      <x:c r="D16" s="98" t="n">
        <x:v>0.999</x:v>
      </x:c>
      <x:c r="E16" s="98" t="n">
        <x:f>B16/C16</x:f>
        <x:v>0.9971980533844566</x:v>
      </x:c>
      <x:c r="F16" s="97" t="n">
        <x:f>C16-B16</x:f>
        <x:v>3800</x:v>
      </x:c>
      <x:c r="G16" s="99" t="n">
        <x:f>MAX(0,(1-E16)/(1-D16))</x:f>
        <x:v>2.8019466155434465</x:v>
      </x:c>
      <x:c r="H16" s="100" t="str">
        <x:v>At risk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28" customHeight="1">
      <x:c r="A1" s="4" t="str">
        <x:v>Checkout SVC-17 | Multi-window Burn Analysis</x:v>
      </x:c>
      <x:c r="B1" s="4"/>
      <x:c r="C1" s="4"/>
      <x:c r="D1" s="4"/>
      <x:c r="E1" s="4"/>
      <x:c r="F1" s="4"/>
      <x:c r="G1" s="4"/>
    </x:row>
    <x:row r="2">
      <x:c r="A2" s="42" t="str">
        <x:v>Window</x:v>
      </x:c>
      <x:c r="B2" s="43" t="str">
        <x:v>Error rate</x:v>
      </x:c>
      <x:c r="C2" s="43" t="str">
        <x:v>Allowed error rate</x:v>
      </x:c>
      <x:c r="D2" s="43" t="str">
        <x:v>Error budget remaining</x:v>
      </x:c>
      <x:c r="E2" s="43" t="str">
        <x:v>Budget period fraction</x:v>
      </x:c>
      <x:c r="F2" s="43" t="str">
        <x:v>Burn rate</x:v>
      </x:c>
      <x:c r="G2" s="44" t="str">
        <x:v>Escalation</x:v>
      </x:c>
    </x:row>
    <x:row r="3">
      <x:c r="A3" s="104" t="str">
        <x:v>30d</x:v>
      </x:c>
      <x:c r="B3" s="88" t="n">
        <x:f>1-AVERAGE('Daily SLI'!$E$3:$E$16)</x:f>
        <x:v>0.0011828840224614723</x:v>
      </x:c>
      <x:c r="C3" s="88" t="n">
        <x:v>0.001</x:v>
      </x:c>
      <x:c r="D3" s="88" t="n">
        <x:v>0.024</x:v>
      </x:c>
      <x:c r="E3" s="88" t="n">
        <x:v>1</x:v>
      </x:c>
      <x:c r="F3" s="89" t="n">
        <x:f>B3/C3</x:f>
        <x:v>1.1828840224614723</x:v>
      </x:c>
      <x:c r="G3" s="90" t="str">
        <x:v>Incident commander review</x:v>
      </x:c>
    </x:row>
    <x:row r="4">
      <x:c r="A4" s="105" t="str">
        <x:v>7d</x:v>
      </x:c>
      <x:c r="B4" s="93" t="n">
        <x:v>0.0006</x:v>
      </x:c>
      <x:c r="C4" s="93" t="n">
        <x:v>0.001</x:v>
      </x:c>
      <x:c r="D4" s="93" t="n">
        <x:v>0.4</x:v>
      </x:c>
      <x:c r="E4" s="93" t="n">
        <x:v>0.233</x:v>
      </x:c>
      <x:c r="F4" s="94" t="n">
        <x:f>B4/C4</x:f>
        <x:v>0.6</x:v>
      </x:c>
      <x:c r="G4" s="95" t="str">
        <x:v>Ticket</x:v>
      </x:c>
    </x:row>
    <x:row r="5">
      <x:c r="A5" s="105" t="str">
        <x:v>24h</x:v>
      </x:c>
      <x:c r="B5" s="93" t="n">
        <x:v>0.0002</x:v>
      </x:c>
      <x:c r="C5" s="93" t="n">
        <x:v>0.001</x:v>
      </x:c>
      <x:c r="D5" s="93" t="n">
        <x:v>0.8</x:v>
      </x:c>
      <x:c r="E5" s="93" t="n">
        <x:v>0.033</x:v>
      </x:c>
      <x:c r="F5" s="94" t="n">
        <x:f>B5/C5</x:f>
        <x:v>0.2</x:v>
      </x:c>
      <x:c r="G5" s="95" t="str">
        <x:v>Observe</x:v>
      </x:c>
    </x:row>
    <x:row r="6">
      <x:c r="A6" s="105" t="str">
        <x:v>6h</x:v>
      </x:c>
      <x:c r="B6" s="93" t="n">
        <x:v>0.0019</x:v>
      </x:c>
      <x:c r="C6" s="93" t="n">
        <x:v>0.001</x:v>
      </x:c>
      <x:c r="D6" s="93" t="n">
        <x:v>0</x:v>
      </x:c>
      <x:c r="E6" s="93" t="n">
        <x:v>0.0083</x:v>
      </x:c>
      <x:c r="F6" s="94" t="n">
        <x:f>B6/C6</x:f>
        <x:v>1.9</x:v>
      </x:c>
      <x:c r="G6" s="95" t="str">
        <x:v>Page</x:v>
      </x:c>
    </x:row>
    <x:row r="7">
      <x:c r="A7" s="106" t="str">
        <x:v>1h</x:v>
      </x:c>
      <x:c r="B7" s="98" t="n">
        <x:v>0.0009</x:v>
      </x:c>
      <x:c r="C7" s="98" t="n">
        <x:v>0.001</x:v>
      </x:c>
      <x:c r="D7" s="98" t="n">
        <x:v>0.1</x:v>
      </x:c>
      <x:c r="E7" s="98" t="n">
        <x:v>0.0014</x:v>
      </x:c>
      <x:c r="F7" s="99" t="n">
        <x:f>B7/C7</x:f>
        <x:v>0.8999999999999999</x:v>
      </x:c>
      <x:c r="G7" s="100" t="str">
        <x:v>Page if sustained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36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</x:cols>
  <x:sheetData>
    <x:row r="1" ht="28" customHeight="1">
      <x:c r="A1" s="4" t="str">
        <x:v>Checkout SVC-17 | Follow-up Actions</x:v>
      </x:c>
      <x:c r="B1" s="4"/>
      <x:c r="C1" s="4"/>
      <x:c r="D1" s="4"/>
      <x:c r="E1" s="4"/>
      <x:c r="F1" s="4"/>
      <x:c r="G1" s="4"/>
    </x:row>
    <x:row r="2">
      <x:c r="A2" s="42" t="str">
        <x:v>Action ID</x:v>
      </x:c>
      <x:c r="B2" s="43" t="str">
        <x:v>Linked incident</x:v>
      </x:c>
      <x:c r="C2" s="43" t="str">
        <x:v>Action</x:v>
      </x:c>
      <x:c r="D2" s="43" t="str">
        <x:v>Owner rotation</x:v>
      </x:c>
      <x:c r="E2" s="43" t="str">
        <x:v>Due date</x:v>
      </x:c>
      <x:c r="F2" s="43" t="str">
        <x:v>Status</x:v>
      </x:c>
      <x:c r="G2" s="44" t="str">
        <x:v>Verification signal</x:v>
      </x:c>
    </x:row>
    <x:row r="3">
      <x:c r="A3" s="58" t="str">
        <x:v>SLO-241</x:v>
      </x:c>
      <x:c r="B3" s="59" t="str">
        <x:v>INC-260713</x:v>
      </x:c>
      <x:c r="C3" s="59" t="str">
        <x:v>Tune payment-router retry budget</x:v>
      </x:c>
      <x:c r="D3" s="59" t="str">
        <x:v>checkout-primary</x:v>
      </x:c>
      <x:c r="E3" s="111" t="n">
        <x:v>46220</x:v>
      </x:c>
      <x:c r="F3" s="59" t="str">
        <x:v>In progress</x:v>
      </x:c>
      <x:c r="G3" s="61" t="str">
        <x:v>payment-authorize p99</x:v>
      </x:c>
    </x:row>
    <x:row r="4">
      <x:c r="A4" s="62" t="str">
        <x:v>SLO-242</x:v>
      </x:c>
      <x:c r="B4" s="63" t="str">
        <x:v>INC-260713</x:v>
      </x:c>
      <x:c r="C4" s="63" t="str">
        <x:v>Add saturation alert for identity-cache</x:v>
      </x:c>
      <x:c r="D4" s="63" t="str">
        <x:v>platform-secondary</x:v>
      </x:c>
      <x:c r="E4" s="112" t="n">
        <x:v>46218</x:v>
      </x:c>
      <x:c r="F4" s="63" t="str">
        <x:v>Planned</x:v>
      </x:c>
      <x:c r="G4" s="64" t="str">
        <x:v>cache memory utilization</x:v>
      </x:c>
    </x:row>
    <x:row r="5">
      <x:c r="A5" s="62" t="str">
        <x:v>SLO-243</x:v>
      </x:c>
      <x:c r="B5" s="63" t="str">
        <x:v>INC-260713</x:v>
      </x:c>
      <x:c r="C5" s="63" t="str">
        <x:v>Review receipt publisher backpressure</x:v>
      </x:c>
      <x:c r="D5" s="63" t="str">
        <x:v>checkout-primary</x:v>
      </x:c>
      <x:c r="E5" s="112" t="n">
        <x:v>46221</x:v>
      </x:c>
      <x:c r="F5" s="63" t="str">
        <x:v>In progress</x:v>
      </x:c>
      <x:c r="G5" s="64" t="str">
        <x:v>receipt publish success</x:v>
      </x:c>
    </x:row>
    <x:row r="6">
      <x:c r="A6" s="65" t="str">
        <x:v>SLO-244</x:v>
      </x:c>
      <x:c r="B6" s="66" t="str">
        <x:v>INC-260711</x:v>
      </x:c>
      <x:c r="C6" s="66" t="str">
        <x:v>Validate token mint fallback test</x:v>
      </x:c>
      <x:c r="D6" s="66" t="str">
        <x:v>identity-primary</x:v>
      </x:c>
      <x:c r="E6" s="113" t="n">
        <x:v>46223</x:v>
      </x:c>
      <x:c r="F6" s="66" t="str">
        <x:v>Planned</x:v>
      </x:c>
      <x:c r="G6" s="67" t="str">
        <x:v>token mint success</x:v>
      </x:c>
    </x:row>
  </x:sheetData>
  <x:mergeCells>
    <x:mergeCell ref="A1:G1"/>
  </x:mergeCells>
  <x:pageMargins left="0.7" right="0.7" top="0.75" bottom="0.75" header="0.3" footer="0.3"/>
</x:worksheet>
</file>