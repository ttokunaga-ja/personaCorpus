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297fc15eb4d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alth Summary" sheetId="1" r:id="R5e96eada20c84439"/>
    <x:sheet xmlns:r="http://schemas.openxmlformats.org/officeDocument/2006/relationships" name="Shift Roster" sheetId="2" r:id="R4a2e9584af8d497f"/>
    <x:sheet xmlns:r="http://schemas.openxmlformats.org/officeDocument/2006/relationships" name="Paging Load" sheetId="3" r:id="R488cb2db28d04465"/>
    <x:sheet xmlns:r="http://schemas.openxmlformats.org/officeDocument/2006/relationships" name="Handoff Readiness" sheetId="4" r:id="R61d7bc3c767c4e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"/>
    <x:numFmt numFmtId="202" formatCode="#,##0"/>
    <x:numFmt numFmtId="203" formatCode="yyyy-mm-dd hh:mm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047"/>
      <x:name val="Carlito"/>
    </x:font>
    <x:font>
      <x:b/>
      <x:sz val="14"/>
      <x:color rgb="FF12304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4F4"/>
      </x:patternFill>
    </x:fill>
    <x:fill>
      <x:patternFill patternType="solid">
        <x:fgColor rgb="FFFFF1CC"/>
      </x:patternFill>
    </x:fill>
    <x:fill>
      <x:patternFill patternType="solid">
        <x:fgColor rgb="FF007F82"/>
      </x:patternFill>
    </x:fill>
  </x:fills>
  <x:borders count="11">
    <x:border/>
    <x:border>
      <x:left style="thin">
        <x:color rgb="FFC9D5DB"/>
      </x:left>
      <x:right style="thin">
        <x:color rgb="FFC9D5DB"/>
      </x:right>
      <x:top style="thin">
        <x:color rgb="FFC9D5DB"/>
      </x:top>
      <x:bottom style="thin">
        <x:color rgb="FFC9D5DB"/>
      </x:bottom>
    </x:border>
    <x:border>
      <x:left style="thin">
        <x:color rgb="FFC9D5DB"/>
      </x:left>
      <x:top style="thin">
        <x:color rgb="FFC9D5DB"/>
      </x:top>
      <x:bottom style="thin">
        <x:color rgb="FFC9D5DB"/>
      </x:bottom>
    </x:border>
    <x:border>
      <x:top style="thin">
        <x:color rgb="FFC9D5DB"/>
      </x:top>
      <x:bottom style="thin">
        <x:color rgb="FFC9D5DB"/>
      </x:bottom>
    </x:border>
    <x:border>
      <x:right style="thin">
        <x:color rgb="FFC9D5DB"/>
      </x:right>
      <x:top style="thin">
        <x:color rgb="FFC9D5DB"/>
      </x:top>
      <x:bottom style="thin">
        <x:color rgb="FFC9D5DB"/>
      </x:bottom>
    </x:border>
    <x:border>
      <x:right style="thin">
        <x:color rgb="FFC9D5DB"/>
      </x:right>
      <x:bottom style="thin">
        <x:color rgb="FFC9D5DB"/>
      </x:bottom>
    </x:border>
    <x:border>
      <x:left style="thin">
        <x:color rgb="FFC9D5DB"/>
      </x:left>
      <x:right style="thin">
        <x:color rgb="FFC9D5DB"/>
      </x:right>
      <x:bottom style="thin">
        <x:color rgb="FFC9D5DB"/>
      </x:bottom>
    </x:border>
    <x:border>
      <x:left style="thin">
        <x:color rgb="FFC9D5DB"/>
      </x:left>
      <x:bottom style="thin">
        <x:color rgb="FFC9D5DB"/>
      </x:bottom>
    </x:border>
    <x:border>
      <x:right style="thin">
        <x:color rgb="FFC9D5DB"/>
      </x:right>
      <x:top style="thin">
        <x:color rgb="FFC9D5DB"/>
      </x:top>
    </x:border>
    <x:border>
      <x:left style="thin">
        <x:color rgb="FFC9D5DB"/>
      </x:left>
      <x:right style="thin">
        <x:color rgb="FFC9D5DB"/>
      </x:right>
      <x:top style="thin">
        <x:color rgb="FFC9D5DB"/>
      </x:top>
    </x:border>
    <x:border>
      <x:left style="thin">
        <x:color rgb="FFC9D5DB"/>
      </x:left>
      <x:top style="thin">
        <x:color rgb="FFC9D5DB"/>
      </x:top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200" fontId="3" fillId="3" borderId="1" xfId="0" applyNumberFormat="1" applyFont="1" applyFill="1" applyBorder="1"/>
    <x:xf numFmtId="200" fontId="3" fillId="3" borderId="1" xfId="0" applyNumberFormat="1" applyFont="1" applyFill="1" applyBorder="1" applyAlignment="1">
      <x:alignment horizontal="center"/>
    </x:xf>
    <x:xf numFmtId="201" fontId="3" fillId="3" borderId="1" xfId="0" applyNumberFormat="1" applyFont="1" applyFill="1" applyBorder="1"/>
    <x:xf numFmtId="201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200" fontId="3" fillId="4" borderId="1" xfId="0" applyNumberFormat="1" applyFont="1" applyFill="1" applyBorder="1"/>
    <x:xf numFmtId="20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2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2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6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203" fontId="0" fillId="0" borderId="6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3" fontId="0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1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4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1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b07831ab484813" /><Relationship Type="http://schemas.openxmlformats.org/officeDocument/2006/relationships/theme" Target="/xl/theme/theme1.xml" Id="Rcd064f3705ab49b4" /><Relationship Type="http://schemas.openxmlformats.org/officeDocument/2006/relationships/sharedStrings" Target="/xl/sharedStrings.xml" Id="R266053ee148645d1" /><Relationship Type="http://schemas.openxmlformats.org/officeDocument/2006/relationships/worksheet" Target="/xl/worksheets/sheet1.xml" Id="R5e96eada20c84439" /><Relationship Type="http://schemas.openxmlformats.org/officeDocument/2006/relationships/worksheet" Target="/xl/worksheets/sheet2.xml" Id="R4a2e9584af8d497f" /><Relationship Type="http://schemas.openxmlformats.org/officeDocument/2006/relationships/worksheet" Target="/xl/worksheets/sheet3.xml" Id="R488cb2db28d04465" /><Relationship Type="http://schemas.openxmlformats.org/officeDocument/2006/relationships/worksheet" Target="/xl/worksheets/sheet4.xml" Id="R61d7bc3c767c4e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4" hidden="0" customWidth="1"/>
  </x:cols>
  <x:sheetData>
    <x:row r="1" ht="28" customHeight="1">
      <x:c r="A1" s="4" t="str">
        <x:v>Northstar Transit Cloud | On-call Health | 2026-07-13</x:v>
      </x:c>
      <x:c r="B1" s="4"/>
      <x:c r="C1" s="4"/>
      <x:c r="D1" s="4"/>
      <x:c r="E1" s="4"/>
      <x:c r="F1" s="4"/>
      <x:c r="G1" s="4"/>
      <x:c r="H1" s="4"/>
    </x:row>
    <x:row r="3">
      <x:c r="A3" s="8" t="str">
        <x:v>Scheduled coverage</x:v>
      </x:c>
      <x:c r="C3" s="8" t="str">
        <x:v>Pages per primary</x:v>
      </x:c>
      <x:c r="E3" s="8" t="str">
        <x:v>Acknowledgment within 5m</x:v>
      </x:c>
      <x:c r="G3" s="18" t="str">
        <x:v>Handoff readiness</x:v>
      </x:c>
    </x:row>
    <x:row r="4">
      <x:c r="A4" s="12" t="n">
        <x:f>COUNTIF('Shift Roster'!$G$2:$G$8,"Confirmed")/COUNTA('Shift Roster'!$A$2:$A$8)</x:f>
        <x:v>0.8571428571428571</x:v>
      </x:c>
      <x:c r="C4" s="14" t="n">
        <x:f>AVERAGE('Paging Load'!$D$2:$D$6)</x:f>
        <x:v>4.25</x:v>
      </x:c>
      <x:c r="E4" s="12" t="n">
        <x:f>COUNTIF('Paging Load'!$G$2:$G$6,"Within target")/COUNTA('Paging Load'!$G$2:$G$6)</x:f>
        <x:v>0.8</x:v>
      </x:c>
      <x:c r="G4" s="22" t="n">
        <x:f>COUNTIF('Handoff Readiness'!$F$2:$F$6,"Ready")/COUNTA('Handoff Readiness'!$F$2:$F$6)</x:f>
        <x:v>0.6</x:v>
      </x:c>
    </x:row>
    <x:row r="7">
      <x:c r="A7" s="34" t="str">
        <x:v>Team</x:v>
      </x:c>
      <x:c r="B7" s="35" t="str">
        <x:v>Primary rotation</x:v>
      </x:c>
      <x:c r="C7" s="35" t="str">
        <x:v>Secondary rotation</x:v>
      </x:c>
      <x:c r="D7" s="35" t="str">
        <x:v>Open pages</x:v>
      </x:c>
      <x:c r="E7" s="35" t="str">
        <x:v>Fatigue signal</x:v>
      </x:c>
      <x:c r="F7" s="35" t="str">
        <x:v>Next handoff UTC</x:v>
      </x:c>
      <x:c r="G7" s="35" t="str">
        <x:v>Coverage status</x:v>
      </x:c>
      <x:c r="H7" s="36" t="str">
        <x:v>Operational note</x:v>
      </x:c>
    </x:row>
    <x:row r="8">
      <x:c r="A8" s="52" t="str">
        <x:v>Checkout</x:v>
      </x:c>
      <x:c r="B8" s="53" t="str">
        <x:v>checkout-primary</x:v>
      </x:c>
      <x:c r="C8" s="53" t="str">
        <x:v>checkout-secondary</x:v>
      </x:c>
      <x:c r="D8" s="54" t="n">
        <x:v>7</x:v>
      </x:c>
      <x:c r="E8" s="53" t="str">
        <x:v>Watch</x:v>
      </x:c>
      <x:c r="F8" s="53" t="str">
        <x:v>2026-07-13 16:00</x:v>
      </x:c>
      <x:c r="G8" s="53" t="str">
        <x:v>Covered</x:v>
      </x:c>
      <x:c r="H8" s="55" t="str">
        <x:v>INC-260713 remains in monitoring</x:v>
      </x:c>
    </x:row>
    <x:row r="9">
      <x:c r="A9" s="56" t="str">
        <x:v>Identity</x:v>
      </x:c>
      <x:c r="B9" s="57" t="str">
        <x:v>identity-primary</x:v>
      </x:c>
      <x:c r="C9" s="57" t="str">
        <x:v>identity-secondary</x:v>
      </x:c>
      <x:c r="D9" s="58" t="n">
        <x:v>3</x:v>
      </x:c>
      <x:c r="E9" s="57" t="str">
        <x:v>Healthy</x:v>
      </x:c>
      <x:c r="F9" s="57" t="str">
        <x:v>2026-07-13 16:00</x:v>
      </x:c>
      <x:c r="G9" s="57" t="str">
        <x:v>Covered</x:v>
      </x:c>
      <x:c r="H9" s="59" t="str">
        <x:v>Token mint SLO follow-up queued</x:v>
      </x:c>
    </x:row>
    <x:row r="10">
      <x:c r="A10" s="56" t="str">
        <x:v>Platform</x:v>
      </x:c>
      <x:c r="B10" s="57" t="str">
        <x:v>platform-primary</x:v>
      </x:c>
      <x:c r="C10" s="57" t="str">
        <x:v>platform-secondary</x:v>
      </x:c>
      <x:c r="D10" s="58" t="n">
        <x:v>5</x:v>
      </x:c>
      <x:c r="E10" s="57" t="str">
        <x:v>Watch</x:v>
      </x:c>
      <x:c r="F10" s="57" t="str">
        <x:v>2026-07-13 17:00</x:v>
      </x:c>
      <x:c r="G10" s="57" t="str">
        <x:v>Covered</x:v>
      </x:c>
      <x:c r="H10" s="59" t="str">
        <x:v>Identity cache utilization elevated</x:v>
      </x:c>
    </x:row>
    <x:row r="11">
      <x:c r="A11" s="60" t="str">
        <x:v>Observability</x:v>
      </x:c>
      <x:c r="B11" s="61" t="str">
        <x:v>telemetry-primary</x:v>
      </x:c>
      <x:c r="C11" s="61" t="str">
        <x:v>telemetry-secondary</x:v>
      </x:c>
      <x:c r="D11" s="62" t="n">
        <x:v>2</x:v>
      </x:c>
      <x:c r="E11" s="61" t="str">
        <x:v>Healthy</x:v>
      </x:c>
      <x:c r="F11" s="61" t="str">
        <x:v>2026-07-13 17:00</x:v>
      </x:c>
      <x:c r="G11" s="61" t="str">
        <x:v>Covered</x:v>
      </x:c>
      <x:c r="H11" s="63" t="str">
        <x:v>Trace lag within watch threshold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8" customHeight="1">
      <x:c r="A1" s="4" t="str">
        <x:v>Northstar Transit Cloud | Shift Coverage</x:v>
      </x:c>
      <x:c r="B1" s="4"/>
      <x:c r="C1" s="4"/>
      <x:c r="D1" s="4"/>
      <x:c r="E1" s="4"/>
      <x:c r="F1" s="4"/>
      <x:c r="G1" s="4"/>
    </x:row>
    <x:row r="2">
      <x:c r="A2" s="34" t="str">
        <x:v>Team</x:v>
      </x:c>
      <x:c r="B2" s="35" t="str">
        <x:v>Shift start UTC</x:v>
      </x:c>
      <x:c r="C2" s="35" t="str">
        <x:v>Shift end UTC</x:v>
      </x:c>
      <x:c r="D2" s="35" t="str">
        <x:v>Primary rotation</x:v>
      </x:c>
      <x:c r="E2" s="35" t="str">
        <x:v>Secondary rotation</x:v>
      </x:c>
      <x:c r="F2" s="35" t="str">
        <x:v>Escalation lead</x:v>
      </x:c>
      <x:c r="G2" s="36" t="str">
        <x:v>Coverage status</x:v>
      </x:c>
    </x:row>
    <x:row r="3">
      <x:c r="A3" s="52" t="str">
        <x:v>Checkout</x:v>
      </x:c>
      <x:c r="B3" s="69" t="n">
        <x:v>46216</x:v>
      </x:c>
      <x:c r="C3" s="69" t="n">
        <x:v>46216.333333333336</x:v>
      </x:c>
      <x:c r="D3" s="53" t="str">
        <x:v>checkout-primary</x:v>
      </x:c>
      <x:c r="E3" s="53" t="str">
        <x:v>checkout-secondary</x:v>
      </x:c>
      <x:c r="F3" s="53" t="str">
        <x:v>incident-lead-a</x:v>
      </x:c>
      <x:c r="G3" s="55" t="str">
        <x:v>Confirmed</x:v>
      </x:c>
    </x:row>
    <x:row r="4">
      <x:c r="A4" s="56" t="str">
        <x:v>Identity</x:v>
      </x:c>
      <x:c r="B4" s="70" t="n">
        <x:v>46216</x:v>
      </x:c>
      <x:c r="C4" s="70" t="n">
        <x:v>46216.333333333336</x:v>
      </x:c>
      <x:c r="D4" s="57" t="str">
        <x:v>identity-primary</x:v>
      </x:c>
      <x:c r="E4" s="57" t="str">
        <x:v>identity-secondary</x:v>
      </x:c>
      <x:c r="F4" s="57" t="str">
        <x:v>incident-lead-b</x:v>
      </x:c>
      <x:c r="G4" s="59" t="str">
        <x:v>Confirmed</x:v>
      </x:c>
    </x:row>
    <x:row r="5">
      <x:c r="A5" s="56" t="str">
        <x:v>Platform</x:v>
      </x:c>
      <x:c r="B5" s="70" t="n">
        <x:v>46216.333333333336</x:v>
      </x:c>
      <x:c r="C5" s="70" t="n">
        <x:v>46216.666666666664</x:v>
      </x:c>
      <x:c r="D5" s="57" t="str">
        <x:v>platform-primary</x:v>
      </x:c>
      <x:c r="E5" s="57" t="str">
        <x:v>platform-secondary</x:v>
      </x:c>
      <x:c r="F5" s="57" t="str">
        <x:v>incident-lead-c</x:v>
      </x:c>
      <x:c r="G5" s="59" t="str">
        <x:v>Confirmed</x:v>
      </x:c>
    </x:row>
    <x:row r="6">
      <x:c r="A6" s="56" t="str">
        <x:v>Observability</x:v>
      </x:c>
      <x:c r="B6" s="70" t="n">
        <x:v>46216.333333333336</x:v>
      </x:c>
      <x:c r="C6" s="70" t="n">
        <x:v>46216.666666666664</x:v>
      </x:c>
      <x:c r="D6" s="57" t="str">
        <x:v>telemetry-primary</x:v>
      </x:c>
      <x:c r="E6" s="57" t="str">
        <x:v>telemetry-secondary</x:v>
      </x:c>
      <x:c r="F6" s="57" t="str">
        <x:v>incident-lead-c</x:v>
      </x:c>
      <x:c r="G6" s="59" t="str">
        <x:v>Confirmed</x:v>
      </x:c>
    </x:row>
    <x:row r="7">
      <x:c r="A7" s="56" t="str">
        <x:v>Checkout</x:v>
      </x:c>
      <x:c r="B7" s="70" t="n">
        <x:v>46216.666666666664</x:v>
      </x:c>
      <x:c r="C7" s="70" t="n">
        <x:v>46217</x:v>
      </x:c>
      <x:c r="D7" s="57" t="str">
        <x:v>checkout-secondary</x:v>
      </x:c>
      <x:c r="E7" s="57" t="str">
        <x:v>checkout-primary</x:v>
      </x:c>
      <x:c r="F7" s="57" t="str">
        <x:v>incident-lead-a</x:v>
      </x:c>
      <x:c r="G7" s="59" t="str">
        <x:v>Confirmed</x:v>
      </x:c>
    </x:row>
    <x:row r="8">
      <x:c r="A8" s="56" t="str">
        <x:v>Identity</x:v>
      </x:c>
      <x:c r="B8" s="70" t="n">
        <x:v>46216.666666666664</x:v>
      </x:c>
      <x:c r="C8" s="70" t="n">
        <x:v>46217</x:v>
      </x:c>
      <x:c r="D8" s="57" t="str">
        <x:v>identity-secondary</x:v>
      </x:c>
      <x:c r="E8" s="57" t="str">
        <x:v>identity-primary</x:v>
      </x:c>
      <x:c r="F8" s="57" t="str">
        <x:v>incident-lead-b</x:v>
      </x:c>
      <x:c r="G8" s="59" t="str">
        <x:v>Confirmed</x:v>
      </x:c>
    </x:row>
    <x:row r="9">
      <x:c r="A9" s="60" t="str">
        <x:v>Platform</x:v>
      </x:c>
      <x:c r="B9" s="71" t="n">
        <x:v>46216.666666666664</x:v>
      </x:c>
      <x:c r="C9" s="71" t="n">
        <x:v>46217</x:v>
      </x:c>
      <x:c r="D9" s="61" t="str">
        <x:v>platform-secondary</x:v>
      </x:c>
      <x:c r="E9" s="61" t="str">
        <x:v>platform-primary</x:v>
      </x:c>
      <x:c r="F9" s="61" t="str">
        <x:v>incident-lead-c</x:v>
      </x:c>
      <x:c r="G9" s="63" t="str">
        <x:v>Tentative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1" ht="28" customHeight="1">
      <x:c r="A1" s="4" t="str">
        <x:v>Northstar Transit Cloud | Paging Load</x:v>
      </x:c>
      <x:c r="B1" s="4"/>
      <x:c r="C1" s="4"/>
      <x:c r="D1" s="4"/>
      <x:c r="E1" s="4"/>
      <x:c r="F1" s="4"/>
      <x:c r="G1" s="4"/>
      <x:c r="H1" s="4"/>
    </x:row>
    <x:row r="2">
      <x:c r="A2" s="34" t="str">
        <x:v>Rotation</x:v>
      </x:c>
      <x:c r="B2" s="35" t="str">
        <x:v>Window</x:v>
      </x:c>
      <x:c r="C2" s="35" t="str">
        <x:v>Pages</x:v>
      </x:c>
      <x:c r="D2" s="35" t="str">
        <x:v>Pages per primary</x:v>
      </x:c>
      <x:c r="E2" s="35" t="str">
        <x:v>Median ack minutes</x:v>
      </x:c>
      <x:c r="F2" s="35" t="str">
        <x:v>Target ack minutes</x:v>
      </x:c>
      <x:c r="G2" s="35" t="str">
        <x:v>Ack status</x:v>
      </x:c>
      <x:c r="H2" s="36" t="str">
        <x:v>Primary service</x:v>
      </x:c>
    </x:row>
    <x:row r="3">
      <x:c r="A3" s="85" t="str">
        <x:v>checkout-primary</x:v>
      </x:c>
      <x:c r="B3" s="86" t="str">
        <x:v>08:00-16:00</x:v>
      </x:c>
      <x:c r="C3" s="87" t="n">
        <x:v>7</x:v>
      </x:c>
      <x:c r="D3" s="87" t="n">
        <x:f>C3/1</x:f>
        <x:v>7</x:v>
      </x:c>
      <x:c r="E3" s="87" t="n">
        <x:v>3</x:v>
      </x:c>
      <x:c r="F3" s="87" t="n">
        <x:v>5</x:v>
      </x:c>
      <x:c r="G3" s="86" t="str">
        <x:v>Within target</x:v>
      </x:c>
      <x:c r="H3" s="88" t="str">
        <x:v>Checkout SVC-17</x:v>
      </x:c>
    </x:row>
    <x:row r="4">
      <x:c r="A4" s="89" t="str">
        <x:v>identity-primary</x:v>
      </x:c>
      <x:c r="B4" s="90" t="str">
        <x:v>08:00-16:00</x:v>
      </x:c>
      <x:c r="C4" s="91" t="n">
        <x:v>3</x:v>
      </x:c>
      <x:c r="D4" s="91" t="n">
        <x:f>C4/1</x:f>
        <x:v>3</x:v>
      </x:c>
      <x:c r="E4" s="91" t="n">
        <x:v>3.5</x:v>
      </x:c>
      <x:c r="F4" s="91" t="n">
        <x:v>5</x:v>
      </x:c>
      <x:c r="G4" s="90" t="str">
        <x:v>Within target</x:v>
      </x:c>
      <x:c r="H4" s="92" t="str">
        <x:v>Identity Platform</x:v>
      </x:c>
    </x:row>
    <x:row r="5">
      <x:c r="A5" s="89" t="str">
        <x:v>platform-primary</x:v>
      </x:c>
      <x:c r="B5" s="90" t="str">
        <x:v>08:00-16:00</x:v>
      </x:c>
      <x:c r="C5" s="91" t="n">
        <x:v>5</x:v>
      </x:c>
      <x:c r="D5" s="91" t="n">
        <x:f>C5/1</x:f>
        <x:v>5</x:v>
      </x:c>
      <x:c r="E5" s="91" t="n">
        <x:v>4.6</x:v>
      </x:c>
      <x:c r="F5" s="91" t="n">
        <x:v>5</x:v>
      </x:c>
      <x:c r="G5" s="90" t="str">
        <x:v>Within target</x:v>
      </x:c>
      <x:c r="H5" s="92" t="str">
        <x:v>Platform Services</x:v>
      </x:c>
    </x:row>
    <x:row r="6">
      <x:c r="A6" s="89" t="str">
        <x:v>telemetry-primary</x:v>
      </x:c>
      <x:c r="B6" s="90" t="str">
        <x:v>08:00-16:00</x:v>
      </x:c>
      <x:c r="C6" s="91" t="n">
        <x:v>2</x:v>
      </x:c>
      <x:c r="D6" s="91" t="n">
        <x:f>C6/1</x:f>
        <x:v>2</x:v>
      </x:c>
      <x:c r="E6" s="91" t="n">
        <x:v>2.4</x:v>
      </x:c>
      <x:c r="F6" s="91" t="n">
        <x:v>5</x:v>
      </x:c>
      <x:c r="G6" s="90" t="str">
        <x:v>Within target</x:v>
      </x:c>
      <x:c r="H6" s="92" t="str">
        <x:v>Observability Pipeline</x:v>
      </x:c>
    </x:row>
    <x:row r="7">
      <x:c r="A7" s="93" t="str">
        <x:v>checkout-secondary</x:v>
      </x:c>
      <x:c r="B7" s="94" t="str">
        <x:v>16:00-24:00</x:v>
      </x:c>
      <x:c r="C7" s="95" t="n">
        <x:v>4</x:v>
      </x:c>
      <x:c r="D7" s="95" t="n">
        <x:f>C7/1</x:f>
        <x:v>4</x:v>
      </x:c>
      <x:c r="E7" s="95" t="n">
        <x:v>5.8</x:v>
      </x:c>
      <x:c r="F7" s="95" t="n">
        <x:v>5</x:v>
      </x:c>
      <x:c r="G7" s="94" t="str">
        <x:v>Over target</x:v>
      </x:c>
      <x:c r="H7" s="96" t="str">
        <x:v>Checkout SVC-17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42" hidden="0" customWidth="1"/>
  </x:cols>
  <x:sheetData>
    <x:row r="1" ht="28" customHeight="1">
      <x:c r="A1" s="4" t="str">
        <x:v>Northstar Transit Cloud | Handoff Readiness</x:v>
      </x:c>
      <x:c r="B1" s="4"/>
      <x:c r="C1" s="4"/>
      <x:c r="D1" s="4"/>
      <x:c r="E1" s="4"/>
      <x:c r="F1" s="4"/>
      <x:c r="G1" s="4"/>
    </x:row>
    <x:row r="2">
      <x:c r="A2" s="34" t="str">
        <x:v>Team</x:v>
      </x:c>
      <x:c r="B2" s="35" t="str">
        <x:v>Handoff UTC</x:v>
      </x:c>
      <x:c r="C2" s="35" t="str">
        <x:v>Open incident</x:v>
      </x:c>
      <x:c r="D2" s="35" t="str">
        <x:v>Runbook current</x:v>
      </x:c>
      <x:c r="E2" s="35" t="str">
        <x:v>Dashboard reviewed</x:v>
      </x:c>
      <x:c r="F2" s="35" t="str">
        <x:v>Readiness</x:v>
      </x:c>
      <x:c r="G2" s="36" t="str">
        <x:v>Incoming rotation note</x:v>
      </x:c>
    </x:row>
    <x:row r="3">
      <x:c r="A3" s="52" t="str">
        <x:v>Checkout</x:v>
      </x:c>
      <x:c r="B3" s="53" t="str">
        <x:v>2026-07-13 16:00</x:v>
      </x:c>
      <x:c r="C3" s="53" t="str">
        <x:v>INC-260713</x:v>
      </x:c>
      <x:c r="D3" s="53" t="str">
        <x:v>Yes</x:v>
      </x:c>
      <x:c r="E3" s="53" t="str">
        <x:v>Yes</x:v>
      </x:c>
      <x:c r="F3" s="53" t="str">
        <x:v>Ready</x:v>
      </x:c>
      <x:c r="G3" s="55" t="str">
        <x:v>Observe payment-router p99 through 18:00</x:v>
      </x:c>
    </x:row>
    <x:row r="4">
      <x:c r="A4" s="56" t="str">
        <x:v>Identity</x:v>
      </x:c>
      <x:c r="B4" s="57" t="str">
        <x:v>2026-07-13 16:00</x:v>
      </x:c>
      <x:c r="C4" s="57" t="str">
        <x:v>None</x:v>
      </x:c>
      <x:c r="D4" s="57" t="str">
        <x:v>Yes</x:v>
      </x:c>
      <x:c r="E4" s="57" t="str">
        <x:v>Yes</x:v>
      </x:c>
      <x:c r="F4" s="57" t="str">
        <x:v>Ready</x:v>
      </x:c>
      <x:c r="G4" s="59" t="str">
        <x:v>Confirm token mint fallback test schedule</x:v>
      </x:c>
    </x:row>
    <x:row r="5">
      <x:c r="A5" s="56" t="str">
        <x:v>Platform</x:v>
      </x:c>
      <x:c r="B5" s="57" t="str">
        <x:v>2026-07-13 17:00</x:v>
      </x:c>
      <x:c r="C5" s="57" t="str">
        <x:v>None</x:v>
      </x:c>
      <x:c r="D5" s="57" t="str">
        <x:v>Yes</x:v>
      </x:c>
      <x:c r="E5" s="57" t="str">
        <x:v>No</x:v>
      </x:c>
      <x:c r="F5" s="57" t="str">
        <x:v>Review needed</x:v>
      </x:c>
      <x:c r="G5" s="59" t="str">
        <x:v>Recheck identity-cache memory before handoff</x:v>
      </x:c>
    </x:row>
    <x:row r="6">
      <x:c r="A6" s="56" t="str">
        <x:v>Observability</x:v>
      </x:c>
      <x:c r="B6" s="57" t="str">
        <x:v>2026-07-13 17:00</x:v>
      </x:c>
      <x:c r="C6" s="57" t="str">
        <x:v>None</x:v>
      </x:c>
      <x:c r="D6" s="57" t="str">
        <x:v>Yes</x:v>
      </x:c>
      <x:c r="E6" s="57" t="str">
        <x:v>Yes</x:v>
      </x:c>
      <x:c r="F6" s="57" t="str">
        <x:v>Ready</x:v>
      </x:c>
      <x:c r="G6" s="59" t="str">
        <x:v>Watch trace gateway lag after traffic peak</x:v>
      </x:c>
    </x:row>
    <x:row r="7">
      <x:c r="A7" s="60" t="str">
        <x:v>Checkout</x:v>
      </x:c>
      <x:c r="B7" s="61" t="str">
        <x:v>2026-07-14 00:00</x:v>
      </x:c>
      <x:c r="C7" s="61" t="str">
        <x:v>INC-260713</x:v>
      </x:c>
      <x:c r="D7" s="61" t="str">
        <x:v>Yes</x:v>
      </x:c>
      <x:c r="E7" s="61" t="str">
        <x:v>Yes</x:v>
      </x:c>
      <x:c r="F7" s="61" t="str">
        <x:v>Ready</x:v>
      </x:c>
      <x:c r="G7" s="63" t="str">
        <x:v>Close loop on error budget recovery</x:v>
      </x:c>
    </x:row>
  </x:sheetData>
  <x:mergeCells>
    <x:mergeCell ref="A1:G1"/>
  </x:mergeCells>
  <x:pageMargins left="0.7" right="0.7" top="0.75" bottom="0.75" header="0.3" footer="0.3"/>
</x:worksheet>
</file>