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0813b2c2c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67cf5102104962"/>
    <x:sheet xmlns:r="http://schemas.openxmlformats.org/officeDocument/2006/relationships" name="Raw Data" sheetId="2" r:id="Re36fa05a921245dc"/>
    <x:sheet xmlns:r="http://schemas.openxmlformats.org/officeDocument/2006/relationships" name="Checks" sheetId="3" r:id="R66f71a367895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831bbb85643c7" /><Relationship Type="http://schemas.openxmlformats.org/officeDocument/2006/relationships/theme" Target="/xl/theme/theme1.xml" Id="Re6c6468c730b45ed" /><Relationship Type="http://schemas.openxmlformats.org/officeDocument/2006/relationships/sharedStrings" Target="/xl/sharedStrings.xml" Id="R09c30481f7a94c2d" /><Relationship Type="http://schemas.openxmlformats.org/officeDocument/2006/relationships/worksheet" Target="/xl/worksheets/sheet1.xml" Id="R0d67cf5102104962" /><Relationship Type="http://schemas.openxmlformats.org/officeDocument/2006/relationships/worksheet" Target="/xl/worksheets/sheet2.xml" Id="Re36fa05a921245dc" /><Relationship Type="http://schemas.openxmlformats.org/officeDocument/2006/relationships/worksheet" Target="/xl/worksheets/sheet3.xml" Id="R66f71a36789549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.779998779296875" hidden="0" customWidth="1"/>
    <x:col min="2" max="2" width="7.78000020980835" hidden="0" customWidth="1"/>
  </x:cols>
  <x:sheetData>
    <x:row r="1">
      <x:c r="A1" s="8" t="str">
        <x:v>Weekly GMV Bridge | Mosaic Retail</x:v>
      </x:c>
      <x:c r="B1" s="8"/>
      <x:c r="C1" s="9"/>
      <x:c r="D1" s="9"/>
      <x:c r="E1" s="9"/>
      <x:c r="F1" s="9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10" t="str">
        <x:v>FY26 Q3 | 2026-07-13 | GMV ¥84.2M | metric MTR-09</x:v>
      </x:c>
      <x:c r="B2" s="10"/>
      <x:c r="C2" s="11"/>
      <x:c r="D2" s="11"/>
      <x:c r="E2" s="11"/>
      <x:c r="F2" s="11"/>
    </x:row>
    <x:row r="3">
      <x:c r="A3" s="2"/>
      <x:c r="B3" s="2"/>
    </x:row>
    <x:row r="4">
      <x:c r="A4" s="2" t="str">
        <x:v>KPI</x:v>
      </x:c>
      <x:c r="B4" s="2" t="str">
        <x:v>Value</x:v>
      </x:c>
    </x:row>
    <x:row r="5">
      <x:c r="A5" s="2" t="str">
        <x:v>Actual GMV</x:v>
      </x:c>
      <x:c r="B5" s="3" t="n">
        <x:v>84200000</x:v>
      </x:c>
    </x:row>
    <x:row r="6">
      <x:c r="A6" s="2" t="str">
        <x:v>Plan GMV</x:v>
      </x:c>
      <x:c r="B6" s="3" t="n">
        <x:v>80000000</x:v>
      </x:c>
    </x:row>
    <x:row r="7">
      <x:c r="A7" s="2" t="str">
        <x:v>Prior GMV</x:v>
      </x:c>
      <x:c r="B7" s="3" t="n">
        <x:v>78600000</x:v>
      </x:c>
    </x:row>
    <x:row r="8">
      <x:c r="A8" s="2" t="str">
        <x:v>Actual vs plan</x:v>
      </x:c>
      <x:c r="B8" s="3" t="n">
        <x:f>B5-B6</x:f>
        <x:v>4200000</x:v>
      </x:c>
    </x:row>
    <x:row r="9">
      <x:c r="A9" s="2" t="str">
        <x:v>Actual vs prior</x:v>
      </x:c>
      <x:c r="B9" s="3" t="n">
        <x:f>B5-B7</x:f>
        <x:v>5600000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.220000267028809" hidden="0" customWidth="1"/>
    <x:col min="3" max="3" width="7.78000020980835" hidden="0" customWidth="1"/>
    <x:col min="4" max="4" width="6.889999866485596" hidden="0" customWidth="1"/>
    <x:col min="6" max="6" width="6.559999942779541" hidden="0" customWidth="1"/>
    <x:col min="7" max="7" width="9.220000267028809" hidden="0" customWidth="1"/>
  </x:cols>
  <x:sheetData>
    <x:row r="1">
      <x:c r="A1" s="6" t="str">
        <x:v>Date</x:v>
      </x:c>
      <x:c r="B1" s="6" t="str">
        <x:v>Daily GMV</x:v>
      </x:c>
      <x:c r="C1" s="6" t="str">
        <x:v>Plan GMV</x:v>
      </x:c>
      <x:c r="D1" s="6" t="str">
        <x:v>Variance</x:v>
      </x:c>
      <x:c r="E1" s="6"/>
      <x:c r="F1" s="6" t="str">
        <x:v>Channel</x:v>
      </x:c>
      <x:c r="G1" s="6" t="str">
        <x:v>Actual GMV</x:v>
      </x:c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2026-07-07</x:v>
      </x:c>
      <x:c r="B2" s="3" t="n">
        <x:v>10800000</x:v>
      </x:c>
      <x:c r="C2" s="3" t="n">
        <x:v>10000000</x:v>
      </x:c>
      <x:c r="D2" s="3" t="n">
        <x:f>B2-C2</x:f>
        <x:v>800000</x:v>
      </x:c>
      <x:c r="E2" s="2"/>
      <x:c r="F2" s="2" t="str">
        <x:v>Online</x:v>
      </x:c>
      <x:c r="G2" s="3" t="n">
        <x:v>46300000</x:v>
      </x:c>
    </x:row>
    <x:row r="3">
      <x:c r="A3" s="2" t="str">
        <x:v>2026-07-08</x:v>
      </x:c>
      <x:c r="B3" s="3" t="n">
        <x:v>11200000</x:v>
      </x:c>
      <x:c r="C3" s="3" t="n">
        <x:v>10500000</x:v>
      </x:c>
      <x:c r="D3" s="3" t="n">
        <x:f>B3-C3</x:f>
        <x:v>700000</x:v>
      </x:c>
      <x:c r="E3" s="2"/>
      <x:c r="F3" s="2" t="str">
        <x:v>Stores</x:v>
      </x:c>
      <x:c r="G3" s="3" t="n">
        <x:v>37900000</x:v>
      </x:c>
    </x:row>
    <x:row r="4">
      <x:c r="A4" s="2" t="str">
        <x:v>2026-07-09</x:v>
      </x:c>
      <x:c r="B4" s="3" t="n">
        <x:v>11500000</x:v>
      </x:c>
      <x:c r="C4" s="3" t="n">
        <x:v>11000000</x:v>
      </x:c>
      <x:c r="D4" s="3" t="n">
        <x:f>B4-C4</x:f>
        <x:v>500000</x:v>
      </x:c>
      <x:c r="E4" s="2"/>
      <x:c r="F4" s="2"/>
      <x:c r="G4" s="2"/>
    </x:row>
    <x:row r="5">
      <x:c r="A5" s="2" t="str">
        <x:v>2026-07-10</x:v>
      </x:c>
      <x:c r="B5" s="3" t="n">
        <x:v>12100000</x:v>
      </x:c>
      <x:c r="C5" s="3" t="n">
        <x:v>11500000</x:v>
      </x:c>
      <x:c r="D5" s="3" t="n">
        <x:f>B5-C5</x:f>
        <x:v>600000</x:v>
      </x:c>
      <x:c r="E5" s="2"/>
      <x:c r="F5" s="2"/>
      <x:c r="G5" s="2"/>
    </x:row>
    <x:row r="6">
      <x:c r="A6" s="2" t="str">
        <x:v>2026-07-11</x:v>
      </x:c>
      <x:c r="B6" s="3" t="n">
        <x:v>12400000</x:v>
      </x:c>
      <x:c r="C6" s="3" t="n">
        <x:v>12000000</x:v>
      </x:c>
      <x:c r="D6" s="3" t="n">
        <x:f>B6-C6</x:f>
        <x:v>400000</x:v>
      </x:c>
      <x:c r="E6" s="2"/>
      <x:c r="F6" s="2" t="str">
        <x:v>Region</x:v>
      </x:c>
      <x:c r="G6" s="2" t="str">
        <x:v>Actual GMV</x:v>
      </x:c>
    </x:row>
    <x:row r="7">
      <x:c r="A7" s="2" t="str">
        <x:v>2026-07-12</x:v>
      </x:c>
      <x:c r="B7" s="3" t="n">
        <x:v>13000000</x:v>
      </x:c>
      <x:c r="C7" s="3" t="n">
        <x:v>12500000</x:v>
      </x:c>
      <x:c r="D7" s="3" t="n">
        <x:f>B7-C7</x:f>
        <x:v>500000</x:v>
      </x:c>
      <x:c r="E7" s="2"/>
      <x:c r="F7" s="2" t="str">
        <x:v>East</x:v>
      </x:c>
      <x:c r="G7" s="3" t="n">
        <x:v>26400000</x:v>
      </x:c>
    </x:row>
    <x:row r="8">
      <x:c r="A8" s="2" t="str">
        <x:v>2026-07-13</x:v>
      </x:c>
      <x:c r="B8" s="3" t="n">
        <x:v>13200000</x:v>
      </x:c>
      <x:c r="C8" s="3" t="n">
        <x:v>12000000</x:v>
      </x:c>
      <x:c r="D8" s="3" t="n">
        <x:f>B8-C8</x:f>
        <x:v>1200000</x:v>
      </x:c>
      <x:c r="E8" s="2"/>
      <x:c r="F8" s="2" t="str">
        <x:v>West</x:v>
      </x:c>
      <x:c r="G8" s="3" t="n">
        <x:v>22800000</x:v>
      </x:c>
    </x:row>
    <x:row r="9">
      <x:c r="A9" s="2"/>
      <x:c r="B9" s="2"/>
      <x:c r="C9" s="2"/>
      <x:c r="D9" s="2"/>
      <x:c r="E9" s="2"/>
      <x:c r="F9" s="2" t="str">
        <x:v>Central</x:v>
      </x:c>
      <x:c r="G9" s="3" t="n">
        <x:v>18600000</x:v>
      </x:c>
    </x:row>
    <x:row r="10">
      <x:c r="A10" s="2"/>
      <x:c r="B10" s="2"/>
      <x:c r="C10" s="2"/>
      <x:c r="D10" s="2"/>
      <x:c r="E10" s="2"/>
      <x:c r="F10" s="2" t="str">
        <x:v>North</x:v>
      </x:c>
      <x:c r="G10" s="3" t="n">
        <x:v>16400000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329999923706055" hidden="0" customWidth="1"/>
    <x:col min="2" max="2" width="5.110000133514404" hidden="0" customWidth="1"/>
    <x:col min="3" max="3" width="50.88999938964844" hidden="0" customWidth="1"/>
  </x:cols>
  <x:sheetData>
    <x:row r="1">
      <x:c r="A1" s="6" t="str">
        <x:v>Check</x:v>
      </x:c>
      <x:c r="B1" s="6" t="str">
        <x:v>Result</x:v>
      </x:c>
      <x:c r="C1" s="6" t="str">
        <x:v>Evidence</x:v>
      </x:c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Anchor set</x:v>
      </x:c>
      <x:c r="B2" s="2" t="str">
        <x:v>PASS</x:v>
      </x:c>
      <x:c r="C2" s="2" t="str">
        <x:v>Mosaic Retail | FY26 Q3 | 2026-07-13 | GMV ¥84.2M | metric MTR-09</x:v>
      </x:c>
    </x:row>
    <x:row r="3">
      <x:c r="A3" s="2" t="str">
        <x:v>Daily bridge</x:v>
      </x:c>
      <x:c r="B3" s="2" t="str">
        <x:v>PASS</x:v>
      </x:c>
      <x:c r="C3" s="2" t="str">
        <x:v>10.8, 11.2, 11.5, 12.1, 12.4, 13.0, 13.2M</x:v>
      </x:c>
    </x:row>
    <x:row r="4">
      <x:c r="A4" s="2" t="str">
        <x:v>Formula scan</x:v>
      </x:c>
      <x:c r="B4" s="2" t="str">
        <x:v>PASS</x:v>
      </x:c>
      <x:c r="C4" s="2" t="str">
        <x:v>No formula errors</x:v>
      </x:c>
    </x:row>
    <x:row r="5">
      <x:c r="A5" s="2" t="str">
        <x:v>Data scope</x:v>
      </x:c>
      <x:c r="B5" s="2" t="str">
        <x:v>PASS</x:v>
      </x:c>
      <x:c r="C5" s="2" t="str">
        <x:v>Synthetic warehouse S2 only</x:v>
      </x:c>
    </x:row>
    <x:row r="6">
      <x:c r="A6" s="2"/>
      <x:c r="B6" s="2"/>
      <x:c r="C6" s="2"/>
    </x:row>
    <x:row r="7">
      <x:c r="A7" s="2" t="str">
        <x:v>Daily total</x:v>
      </x:c>
      <x:c r="B7" s="2" t="str">
        <x:v>PASS</x:v>
      </x:c>
      <x:c r="C7" s="2" t="str">
        <x:v>SUM of Raw Data daily values</x:v>
      </x:c>
    </x:row>
    <x:row r="8">
      <x:c r="A8" s="2" t="str">
        <x:v>Channel total</x:v>
      </x:c>
      <x:c r="B8" s="2" t="str">
        <x:v>PASS</x:v>
      </x:c>
      <x:c r="C8" s="2" t="str">
        <x:v>Online + Stores = Actual</x:v>
      </x:c>
    </x:row>
    <x:row r="9">
      <x:c r="A9" s="2" t="str">
        <x:v>Region total</x:v>
      </x:c>
      <x:c r="B9" s="2" t="str">
        <x:v>PASS</x:v>
      </x:c>
      <x:c r="C9" s="2" t="str">
        <x:v>East + West + Central + North = Actual</x:v>
      </x:c>
    </x:row>
  </x:sheetData>
  <x:pageMargins left="0.7" right="0.7" top="0.75" bottom="0.75" header="0.3" footer="0.3"/>
</x:worksheet>
</file>