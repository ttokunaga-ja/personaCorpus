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2fca57b43c4b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40b9a53f178442b"/>
    <x:sheet xmlns:r="http://schemas.openxmlformats.org/officeDocument/2006/relationships" name="Raw Data" sheetId="2" r:id="R6fcff56734d14f73"/>
    <x:sheet xmlns:r="http://schemas.openxmlformats.org/officeDocument/2006/relationships" name="Checks" sheetId="3" r:id="R80c4d9f6c36146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b2e36889cc4a78" /><Relationship Type="http://schemas.openxmlformats.org/officeDocument/2006/relationships/theme" Target="/xl/theme/theme1.xml" Id="Rd1641a9fb4f04097" /><Relationship Type="http://schemas.openxmlformats.org/officeDocument/2006/relationships/sharedStrings" Target="/xl/sharedStrings.xml" Id="Re940e2c9622d49b7" /><Relationship Type="http://schemas.openxmlformats.org/officeDocument/2006/relationships/worksheet" Target="/xl/worksheets/sheet1.xml" Id="Rf40b9a53f178442b" /><Relationship Type="http://schemas.openxmlformats.org/officeDocument/2006/relationships/worksheet" Target="/xl/worksheets/sheet2.xml" Id="R6fcff56734d14f73" /><Relationship Type="http://schemas.openxmlformats.org/officeDocument/2006/relationships/worksheet" Target="/xl/worksheets/sheet3.xml" Id="R80c4d9f6c36146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9.779998779296875" hidden="0" customWidth="1"/>
    <x:col min="2" max="2" width="4.889999866485596" hidden="0" customWidth="1"/>
  </x:cols>
  <x:sheetData>
    <x:row r="1">
      <x:c r="A1" s="8" t="str">
        <x:v>Weekly Exception Tracker | Mosaic Retail</x:v>
      </x:c>
      <x:c r="B1" s="8"/>
      <x:c r="C1" s="9"/>
      <x:c r="D1" s="9"/>
      <x:c r="E1" s="9"/>
      <x:c r="F1" s="9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</x:row>
    <x:row r="2">
      <x:c r="A2" s="10" t="str">
        <x:v>FY26 Q3 | 2026-07-13 | GMV ¥84.2M | metric MTR-09</x:v>
      </x:c>
      <x:c r="B2" s="10"/>
      <x:c r="C2" s="11"/>
      <x:c r="D2" s="11"/>
      <x:c r="E2" s="11"/>
      <x:c r="F2" s="11"/>
    </x:row>
    <x:row r="3">
      <x:c r="A3" s="2"/>
      <x:c r="B3" s="2"/>
    </x:row>
    <x:row r="4">
      <x:c r="A4" s="2" t="str">
        <x:v>Status KPI</x:v>
      </x:c>
      <x:c r="B4" s="2" t="str">
        <x:v>Count</x:v>
      </x:c>
    </x:row>
    <x:row r="5">
      <x:c r="A5" s="2" t="str">
        <x:v>Open</x:v>
      </x:c>
      <x:c r="B5" s="3" t="n">
        <x:f>COUNTIF('Raw Data'!C2:C6,"Open")</x:f>
        <x:v>3</x:v>
      </x:c>
    </x:row>
    <x:row r="6">
      <x:c r="A6" s="2" t="str">
        <x:v>In review</x:v>
      </x:c>
      <x:c r="B6" s="3" t="n">
        <x:f>COUNTIF('Raw Data'!C2:C6,"In review")</x:f>
        <x:v>2</x:v>
      </x:c>
    </x:row>
    <x:row r="7">
      <x:c r="A7" s="2" t="str">
        <x:v>Overdue</x:v>
      </x:c>
      <x:c r="B7" s="3" t="n">
        <x:f>COUNTIF('Raw Data'!D2:D6,"&lt;2026-07-13")</x:f>
        <x:v>0</x:v>
      </x:c>
    </x:row>
    <x:row r="8">
      <x:c r="A8" s="2" t="str">
        <x:v>High severity</x:v>
      </x:c>
      <x:c r="B8" s="3" t="n">
        <x:f>COUNTIF('Raw Data'!E2:E6,"High")</x:f>
        <x:v>1</x:v>
      </x:c>
    </x:row>
    <x:row r="9">
      <x:c r="A9" s="2" t="str">
        <x:v>Open minus high severity</x:v>
      </x:c>
      <x:c r="B9" s="3" t="n">
        <x:f>B5-B8</x:f>
        <x:v>2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.329999923706055" hidden="0" customWidth="1"/>
    <x:col min="2" max="2" width="12.4399995803833" hidden="0" customWidth="1"/>
    <x:col min="3" max="3" width="7" hidden="0" customWidth="1"/>
    <x:col min="4" max="4" width="9" hidden="0" customWidth="1"/>
    <x:col min="5" max="5" width="6.440000057220459" hidden="0" customWidth="1"/>
    <x:col min="6" max="6" width="16.440000534057617" hidden="0" customWidth="1"/>
  </x:cols>
  <x:sheetData>
    <x:row r="1">
      <x:c r="A1" s="6" t="str">
        <x:v>Exception ID</x:v>
      </x:c>
      <x:c r="B1" s="6" t="str">
        <x:v>Owner</x:v>
      </x:c>
      <x:c r="C1" s="6" t="str">
        <x:v>Status</x:v>
      </x:c>
      <x:c r="D1" s="6" t="str">
        <x:v>Due date</x:v>
      </x:c>
      <x:c r="E1" s="6" t="str">
        <x:v>Severity</x:v>
      </x:c>
      <x:c r="F1" s="6" t="str">
        <x:v>Note</x:v>
      </x:c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</x:row>
    <x:row r="2">
      <x:c r="A2" s="2" t="str">
        <x:v>EXC-0713-01</x:v>
      </x:c>
      <x:c r="B2" s="2" t="str">
        <x:v>Data Operations</x:v>
      </x:c>
      <x:c r="C2" s="2" t="str">
        <x:v>Open</x:v>
      </x:c>
      <x:c r="D2" s="2" t="str">
        <x:v>2026-07-15</x:v>
      </x:c>
      <x:c r="E2" s="2" t="str">
        <x:v>High</x:v>
      </x:c>
      <x:c r="F2" s="2" t="str">
        <x:v>Late-arrival validation</x:v>
      </x:c>
    </x:row>
    <x:row r="3">
      <x:c r="A3" s="2" t="str">
        <x:v>EXC-0713-02</x:v>
      </x:c>
      <x:c r="B3" s="2" t="str">
        <x:v>BI Reporting</x:v>
      </x:c>
      <x:c r="C3" s="2" t="str">
        <x:v>In review</x:v>
      </x:c>
      <x:c r="D3" s="2" t="str">
        <x:v>2026-07-14</x:v>
      </x:c>
      <x:c r="E3" s="2" t="str">
        <x:v>Medium</x:v>
      </x:c>
      <x:c r="F3" s="2" t="str">
        <x:v>Channel bridge check</x:v>
      </x:c>
    </x:row>
    <x:row r="4">
      <x:c r="A4" s="2" t="str">
        <x:v>EXC-0713-03</x:v>
      </x:c>
      <x:c r="B4" s="2" t="str">
        <x:v>Analytics Lead</x:v>
      </x:c>
      <x:c r="C4" s="2" t="str">
        <x:v>Open</x:v>
      </x:c>
      <x:c r="D4" s="2" t="str">
        <x:v>2026-07-16</x:v>
      </x:c>
      <x:c r="E4" s="2" t="str">
        <x:v>Low</x:v>
      </x:c>
      <x:c r="F4" s="2" t="str">
        <x:v>Definition note</x:v>
      </x:c>
    </x:row>
    <x:row r="5">
      <x:c r="A5" s="2" t="str">
        <x:v>EXC-0713-04</x:v>
      </x:c>
      <x:c r="B5" s="2" t="str">
        <x:v>Data Operations</x:v>
      </x:c>
      <x:c r="C5" s="2" t="str">
        <x:v>In review</x:v>
      </x:c>
      <x:c r="D5" s="2" t="str">
        <x:v>2026-07-13</x:v>
      </x:c>
      <x:c r="E5" s="2" t="str">
        <x:v>Medium</x:v>
      </x:c>
      <x:c r="F5" s="2" t="str">
        <x:v>Region tag check</x:v>
      </x:c>
    </x:row>
    <x:row r="6">
      <x:c r="A6" s="2" t="str">
        <x:v>EXC-0713-05</x:v>
      </x:c>
      <x:c r="B6" s="2" t="str">
        <x:v>BI Reporting</x:v>
      </x:c>
      <x:c r="C6" s="2" t="str">
        <x:v>Open</x:v>
      </x:c>
      <x:c r="D6" s="2" t="str">
        <x:v>2026-07-17</x:v>
      </x:c>
      <x:c r="E6" s="2" t="str">
        <x:v>Low</x:v>
      </x:c>
      <x:c r="F6" s="2" t="str">
        <x:v>Export metadata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.779999732971191" hidden="0" customWidth="1"/>
    <x:col min="2" max="2" width="5.110000133514404" hidden="0" customWidth="1"/>
    <x:col min="3" max="3" width="50.88999938964844" hidden="0" customWidth="1"/>
  </x:cols>
  <x:sheetData>
    <x:row r="1">
      <x:c r="A1" s="6" t="str">
        <x:v>Check</x:v>
      </x:c>
      <x:c r="B1" s="6" t="str">
        <x:v>Result</x:v>
      </x:c>
      <x:c r="C1" s="6" t="str">
        <x:v>Evidence</x:v>
      </x:c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</x:row>
    <x:row r="2">
      <x:c r="A2" s="2" t="str">
        <x:v>Anchor set</x:v>
      </x:c>
      <x:c r="B2" s="2" t="str">
        <x:v>PASS</x:v>
      </x:c>
      <x:c r="C2" s="2" t="str">
        <x:v>Mosaic Retail | FY26 Q3 | 2026-07-13 | GMV ¥84.2M | metric MTR-09</x:v>
      </x:c>
    </x:row>
    <x:row r="3">
      <x:c r="A3" s="2" t="str">
        <x:v>Daily bridge</x:v>
      </x:c>
      <x:c r="B3" s="2" t="str">
        <x:v>PASS</x:v>
      </x:c>
      <x:c r="C3" s="2" t="str">
        <x:v>10.8, 11.2, 11.5, 12.1, 12.4, 13.0, 13.2M</x:v>
      </x:c>
    </x:row>
    <x:row r="4">
      <x:c r="A4" s="2" t="str">
        <x:v>Formula scan</x:v>
      </x:c>
      <x:c r="B4" s="2" t="str">
        <x:v>PASS</x:v>
      </x:c>
      <x:c r="C4" s="2" t="str">
        <x:v>No formula errors</x:v>
      </x:c>
    </x:row>
    <x:row r="5">
      <x:c r="A5" s="2" t="str">
        <x:v>Data scope</x:v>
      </x:c>
      <x:c r="B5" s="2" t="str">
        <x:v>PASS</x:v>
      </x:c>
      <x:c r="C5" s="2" t="str">
        <x:v>Synthetic warehouse S2 only</x:v>
      </x:c>
    </x:row>
    <x:row r="6">
      <x:c r="A6" s="2"/>
      <x:c r="B6" s="2"/>
      <x:c r="C6" s="2"/>
    </x:row>
    <x:row r="7">
      <x:c r="A7" s="2" t="str">
        <x:v>SLA control</x:v>
      </x:c>
      <x:c r="B7" s="2" t="str">
        <x:v>PASS</x:v>
      </x:c>
      <x:c r="C7" s="2" t="str">
        <x:v>Due dates and severity visible</x:v>
      </x:c>
    </x:row>
    <x:row r="8">
      <x:c r="A8" s="2" t="str">
        <x:v>Owner control</x:v>
      </x:c>
      <x:c r="B8" s="2" t="str">
        <x:v>PASS</x:v>
      </x:c>
      <x:c r="C8" s="2" t="str">
        <x:v>Each exception has an owner</x:v>
      </x:c>
    </x:row>
    <x:row r="9">
      <x:c r="A9" s="2" t="str">
        <x:v>Status control</x:v>
      </x:c>
      <x:c r="B9" s="2" t="str">
        <x:v>PASS</x:v>
      </x:c>
      <x:c r="C9" s="2" t="str">
        <x:v>Open/In review statuses tracked</x:v>
      </x:c>
    </x:row>
  </x:sheetData>
  <x:pageMargins left="0.7" right="0.7" top="0.75" bottom="0.75" header="0.3" footer="0.3"/>
</x:worksheet>
</file>