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c1ac2e9cf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puts" sheetId="1" r:id="R7da9dff6081d485f"/>
    <x:sheet xmlns:r="http://schemas.openxmlformats.org/officeDocument/2006/relationships" name="Derived" sheetId="2" r:id="R6bd31e7334ab46fe"/>
    <x:sheet xmlns:r="http://schemas.openxmlformats.org/officeDocument/2006/relationships" name="Checks" sheetId="3" r:id="R1ebee316e1e5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,,&quot;M&quot;"/>
    <x:numFmt numFmtId="201" formatCode="0.0%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20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FC9CA"/>
      </x:left>
      <x:top style="thin">
        <x:color rgb="FFBFC9CA"/>
      </x:top>
      <x:bottom style="thin">
        <x:color rgb="FFBFC9CA"/>
      </x:bottom>
    </x:border>
    <x:border>
      <x:top style="thin">
        <x:color rgb="FFBFC9CA"/>
      </x:top>
      <x:bottom style="thin">
        <x:color rgb="FFBFC9CA"/>
      </x:bottom>
    </x:border>
    <x:border>
      <x:right style="thin">
        <x:color rgb="FFBFC9CA"/>
      </x:right>
      <x:top style="thin">
        <x:color rgb="FFBFC9CA"/>
      </x:top>
      <x:bottom style="thin">
        <x:color rgb="FFBFC9CA"/>
      </x:bottom>
    </x:border>
    <x:border>
      <x:left style="thin">
        <x:color rgb="FFBFC9CA"/>
      </x:left>
      <x:top style="thin">
        <x:color rgb="FFBFC9CA"/>
      </x:top>
    </x:border>
    <x:border>
      <x:top style="thin">
        <x:color rgb="FFBFC9CA"/>
      </x:top>
    </x:border>
    <x:border>
      <x:right style="thin">
        <x:color rgb="FFBFC9CA"/>
      </x:right>
      <x:top style="thin">
        <x:color rgb="FFBFC9CA"/>
      </x:top>
    </x:border>
    <x:border>
      <x:left style="thin">
        <x:color rgb="FFBFC9CA"/>
      </x:left>
    </x:border>
    <x:border>
      <x:right style="thin">
        <x:color rgb="FFBFC9CA"/>
      </x:right>
    </x:border>
    <x:border>
      <x:left style="thin">
        <x:color rgb="FFBFC9CA"/>
      </x:left>
      <x:bottom style="thin">
        <x:color rgb="FFBFC9CA"/>
      </x:bottom>
    </x:border>
    <x:border>
      <x:bottom style="thin">
        <x:color rgb="FFBFC9CA"/>
      </x:bottom>
    </x:border>
    <x:border>
      <x:right style="thin">
        <x:color rgb="FFBFC9CA"/>
      </x:right>
      <x:bottom style="thin">
        <x:color rgb="FFBFC9CA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0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4" borderId="7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200" fontId="3" fillId="4" borderId="0" xfId="0" applyNumberFormat="1" applyFont="1" applyFill="1" applyBorder="1"/>
    <x:xf numFmtId="200" fontId="3" fillId="4" borderId="10" xfId="0" applyNumberFormat="1" applyFont="1" applyFill="1" applyBorder="1"/>
    <x:xf numFmtId="0" fontId="3" fillId="5" borderId="7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4" fillId="5" borderId="7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4" fillId="5" borderId="0" xfId="0" applyNumberFormat="1" applyFont="1" applyFill="1" applyBorder="1"/>
    <x:xf numFmtId="200" fontId="4" fillId="5" borderId="10" xfId="0" applyNumberFormat="1" applyFont="1" applyFill="1" applyBorder="1"/>
    <x:xf numFmtId="201" fontId="4" fillId="5" borderId="0" xfId="0" applyNumberFormat="1" applyFont="1" applyFill="1" applyBorder="1"/>
    <x:xf numFmtId="201" fontId="4" fillId="5" borderId="10" xfId="0" applyNumberFormat="1" applyFont="1" applyFill="1" applyBorder="1"/>
    <x:xf numFmtId="0" fontId="3" fillId="6" borderId="7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4" fillId="6" borderId="7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200" fontId="4" fillId="6" borderId="0" xfId="0" applyNumberFormat="1" applyFont="1" applyFill="1" applyBorder="1"/>
    <x:xf numFmtId="200" fontId="4" fillId="6" borderId="10" xfId="0" applyNumberFormat="1" applyFont="1" applyFill="1" applyBorder="1"/>
    <x:xf numFmtId="0" fontId="4" fillId="4" borderId="7" xfId="0" applyNumberFormat="1" applyFont="1" applyFill="1" applyBorder="1"/>
    <x:xf numFmtId="20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200" fontId="4" fillId="5" borderId="10" xfId="0" applyNumberFormat="1" applyFont="1" applyFill="1" applyBorder="1" applyAlignment="1">
      <x:alignment wrapText="1"/>
    </x:xf>
    <x:xf numFmtId="201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20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93e9a5cf7431a" /><Relationship Type="http://schemas.openxmlformats.org/officeDocument/2006/relationships/theme" Target="/xl/theme/theme1.xml" Id="R254859aba6af4478" /><Relationship Type="http://schemas.openxmlformats.org/officeDocument/2006/relationships/sharedStrings" Target="/xl/sharedStrings.xml" Id="R6f6ea71d27db4ed3" /><Relationship Type="http://schemas.openxmlformats.org/officeDocument/2006/relationships/worksheet" Target="/xl/worksheets/sheet1.xml" Id="R7da9dff6081d485f" /><Relationship Type="http://schemas.openxmlformats.org/officeDocument/2006/relationships/worksheet" Target="/xl/worksheets/sheet2.xml" Id="R6bd31e7334ab46fe" /><Relationship Type="http://schemas.openxmlformats.org/officeDocument/2006/relationships/worksheet" Target="/xl/worksheets/sheet3.xml" Id="R1ebee316e1e5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Mosaic Retail | FY26 Q3 | Channel Detail</x:v>
      </x:c>
      <x:c r="B1" s="9"/>
      <x:c r="C1" s="9"/>
      <x:c r="D1" s="9"/>
      <x:c r="E1" s="9"/>
      <x:c r="F1" s="10"/>
    </x:row>
    <x:row r="3">
      <x:c r="A3" s="81" t="str">
        <x:v>Segment</x:v>
      </x:c>
      <x:c r="B3" s="82" t="str">
        <x:v>GMV ¥</x:v>
      </x:c>
      <x:c r="C3" s="83" t="str">
        <x:v>Source</x:v>
      </x:c>
      <x:c r="D3" s="84"/>
      <x:c r="E3" s="84"/>
      <x:c r="F3" s="84"/>
    </x:row>
    <x:row r="4">
      <x:c r="A4" s="85" t="str">
        <x:v>Online</x:v>
      </x:c>
      <x:c r="B4" s="86" t="n">
        <x:v>46300000</x:v>
      </x:c>
      <x:c r="C4" s="87" t="str">
        <x:v>Synthetic monthly close</x:v>
      </x:c>
      <x:c r="D4" s="88"/>
      <x:c r="E4" s="88"/>
      <x:c r="F4" s="88"/>
    </x:row>
    <x:row r="5">
      <x:c r="A5" s="89" t="str">
        <x:v>Stores</x:v>
      </x:c>
      <x:c r="B5" s="90" t="n">
        <x:v>37900000</x:v>
      </x:c>
      <x:c r="C5" s="91" t="str">
        <x:v>Synthetic monthly close</x:v>
      </x:c>
      <x:c r="D5" s="88"/>
      <x:c r="E5" s="88"/>
      <x:c r="F5" s="88"/>
    </x:row>
    <x:row r="6">
      <x:c r="A6" s="88"/>
      <x:c r="B6" s="88"/>
      <x:c r="C6" s="88"/>
      <x:c r="D6" s="88"/>
      <x:c r="E6" s="88"/>
      <x:c r="F6" s="88"/>
    </x:row>
    <x:row r="7">
      <x:c r="A7" s="88"/>
      <x:c r="B7" s="88"/>
      <x:c r="C7" s="88"/>
      <x:c r="D7" s="88"/>
      <x:c r="E7" s="88"/>
      <x:c r="F7" s="88"/>
    </x:row>
    <x:row r="8">
      <x:c r="A8" s="88"/>
      <x:c r="B8" s="88"/>
      <x:c r="C8" s="88"/>
      <x:c r="D8" s="88"/>
      <x:c r="E8" s="88"/>
      <x:c r="F8" s="88"/>
    </x:row>
    <x:row r="9">
      <x:c r="A9" s="88"/>
      <x:c r="B9" s="88"/>
      <x:c r="C9" s="88"/>
      <x:c r="D9" s="88"/>
      <x:c r="E9" s="88"/>
      <x:c r="F9" s="88"/>
    </x:row>
    <x:row r="10">
      <x:c r="A10" s="88"/>
      <x:c r="B10" s="88"/>
      <x:c r="C10" s="88"/>
      <x:c r="D10" s="88"/>
      <x:c r="E10" s="88"/>
      <x:c r="F10" s="88"/>
    </x:row>
    <x:row r="11">
      <x:c r="A11" s="88"/>
      <x:c r="B11" s="88"/>
      <x:c r="C11" s="88"/>
      <x:c r="D11" s="88"/>
      <x:c r="E11" s="88"/>
      <x:c r="F11" s="88"/>
    </x:row>
    <x:row r="12">
      <x:c r="A12" s="88"/>
      <x:c r="B12" s="88"/>
      <x:c r="C12" s="88"/>
      <x:c r="D12" s="88"/>
      <x:c r="E12" s="88"/>
      <x:c r="F12" s="88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Channel Detail | Formula-driven analysis</x:v>
      </x:c>
      <x:c r="B1" s="9"/>
      <x:c r="C1" s="9"/>
      <x:c r="D1" s="9"/>
      <x:c r="E1" s="9"/>
      <x:c r="F1" s="10"/>
    </x:row>
    <x:row r="3">
      <x:c r="A3" s="81" t="str">
        <x:v>Segment</x:v>
      </x:c>
      <x:c r="B3" s="82" t="str">
        <x:v>GMV ¥</x:v>
      </x:c>
      <x:c r="C3" s="82" t="str">
        <x:v>Mix</x:v>
      </x:c>
      <x:c r="D3" s="83" t="str">
        <x:v>Rank</x:v>
      </x:c>
      <x:c r="E3" s="84"/>
      <x:c r="F3" s="84"/>
    </x:row>
    <x:row r="4">
      <x:c r="A4" s="92" t="str">
        <x:v>Online</x:v>
      </x:c>
      <x:c r="B4" s="93" t="n">
        <x:f>'Raw Inputs'!B4</x:f>
        <x:v>46300000</x:v>
      </x:c>
      <x:c r="C4" s="94" t="n">
        <x:f>B4/SUM($B$4:$B$5)</x:f>
        <x:v>0.5498812351543944</x:v>
      </x:c>
      <x:c r="D4" s="95" t="n">
        <x:f>RANK(B4,$B$4:$B$5)</x:f>
        <x:v>1</x:v>
      </x:c>
      <x:c r="E4" s="84"/>
      <x:c r="F4" s="84"/>
    </x:row>
    <x:row r="5">
      <x:c r="A5" s="96" t="str">
        <x:v>Stores</x:v>
      </x:c>
      <x:c r="B5" s="97" t="n">
        <x:f>'Raw Inputs'!B5</x:f>
        <x:v>37900000</x:v>
      </x:c>
      <x:c r="C5" s="98" t="n">
        <x:f>B5/SUM($B$4:$B$5)</x:f>
        <x:v>0.4501187648456057</x:v>
      </x:c>
      <x:c r="D5" s="99" t="n">
        <x:f>RANK(B5,$B$4:$B$5)</x:f>
        <x:v>2</x:v>
      </x:c>
      <x:c r="E5" s="84"/>
      <x:c r="F5" s="84"/>
    </x:row>
    <x:row r="6">
      <x:c r="A6" s="84"/>
      <x:c r="B6" s="84"/>
      <x:c r="C6" s="84"/>
      <x:c r="D6" s="84"/>
      <x:c r="E6" s="84"/>
      <x:c r="F6" s="84"/>
    </x:row>
    <x:row r="7">
      <x:c r="A7" s="84"/>
      <x:c r="B7" s="84"/>
      <x:c r="C7" s="84"/>
      <x:c r="D7" s="84"/>
      <x:c r="E7" s="84"/>
      <x:c r="F7" s="84"/>
    </x:row>
    <x:row r="8">
      <x:c r="A8" s="84"/>
      <x:c r="B8" s="84"/>
      <x:c r="C8" s="84"/>
      <x:c r="D8" s="84"/>
      <x:c r="E8" s="84"/>
      <x:c r="F8" s="84"/>
    </x:row>
    <x:row r="9">
      <x:c r="A9" s="84"/>
      <x:c r="B9" s="84"/>
      <x:c r="C9" s="84"/>
      <x:c r="D9" s="84"/>
      <x:c r="E9" s="84"/>
      <x:c r="F9" s="84"/>
    </x:row>
    <x:row r="10">
      <x:c r="A10" s="84"/>
      <x:c r="B10" s="84"/>
      <x:c r="C10" s="84"/>
      <x:c r="D10" s="84"/>
      <x:c r="E10" s="84"/>
      <x:c r="F10" s="84"/>
    </x:row>
    <x:row r="11">
      <x:c r="A11" s="84"/>
      <x:c r="B11" s="84"/>
      <x:c r="C11" s="84"/>
      <x:c r="D11" s="84"/>
      <x:c r="E11" s="84"/>
      <x:c r="F11" s="84"/>
    </x:row>
    <x:row r="12">
      <x:c r="A12" s="84"/>
      <x:c r="B12" s="84"/>
      <x:c r="C12" s="84"/>
      <x:c r="D12" s="84"/>
      <x:c r="E12" s="84"/>
      <x:c r="F12" s="84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8" t="str">
        <x:v>Control checks | Monthly close readiness</x:v>
      </x:c>
      <x:c r="B1" s="9"/>
      <x:c r="C1" s="9"/>
      <x:c r="D1" s="10"/>
    </x:row>
    <x:row r="3">
      <x:c r="A3" s="81" t="str">
        <x:v>Control</x:v>
      </x:c>
      <x:c r="B3" s="82" t="str">
        <x:v>Result</x:v>
      </x:c>
      <x:c r="C3" s="83" t="str">
        <x:v>Status</x:v>
      </x:c>
      <x:c r="D3" s="84"/>
      <x:c r="E3" s="84"/>
      <x:c r="F3" s="84"/>
    </x:row>
    <x:row r="4">
      <x:c r="A4" s="100" t="str">
        <x:v>Segment total</x:v>
      </x:c>
      <x:c r="B4" s="101" t="n">
        <x:f>SUM('Derived'!B4:B5)</x:f>
        <x:v>84200000</x:v>
      </x:c>
      <x:c r="C4" s="102" t="str">
        <x:f>IF(B4=84200000,"Pass","Investigate")</x:f>
        <x:v>Pass</x:v>
      </x:c>
      <x:c r="D4" s="84"/>
      <x:c r="E4" s="84"/>
      <x:c r="F4" s="84"/>
    </x:row>
    <x:row r="5">
      <x:c r="A5" s="103" t="str">
        <x:v>Total equals net GMV</x:v>
      </x:c>
      <x:c r="B5" s="104" t="n">
        <x:f>B4-84200000</x:f>
        <x:v>0</x:v>
      </x:c>
      <x:c r="C5" s="105" t="str">
        <x:f>IF(B5=0,"Pass","Investigate")</x:f>
        <x:v>Pass</x:v>
      </x:c>
      <x:c r="D5" s="84"/>
      <x:c r="E5" s="84"/>
      <x:c r="F5" s="84"/>
    </x:row>
    <x:row r="6">
      <x:c r="A6" s="84"/>
      <x:c r="B6" s="84"/>
      <x:c r="C6" s="84"/>
      <x:c r="D6" s="84"/>
      <x:c r="E6" s="84"/>
      <x:c r="F6" s="84"/>
    </x:row>
    <x:row r="7">
      <x:c r="A7" s="84"/>
      <x:c r="B7" s="84"/>
      <x:c r="C7" s="84"/>
      <x:c r="D7" s="84"/>
      <x:c r="E7" s="84"/>
      <x:c r="F7" s="84"/>
    </x:row>
    <x:row r="8">
      <x:c r="A8" s="84"/>
      <x:c r="B8" s="84"/>
      <x:c r="C8" s="84"/>
      <x:c r="D8" s="84"/>
      <x:c r="E8" s="84"/>
      <x:c r="F8" s="84"/>
    </x:row>
    <x:row r="9">
      <x:c r="A9" s="84"/>
      <x:c r="B9" s="84"/>
      <x:c r="C9" s="84"/>
      <x:c r="D9" s="84"/>
      <x:c r="E9" s="84"/>
      <x:c r="F9" s="84"/>
    </x:row>
    <x:row r="10">
      <x:c r="A10" s="84"/>
      <x:c r="B10" s="84"/>
      <x:c r="C10" s="84"/>
      <x:c r="D10" s="84"/>
      <x:c r="E10" s="84"/>
      <x:c r="F10" s="84"/>
    </x:row>
    <x:row r="11">
      <x:c r="A11" s="84"/>
      <x:c r="B11" s="84"/>
      <x:c r="C11" s="84"/>
      <x:c r="D11" s="84"/>
      <x:c r="E11" s="84"/>
      <x:c r="F11" s="84"/>
    </x:row>
    <x:row r="12">
      <x:c r="A12" s="84"/>
      <x:c r="B12" s="84"/>
      <x:c r="C12" s="84"/>
      <x:c r="D12" s="84"/>
      <x:c r="E12" s="84"/>
      <x:c r="F12" s="84"/>
    </x:row>
    <x:row r="13">
      <x:c r="A13" s="84"/>
      <x:c r="B13" s="84"/>
      <x:c r="C13" s="84"/>
      <x:c r="D13" s="84"/>
      <x:c r="E13" s="84"/>
      <x:c r="F13" s="84"/>
    </x:row>
    <x:row r="14">
      <x:c r="A14" s="84"/>
      <x:c r="B14" s="84"/>
      <x:c r="C14" s="84"/>
      <x:c r="D14" s="84"/>
      <x:c r="E14" s="84"/>
      <x:c r="F14" s="84"/>
    </x:row>
    <x:row r="15">
      <x:c r="A15" s="84"/>
      <x:c r="B15" s="84"/>
      <x:c r="C15" s="84"/>
      <x:c r="D15" s="84"/>
      <x:c r="E15" s="84"/>
      <x:c r="F15" s="84"/>
    </x:row>
    <x:row r="16">
      <x:c r="A16" s="84"/>
      <x:c r="B16" s="84"/>
      <x:c r="C16" s="84"/>
      <x:c r="D16" s="84"/>
      <x:c r="E16" s="84"/>
      <x:c r="F16" s="84"/>
    </x:row>
    <x:row r="17">
      <x:c r="A17" s="84"/>
      <x:c r="B17" s="84"/>
      <x:c r="C17" s="84"/>
      <x:c r="D17" s="84"/>
      <x:c r="E17" s="84"/>
      <x:c r="F17" s="84"/>
    </x:row>
    <x:row r="18">
      <x:c r="A18" s="84"/>
      <x:c r="B18" s="84"/>
      <x:c r="C18" s="84"/>
      <x:c r="D18" s="84"/>
      <x:c r="E18" s="84"/>
      <x:c r="F18" s="84"/>
    </x:row>
    <x:row r="19">
      <x:c r="A19" s="84"/>
      <x:c r="B19" s="84"/>
      <x:c r="C19" s="84"/>
      <x:c r="D19" s="84"/>
      <x:c r="E19" s="84"/>
      <x:c r="F19" s="84"/>
    </x:row>
    <x:row r="20">
      <x:c r="A20" s="84"/>
      <x:c r="B20" s="84"/>
      <x:c r="C20" s="84"/>
      <x:c r="D20" s="84"/>
      <x:c r="E20" s="84"/>
      <x:c r="F20" s="84"/>
    </x:row>
  </x:sheetData>
  <x:mergeCells>
    <x:mergeCell ref="A1:D1"/>
  </x:mergeCells>
  <x:pageMargins left="0.7" right="0.7" top="0.75" bottom="0.75" header="0.3" footer="0.3"/>
</x:worksheet>
</file>