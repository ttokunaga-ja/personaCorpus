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9187c52b1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puts" sheetId="1" r:id="R182a1eb4db114299"/>
    <x:sheet xmlns:r="http://schemas.openxmlformats.org/officeDocument/2006/relationships" name="Derived" sheetId="2" r:id="R4ef3cd5c14954533"/>
    <x:sheet xmlns:r="http://schemas.openxmlformats.org/officeDocument/2006/relationships" name="Checks" sheetId="3" r:id="Rbe6d3b8bc1ef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"/>
    <x:numFmt numFmtId="201" formatCode="¥#,##0.0,,&quot;M&quot;"/>
    <x:numFmt numFmtId="202" formatCode="0.0%"/>
    <x:numFmt numFmtId="203" formatCode="¥0.0&quot;M&quot;"/>
  </x:numFmts>
  <x:fonts count="5">
    <x:font>
      <x:sz val="11"/>
      <x:name val="Carlito"/>
    </x:font>
    <x:font>
      <x:sz val="10"/>
      <x:color rgb="FF17202A"/>
      <x:name val="Arial"/>
    </x:font>
    <x:font>
      <x:b/>
      <x:sz val="15"/>
      <x:color rgb="FFFFFFFF"/>
      <x:name val="Arial"/>
    </x:font>
    <x:font>
      <x:b/>
      <x:sz val="10"/>
      <x:color rgb="FF17202A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4F6F7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FC9CA"/>
      </x:left>
      <x:top style="thin">
        <x:color rgb="FFBFC9CA"/>
      </x:top>
      <x:bottom style="thin">
        <x:color rgb="FFBFC9CA"/>
      </x:bottom>
    </x:border>
    <x:border>
      <x:top style="thin">
        <x:color rgb="FFBFC9CA"/>
      </x:top>
      <x:bottom style="thin">
        <x:color rgb="FFBFC9CA"/>
      </x:bottom>
    </x:border>
    <x:border>
      <x:right style="thin">
        <x:color rgb="FFBFC9CA"/>
      </x:right>
      <x:top style="thin">
        <x:color rgb="FFBFC9CA"/>
      </x:top>
      <x:bottom style="thin">
        <x:color rgb="FFBFC9CA"/>
      </x:bottom>
    </x:border>
    <x:border>
      <x:left style="thin">
        <x:color rgb="FFBFC9CA"/>
      </x:left>
      <x:top style="thin">
        <x:color rgb="FFBFC9CA"/>
      </x:top>
    </x:border>
    <x:border>
      <x:top style="thin">
        <x:color rgb="FFBFC9CA"/>
      </x:top>
    </x:border>
    <x:border>
      <x:right style="thin">
        <x:color rgb="FFBFC9CA"/>
      </x:right>
      <x:top style="thin">
        <x:color rgb="FFBFC9CA"/>
      </x:top>
    </x:border>
    <x:border>
      <x:left style="thin">
        <x:color rgb="FFBFC9CA"/>
      </x:left>
    </x:border>
    <x:border>
      <x:right style="thin">
        <x:color rgb="FFBFC9CA"/>
      </x:right>
    </x:border>
    <x:border>
      <x:left style="thin">
        <x:color rgb="FFBFC9CA"/>
      </x:left>
      <x:bottom style="thin">
        <x:color rgb="FFBFC9CA"/>
      </x:bottom>
    </x:border>
    <x:border>
      <x:bottom style="thin">
        <x:color rgb="FFBFC9CA"/>
      </x:bottom>
    </x:border>
    <x:border>
      <x:right style="thin">
        <x:color rgb="FFBFC9CA"/>
      </x:right>
      <x:bottom style="thin">
        <x:color rgb="FFBFC9CA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3" fillId="3" borderId="4" xfId="0" applyNumberFormat="1" applyFont="1" applyFill="1" applyBorder="1"/>
    <x:xf numFmtId="0" fontId="3" fillId="3" borderId="7" xfId="0" applyNumberFormat="1" applyFont="1" applyFill="1" applyBorder="1"/>
    <x:xf numFmtId="0" fontId="3" fillId="3" borderId="9" xfId="0" applyNumberFormat="1" applyFont="1" applyFill="1" applyBorder="1"/>
    <x:xf numFmtId="200" fontId="1" fillId="3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1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1" xfId="0" applyNumberFormat="1" applyFont="1" applyFill="1" applyBorder="1"/>
    <x:xf numFmtId="0" fontId="4" fillId="5" borderId="7" xfId="0" applyNumberFormat="1" applyFont="1" applyFill="1" applyBorder="1"/>
    <x:xf numFmtId="0" fontId="4" fillId="5" borderId="9" xfId="0" applyNumberFormat="1" applyFont="1" applyFill="1" applyBorder="1"/>
    <x:xf numFmtId="201" fontId="4" fillId="4" borderId="8" xfId="0" applyNumberFormat="1" applyFont="1" applyFill="1" applyBorder="1"/>
    <x:xf numFmtId="201" fontId="4" fillId="4" borderId="11" xfId="0" applyNumberFormat="1" applyFont="1" applyFill="1" applyBorder="1"/>
    <x:xf numFmtId="0" fontId="1" fillId="4" borderId="5" xfId="0" applyNumberFormat="1" applyFont="1" applyFill="1" applyBorder="1"/>
    <x:xf numFmtId="0" fontId="1" fillId="4" borderId="0" xfId="0" applyNumberFormat="1" applyFont="1" applyFill="1" applyBorder="1"/>
    <x:xf numFmtId="0" fontId="1" fillId="4" borderId="10" xfId="0" applyNumberFormat="1" applyFont="1" applyFill="1" applyBorder="1"/>
    <x:xf numFmtId="0" fontId="4" fillId="4" borderId="5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3" fillId="5" borderId="7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201" fontId="3" fillId="5" borderId="0" xfId="0" applyNumberFormat="1" applyFont="1" applyFill="1" applyBorder="1"/>
    <x:xf numFmtId="202" fontId="3" fillId="5" borderId="0" xfId="0" applyNumberFormat="1" applyFont="1" applyFill="1" applyBorder="1"/>
    <x:xf numFmtId="200" fontId="3" fillId="5" borderId="1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1" xfId="0" applyNumberFormat="1" applyFont="1" applyFill="1" applyBorder="1"/>
    <x:xf numFmtId="203" fontId="4" fillId="3" borderId="8" xfId="0" applyNumberFormat="1" applyFont="1" applyFill="1" applyBorder="1"/>
    <x:xf numFmtId="203" fontId="4" fillId="3" borderId="11" xfId="0" applyNumberFormat="1" applyFont="1" applyFill="1" applyBorder="1"/>
    <x:xf numFmtId="0" fontId="4" fillId="6" borderId="7" xfId="0" applyNumberFormat="1" applyFont="1" applyFill="1" applyBorder="1"/>
    <x:xf numFmtId="0" fontId="4" fillId="6" borderId="0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3" fillId="6" borderId="7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201" fontId="3" fillId="6" borderId="0" xfId="0" applyNumberFormat="1" applyFont="1" applyFill="1" applyBorder="1"/>
    <x:xf numFmtId="202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852f3731145ce" /><Relationship Type="http://schemas.openxmlformats.org/officeDocument/2006/relationships/theme" Target="/xl/theme/theme1.xml" Id="R90a2bfd95eff4ffc" /><Relationship Type="http://schemas.openxmlformats.org/officeDocument/2006/relationships/sharedStrings" Target="/xl/sharedStrings.xml" Id="R512824f1c54f4117" /><Relationship Type="http://schemas.openxmlformats.org/officeDocument/2006/relationships/worksheet" Target="/xl/worksheets/sheet1.xml" Id="R182a1eb4db114299" /><Relationship Type="http://schemas.openxmlformats.org/officeDocument/2006/relationships/worksheet" Target="/xl/worksheets/sheet2.xml" Id="R4ef3cd5c14954533" /><Relationship Type="http://schemas.openxmlformats.org/officeDocument/2006/relationships/worksheet" Target="/xl/worksheets/sheet3.xml" Id="Rbe6d3b8bc1ef40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" hidden="0" customWidth="1"/>
    <x:col min="2" max="2" width="10.329999923706055" hidden="0" customWidth="1"/>
    <x:col min="3" max="3" width="12.890000343322754" hidden="0" customWidth="1"/>
    <x:col min="5" max="5" width="8.109999656677246" hidden="0" customWidth="1"/>
    <x:col min="6" max="6" width="7.110000133514404" hidden="0" customWidth="1"/>
  </x:cols>
  <x:sheetData>
    <x:row r="1" ht="28" customHeight="1">
      <x:c r="A1" s="8" t="str">
        <x:v>Mosaic Retail | FY26 Q3 | Monthly performance report</x:v>
      </x:c>
      <x:c r="B1" s="9"/>
      <x:c r="C1" s="9"/>
      <x:c r="D1" s="9"/>
      <x:c r="E1" s="9"/>
      <x:c r="F1" s="10"/>
    </x:row>
    <x:row r="3">
      <x:c r="A3" s="28" t="str">
        <x:v>Report date</x:v>
      </x:c>
      <x:c r="B3" s="20" t="str">
        <x:v>2026-07-13</x:v>
      </x:c>
      <x:c r="C3" s="21" t="str">
        <x:v>GMV ¥84.2M</x:v>
      </x:c>
      <x:c r="E3" s="38" t="str">
        <x:v>Date</x:v>
      </x:c>
      <x:c r="F3" s="39" t="str">
        <x:v>GMV ¥M</x:v>
      </x:c>
    </x:row>
    <x:row r="4">
      <x:c r="A4" s="29" t="str">
        <x:v>Metric</x:v>
      </x:c>
      <x:c r="B4" s="23" t="str">
        <x:v>metric MTR-09</x:v>
      </x:c>
      <x:c r="C4" s="24" t="str">
        <x:v>Synthetic reporting</x:v>
      </x:c>
      <x:c r="E4" s="44" t="str">
        <x:v>2026-07-07</x:v>
      </x:c>
      <x:c r="F4" s="46" t="n">
        <x:v>10800000</x:v>
      </x:c>
    </x:row>
    <x:row r="5">
      <x:c r="A5" s="29" t="str">
        <x:v>Actual GMV</x:v>
      </x:c>
      <x:c r="B5" s="31" t="n">
        <x:v>84200000</x:v>
      </x:c>
      <x:c r="C5" s="24" t="str">
        <x:v>Net reported</x:v>
      </x:c>
      <x:c r="E5" s="44" t="str">
        <x:v>2026-07-08</x:v>
      </x:c>
      <x:c r="F5" s="46" t="n">
        <x:v>11200000</x:v>
      </x:c>
    </x:row>
    <x:row r="6">
      <x:c r="A6" s="29" t="str">
        <x:v>Plan GMV</x:v>
      </x:c>
      <x:c r="B6" s="31" t="n">
        <x:v>80000000</x:v>
      </x:c>
      <x:c r="C6" s="24" t="str">
        <x:v>Management plan</x:v>
      </x:c>
      <x:c r="E6" s="44" t="str">
        <x:v>2026-07-09</x:v>
      </x:c>
      <x:c r="F6" s="46" t="n">
        <x:v>11500000</x:v>
      </x:c>
    </x:row>
    <x:row r="7">
      <x:c r="A7" s="29" t="str">
        <x:v>Prior GMV</x:v>
      </x:c>
      <x:c r="B7" s="31" t="n">
        <x:v>78600000</x:v>
      </x:c>
      <x:c r="C7" s="24" t="str">
        <x:v>Prior reference</x:v>
      </x:c>
      <x:c r="E7" s="44" t="str">
        <x:v>2026-07-10</x:v>
      </x:c>
      <x:c r="F7" s="46" t="n">
        <x:v>12100000</x:v>
      </x:c>
    </x:row>
    <x:row r="8">
      <x:c r="A8" s="29" t="str">
        <x:v>Gross GMV</x:v>
      </x:c>
      <x:c r="B8" s="31" t="n">
        <x:v>86000000</x:v>
      </x:c>
      <x:c r="C8" s="24" t="str">
        <x:v>Before refunds</x:v>
      </x:c>
      <x:c r="E8" s="44" t="str">
        <x:v>2026-07-11</x:v>
      </x:c>
      <x:c r="F8" s="46" t="n">
        <x:v>12400000</x:v>
      </x:c>
    </x:row>
    <x:row r="9">
      <x:c r="A9" s="29" t="str">
        <x:v>Refunds</x:v>
      </x:c>
      <x:c r="B9" s="31" t="n">
        <x:v>1800000</x:v>
      </x:c>
      <x:c r="C9" s="24" t="str">
        <x:v>Gross less refunds</x:v>
      </x:c>
      <x:c r="E9" s="44" t="str">
        <x:v>2026-07-12</x:v>
      </x:c>
      <x:c r="F9" s="46" t="n">
        <x:v>13000000</x:v>
      </x:c>
    </x:row>
    <x:row r="10">
      <x:c r="A10" s="30" t="str">
        <x:v>Data status</x:v>
      </x:c>
      <x:c r="B10" s="26" t="str">
        <x:v>Synthetic</x:v>
      </x:c>
      <x:c r="C10" s="27" t="str">
        <x:v>No PII</x:v>
      </x:c>
      <x:c r="E10" s="45" t="str">
        <x:v>2026-07-13</x:v>
      </x:c>
      <x:c r="F10" s="47" t="n">
        <x:v>13200000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66999816894531" hidden="0" customWidth="1"/>
    <x:col min="2" max="2" width="14.109999656677246" hidden="0" customWidth="1"/>
    <x:col min="3" max="3" width="14.779999732971191" hidden="0" customWidth="1"/>
    <x:col min="5" max="5" width="8.109999656677246" hidden="0" customWidth="1"/>
    <x:col min="6" max="6" width="6.329999923706055" hidden="0" customWidth="1"/>
  </x:cols>
  <x:sheetData>
    <x:row r="1" ht="28" customHeight="1">
      <x:c r="A1" s="8" t="str">
        <x:v>Monthly performance | Formula-driven summary</x:v>
      </x:c>
      <x:c r="B1" s="9"/>
      <x:c r="C1" s="9"/>
      <x:c r="D1" s="9"/>
      <x:c r="E1" s="9"/>
      <x:c r="F1" s="10"/>
    </x:row>
    <x:row r="3">
      <x:c r="A3" s="38" t="str">
        <x:v>KPI</x:v>
      </x:c>
      <x:c r="B3" s="51" t="str">
        <x:v>Formula result</x:v>
      </x:c>
      <x:c r="C3" s="39" t="str">
        <x:v>Interpretation</x:v>
      </x:c>
      <x:c r="E3" s="38" t="str">
        <x:v>Daily trend</x:v>
      </x:c>
      <x:c r="F3" s="39" t="str">
        <x:v>GMV ¥M</x:v>
      </x:c>
    </x:row>
    <x:row r="4">
      <x:c r="A4" s="58" t="str">
        <x:v>Actual GMV</x:v>
      </x:c>
      <x:c r="B4" s="64" t="n">
        <x:f>'Raw Inputs'!B5</x:f>
        <x:v>84200000</x:v>
      </x:c>
      <x:c r="C4" s="60" t="str">
        <x:v>Reported net GMV</x:v>
      </x:c>
      <x:c r="E4" s="67" t="str">
        <x:v>Jul 7</x:v>
      </x:c>
      <x:c r="F4" s="71" t="n">
        <x:v>10.8</x:v>
      </x:c>
    </x:row>
    <x:row r="5">
      <x:c r="A5" s="58" t="str">
        <x:v>Variance vs plan</x:v>
      </x:c>
      <x:c r="B5" s="65" t="n">
        <x:f>B4/'Raw Inputs'!B6-1</x:f>
        <x:v>0.05249999999999999</x:v>
      </x:c>
      <x:c r="C5" s="60" t="str">
        <x:v>Positive above plan</x:v>
      </x:c>
      <x:c r="E5" s="67" t="str">
        <x:v>Jul 8</x:v>
      </x:c>
      <x:c r="F5" s="71" t="n">
        <x:v>11.2</x:v>
      </x:c>
    </x:row>
    <x:row r="6">
      <x:c r="A6" s="58" t="str">
        <x:v>Variance vs prior</x:v>
      </x:c>
      <x:c r="B6" s="65" t="n">
        <x:f>B4/'Raw Inputs'!B7-1</x:f>
        <x:v>0.07124681933842236</x:v>
      </x:c>
      <x:c r="C6" s="60" t="str">
        <x:v>Positive above prior</x:v>
      </x:c>
      <x:c r="E6" s="67" t="str">
        <x:v>Jul 9</x:v>
      </x:c>
      <x:c r="F6" s="71" t="n">
        <x:v>11.5</x:v>
      </x:c>
    </x:row>
    <x:row r="7">
      <x:c r="A7" s="58" t="str">
        <x:v>Net / gross</x:v>
      </x:c>
      <x:c r="B7" s="65" t="n">
        <x:f>B4/'Raw Inputs'!B8</x:f>
        <x:v>0.9790697674418605</x:v>
      </x:c>
      <x:c r="C7" s="60" t="str">
        <x:v>After refunds</x:v>
      </x:c>
      <x:c r="E7" s="67" t="str">
        <x:v>Jul 10</x:v>
      </x:c>
      <x:c r="F7" s="71" t="n">
        <x:v>12.1</x:v>
      </x:c>
    </x:row>
    <x:row r="8">
      <x:c r="A8" s="58" t="str">
        <x:v>Daily average</x:v>
      </x:c>
      <x:c r="B8" s="64" t="n">
        <x:f>SUM('Raw Inputs'!F4:F10)/7</x:f>
        <x:v>12028571.42857143</x:v>
      </x:c>
      <x:c r="C8" s="60" t="str">
        <x:v>Jul 7–13 average</x:v>
      </x:c>
      <x:c r="E8" s="67" t="str">
        <x:v>Jul 11</x:v>
      </x:c>
      <x:c r="F8" s="71" t="n">
        <x:v>12.4</x:v>
      </x:c>
    </x:row>
    <x:row r="9">
      <x:c r="A9" s="61" t="str">
        <x:v>Daily total check</x:v>
      </x:c>
      <x:c r="B9" s="66" t="n">
        <x:f>SUM('Raw Inputs'!F4:F10)-B4</x:f>
        <x:v>0</x:v>
      </x:c>
      <x:c r="C9" s="63" t="str">
        <x:v>Reconciles to actual</x:v>
      </x:c>
      <x:c r="E9" s="67" t="str">
        <x:v>Jul 12</x:v>
      </x:c>
      <x:c r="F9" s="71" t="n">
        <x:v>13</x:v>
      </x:c>
    </x:row>
    <x:row r="10">
      <x:c r="E10" s="69" t="str">
        <x:v>Jul 13</x:v>
      </x:c>
      <x:c r="F10" s="72" t="n">
        <x:v>13.2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220001220703125" hidden="0" customWidth="1"/>
    <x:col min="2" max="2" width="7.110000133514404" hidden="0" customWidth="1"/>
    <x:col min="3" max="3" width="5" hidden="0" customWidth="1"/>
  </x:cols>
  <x:sheetData>
    <x:row r="1" ht="28" customHeight="1">
      <x:c r="A1" s="8" t="str">
        <x:v>Control checks | Monthly close readiness</x:v>
      </x:c>
      <x:c r="B1" s="9"/>
      <x:c r="C1" s="9"/>
      <x:c r="D1" s="10"/>
    </x:row>
    <x:row r="3">
      <x:c r="A3" s="38" t="str">
        <x:v>Control</x:v>
      </x:c>
      <x:c r="B3" s="51" t="str">
        <x:v>Result</x:v>
      </x:c>
      <x:c r="C3" s="39" t="str">
        <x:v>Status</x:v>
      </x:c>
    </x:row>
    <x:row r="4">
      <x:c r="A4" s="79" t="str">
        <x:v>Gross less refunds</x:v>
      </x:c>
      <x:c r="B4" s="85" t="n">
        <x:f>'Raw Inputs'!B8-'Raw Inputs'!B9</x:f>
        <x:v>84200000</x:v>
      </x:c>
      <x:c r="C4" s="81" t="str">
        <x:f>IF(B4='Raw Inputs'!B5,"Pass","Investigate")</x:f>
        <x:v>Pass</x:v>
      </x:c>
    </x:row>
    <x:row r="5">
      <x:c r="A5" s="79" t="str">
        <x:v>Daily total reconciles</x:v>
      </x:c>
      <x:c r="B5" s="85" t="n">
        <x:f>SUM('Raw Inputs'!F4:F10)</x:f>
        <x:v>84200000</x:v>
      </x:c>
      <x:c r="C5" s="81" t="str">
        <x:f>IF(B5='Raw Inputs'!B5,"Pass","Investigate")</x:f>
        <x:v>Pass</x:v>
      </x:c>
    </x:row>
    <x:row r="6">
      <x:c r="A6" s="79" t="str">
        <x:v>Plan variance calculated</x:v>
      </x:c>
      <x:c r="B6" s="86" t="n">
        <x:f>'Derived'!B5</x:f>
        <x:v>0.05249999999999999</x:v>
      </x:c>
      <x:c r="C6" s="81" t="str">
        <x:f>IF(B6&gt;0,"Pass","Investigate")</x:f>
        <x:v>Pass</x:v>
      </x:c>
    </x:row>
    <x:row r="7">
      <x:c r="A7" s="82" t="str">
        <x:v>Formula error scan</x:v>
      </x:c>
      <x:c r="B7" s="83" t="str">
        <x:v>0</x:v>
      </x:c>
      <x:c r="C7" s="84" t="str">
        <x:v>Pass</x:v>
      </x:c>
    </x:row>
  </x:sheetData>
  <x:mergeCells>
    <x:mergeCell ref="A1:D1"/>
  </x:mergeCells>
  <x:pageMargins left="0.7" right="0.7" top="0.75" bottom="0.75" header="0.3" footer="0.3"/>
</x:worksheet>
</file>