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32f02ba9d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f88eb1abc0433e"/>
    <x:sheet xmlns:r="http://schemas.openxmlformats.org/officeDocument/2006/relationships" name="Raw_Data" sheetId="2" r:id="R3815ec5ddc824438"/>
    <x:sheet xmlns:r="http://schemas.openxmlformats.org/officeDocument/2006/relationships" name="Model" sheetId="3" r:id="Redb011f56d5b433a"/>
    <x:sheet xmlns:r="http://schemas.openxmlformats.org/officeDocument/2006/relationships" name="Checks" sheetId="4" r:id="Rb937610a3ad1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;[Red](¥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53B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69"/>
      </x:patternFill>
    </x:fill>
    <x:fill>
      <x:patternFill patternType="solid">
        <x:fgColor rgb="FFDCEBFA"/>
      </x:patternFill>
    </x:fill>
  </x:fills>
  <x:borders count="2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eda01ca854aa8" /><Relationship Type="http://schemas.openxmlformats.org/officeDocument/2006/relationships/theme" Target="/xl/theme/theme1.xml" Id="Re9a7002a35204fa3" /><Relationship Type="http://schemas.openxmlformats.org/officeDocument/2006/relationships/sharedStrings" Target="/xl/sharedStrings.xml" Id="R602e250ce8854961" /><Relationship Type="http://schemas.openxmlformats.org/officeDocument/2006/relationships/worksheet" Target="/xl/worksheets/sheet1.xml" Id="R2bf88eb1abc0433e" /><Relationship Type="http://schemas.openxmlformats.org/officeDocument/2006/relationships/worksheet" Target="/xl/worksheets/sheet2.xml" Id="R3815ec5ddc824438" /><Relationship Type="http://schemas.openxmlformats.org/officeDocument/2006/relationships/worksheet" Target="/xl/worksheets/sheet3.xml" Id="Redb011f56d5b433a" /><Relationship Type="http://schemas.openxmlformats.org/officeDocument/2006/relationships/worksheet" Target="/xl/worksheets/sheet4.xml" Id="Rb937610a3ad14b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Mosaic Retail | KPI Reconciliation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</x:row>
    <x:row r="2">
      <x:c r="A2" s="5" t="str">
        <x:v>Gross-to-net GMV bridge | 2026-07-13 | metric MTR-09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str">
        <x:v>Metric</x:v>
      </x:c>
      <x:c r="B4" s="6" t="str">
        <x:v>Actual</x:v>
      </x:c>
      <x:c r="C4" s="6" t="str">
        <x:v>Plan</x:v>
      </x:c>
      <x:c r="D4" s="6" t="str">
        <x:v>Prior</x:v>
      </x:c>
      <x:c r="E4" s="6" t="str">
        <x:v>Actual vs Plan</x:v>
      </x:c>
      <x:c r="F4" s="1"/>
      <x:c r="G4" s="1"/>
      <x:c r="H4" s="1"/>
      <x:c r="I4" s="1"/>
      <x:c r="J4" s="1"/>
      <x:c r="K4" s="1"/>
      <x:c r="L4" s="1"/>
    </x:row>
    <x:row r="5">
      <x:c r="A5" s="1" t="str">
        <x:v>Gross GMV</x:v>
      </x:c>
      <x:c r="B5" s="7" t="n">
        <x:v>86000000</x:v>
      </x:c>
      <x:c r="C5" s="7" t="n">
        <x:v>81800000</x:v>
      </x:c>
      <x:c r="D5" s="7" t="n">
        <x:v>80200000</x:v>
      </x:c>
      <x:c r="E5" s="7" t="n">
        <x:f>B5-C5</x:f>
        <x:v>4200000</x:v>
      </x:c>
      <x:c r="F5" s="1"/>
      <x:c r="G5" s="1"/>
      <x:c r="H5" s="1"/>
      <x:c r="I5" s="1"/>
      <x:c r="J5" s="1"/>
      <x:c r="K5" s="1"/>
      <x:c r="L5" s="1"/>
    </x:row>
    <x:row r="6">
      <x:c r="A6" s="1" t="str">
        <x:v>Refunds</x:v>
      </x:c>
      <x:c r="B6" s="7" t="n">
        <x:v>-1800000</x:v>
      </x:c>
      <x:c r="C6" s="7" t="n">
        <x:v>-1800000</x:v>
      </x:c>
      <x:c r="D6" s="7" t="n">
        <x:v>-1600000</x:v>
      </x:c>
      <x:c r="E6" s="7" t="n">
        <x:f>B6-C6</x:f>
        <x:v>0</x:v>
      </x:c>
      <x:c r="F6" s="1"/>
      <x:c r="G6" s="1"/>
      <x:c r="H6" s="1"/>
      <x:c r="I6" s="1"/>
      <x:c r="J6" s="1"/>
      <x:c r="K6" s="1"/>
      <x:c r="L6" s="1"/>
    </x:row>
    <x:row r="7">
      <x:c r="A7" s="1" t="str">
        <x:v>Net GMV</x:v>
      </x:c>
      <x:c r="B7" s="7" t="n">
        <x:v>84200000</x:v>
      </x:c>
      <x:c r="C7" s="7" t="n">
        <x:v>80000000</x:v>
      </x:c>
      <x:c r="D7" s="7" t="n">
        <x:v>78600000</x:v>
      </x:c>
      <x:c r="E7" s="7" t="n">
        <x:f>B7-C7</x:f>
        <x:v>4200000</x:v>
      </x:c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Source</x:v>
      </x:c>
      <x:c r="B1" s="6" t="str">
        <x:v>Gross GMV</x:v>
      </x:c>
      <x:c r="C1" s="6" t="str">
        <x:v>Refunds</x:v>
      </x:c>
      <x:c r="D1" s="6" t="str">
        <x:v>Net GMV</x:v>
      </x:c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Warehouse extract</x:v>
      </x:c>
      <x:c r="B2" s="7" t="n">
        <x:v>86000000</x:v>
      </x:c>
      <x:c r="C2" s="7" t="n">
        <x:v>-1800000</x:v>
      </x:c>
      <x:c r="D2" s="7" t="n">
        <x:v>84200000</x:v>
      </x:c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Dashboard semantic layer</x:v>
      </x:c>
      <x:c r="B3" s="7" t="n">
        <x:v>86000000</x:v>
      </x:c>
      <x:c r="C3" s="7" t="n">
        <x:v>-1800000</x:v>
      </x:c>
      <x:c r="D3" s="7" t="n">
        <x:v>84200000</x:v>
      </x:c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Control total</x:v>
      </x:c>
      <x:c r="B4" s="7" t="n">
        <x:v>86000000</x:v>
      </x:c>
      <x:c r="C4" s="7" t="n">
        <x:v>-1800000</x:v>
      </x:c>
      <x:c r="D4" s="7" t="n">
        <x:v>84200000</x:v>
      </x:c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Reconciliation formula</x:v>
      </x:c>
      <x:c r="B1" s="6" t="str">
        <x:v>Value</x:v>
      </x:c>
      <x:c r="C1" s="6" t="str">
        <x:v>Comment</x:v>
      </x:c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Gross GMV</x:v>
      </x:c>
      <x:c r="B2" s="7" t="n">
        <x:v>86000000</x:v>
      </x:c>
      <x:c r="C2" s="1" t="str">
        <x:v>S2 warehouse source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Less refunds</x:v>
      </x:c>
      <x:c r="B3" s="7" t="n">
        <x:v>-1800000</x:v>
      </x:c>
      <x:c r="C3" s="1" t="str">
        <x:v>Approved adjustment</x:v>
      </x:c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Net GMV</x:v>
      </x:c>
      <x:c r="B4" s="7" t="n">
        <x:v>84200000</x:v>
      </x:c>
      <x:c r="C4" s="1" t="str">
        <x:v>MTR-09 reported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Source check</x:v>
      </x:c>
      <x:c r="B1" s="6" t="str">
        <x:v>Expected</x:v>
      </x:c>
      <x:c r="C1" s="6" t="str">
        <x:v>Observed</x:v>
      </x:c>
      <x:c r="D1" s="6" t="str">
        <x:v>Status</x:v>
      </x:c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Gross less refunds</x:v>
      </x:c>
      <x:c r="B2" s="7" t="n">
        <x:v>84200000</x:v>
      </x:c>
      <x:c r="C2" s="7" t="n">
        <x:v>84200000</x:v>
      </x:c>
      <x:c r="D2" s="1" t="str">
        <x:v>PASS</x:v>
      </x:c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Net equals reported</x:v>
      </x:c>
      <x:c r="B3" s="7" t="n">
        <x:v>84200000</x:v>
      </x:c>
      <x:c r="C3" s="7" t="n">
        <x:v>84200000</x:v>
      </x:c>
      <x:c r="D3" s="1" t="str">
        <x:v>PASS</x:v>
      </x:c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All sources aligned</x:v>
      </x:c>
      <x:c r="B4" s="1" t="str">
        <x:v>Yes</x:v>
      </x:c>
      <x:c r="C4" s="1" t="str">
        <x:v>Yes</x:v>
      </x:c>
      <x:c r="D4" s="1" t="str">
        <x:v>PASS</x:v>
      </x:c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