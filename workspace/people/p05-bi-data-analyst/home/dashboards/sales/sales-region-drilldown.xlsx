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b6a57b4ed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a1f69ab7ac4352"/>
    <x:sheet xmlns:r="http://schemas.openxmlformats.org/officeDocument/2006/relationships" name="Region_Data" sheetId="2" r:id="R274e91b3458a414a"/>
    <x:sheet xmlns:r="http://schemas.openxmlformats.org/officeDocument/2006/relationships" name="Variance_Model" sheetId="3" r:id="Refc88f2a0ce9435d"/>
    <x:sheet xmlns:r="http://schemas.openxmlformats.org/officeDocument/2006/relationships" name="Checks" sheetId="4" r:id="R50a24cc0ca3f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;[Red](¥#,##0);-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3B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69"/>
      </x:patternFill>
    </x:fill>
    <x:fill>
      <x:patternFill patternType="solid">
        <x:fgColor rgb="FFDCEBFA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0db6b0efc498c" /><Relationship Type="http://schemas.openxmlformats.org/officeDocument/2006/relationships/theme" Target="/xl/theme/theme1.xml" Id="R78561c91d4fd4707" /><Relationship Type="http://schemas.openxmlformats.org/officeDocument/2006/relationships/sharedStrings" Target="/xl/sharedStrings.xml" Id="Rb7fd73e36e584f23" /><Relationship Type="http://schemas.openxmlformats.org/officeDocument/2006/relationships/worksheet" Target="/xl/worksheets/sheet1.xml" Id="R6ca1f69ab7ac4352" /><Relationship Type="http://schemas.openxmlformats.org/officeDocument/2006/relationships/worksheet" Target="/xl/worksheets/sheet2.xml" Id="R274e91b3458a414a" /><Relationship Type="http://schemas.openxmlformats.org/officeDocument/2006/relationships/worksheet" Target="/xl/worksheets/sheet3.xml" Id="Refc88f2a0ce9435d" /><Relationship Type="http://schemas.openxmlformats.org/officeDocument/2006/relationships/worksheet" Target="/xl/worksheets/sheet4.xml" Id="R50a24cc0ca3f4b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b496c3861d43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GMV (JPY)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'Summary'!$A$5:$A$8</c:f>
              <c:strCache>
                <c:ptCount val="0"/>
              </c:strCache>
            </c:strRef>
          </c:cat>
          <c:val>
            <c:numRef>
              <c:f>'Summary'!$B$5:$B$8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496c3861d43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0ae17b88cb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Mosaic Retail | Regional GMV Drilldown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5" t="str">
        <x:v>FY26 Q3 | East, West, Central and North | Reported GMV ¥84.2M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str">
        <x:v>Region</x:v>
      </x:c>
      <x:c r="B4" s="6" t="str">
        <x:v>Actual</x:v>
      </x:c>
      <x:c r="C4" s="6" t="str">
        <x:v>Plan</x:v>
      </x:c>
      <x:c r="D4" s="6" t="str">
        <x:v>Variance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East</x:v>
      </x:c>
      <x:c r="B5" s="7" t="n">
        <x:v>26400000</x:v>
      </x:c>
      <x:c r="C5" s="7" t="n">
        <x:v>25000000</x:v>
      </x:c>
      <x:c r="D5" s="7" t="n">
        <x:f>B5-C5</x:f>
        <x:v>1400000</x:v>
      </x:c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West</x:v>
      </x:c>
      <x:c r="B6" s="7" t="n">
        <x:v>22800000</x:v>
      </x:c>
      <x:c r="C6" s="7" t="n">
        <x:v>21500000</x:v>
      </x:c>
      <x:c r="D6" s="7" t="n">
        <x:f>B6-C6</x:f>
        <x:v>1300000</x:v>
      </x:c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Central</x:v>
      </x:c>
      <x:c r="B7" s="7" t="n">
        <x:v>18600000</x:v>
      </x:c>
      <x:c r="C7" s="7" t="n">
        <x:v>17700000</x:v>
      </x:c>
      <x:c r="D7" s="7" t="n">
        <x:f>B7-C7</x:f>
        <x:v>900000</x:v>
      </x:c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North</x:v>
      </x:c>
      <x:c r="B8" s="7" t="n">
        <x:v>16400000</x:v>
      </x:c>
      <x:c r="C8" s="7" t="n">
        <x:v>15800000</x:v>
      </x:c>
      <x:c r="D8" s="7" t="n">
        <x:f>B8-C8</x:f>
        <x:v>600000</x:v>
      </x:c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60ae17b88cb4c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Region</x:v>
      </x:c>
      <x:c r="B1" s="6" t="str">
        <x:v>Actual</x:v>
      </x:c>
      <x:c r="C1" s="6" t="str">
        <x:v>Plan</x:v>
      </x:c>
      <x:c r="D1" s="6" t="str">
        <x:v>Prior</x:v>
      </x:c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East</x:v>
      </x:c>
      <x:c r="B2" s="7" t="n">
        <x:v>26400000</x:v>
      </x:c>
      <x:c r="C2" s="7" t="n">
        <x:v>25000000</x:v>
      </x:c>
      <x:c r="D2" s="7" t="n">
        <x:v>24500000</x:v>
      </x:c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West</x:v>
      </x:c>
      <x:c r="B3" s="7" t="n">
        <x:v>22800000</x:v>
      </x:c>
      <x:c r="C3" s="7" t="n">
        <x:v>21500000</x:v>
      </x:c>
      <x:c r="D3" s="7" t="n">
        <x:v>21300000</x:v>
      </x:c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Central</x:v>
      </x:c>
      <x:c r="B4" s="7" t="n">
        <x:v>18600000</x:v>
      </x:c>
      <x:c r="C4" s="7" t="n">
        <x:v>17700000</x:v>
      </x:c>
      <x:c r="D4" s="7" t="n">
        <x:v>17400000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North</x:v>
      </x:c>
      <x:c r="B5" s="7" t="n">
        <x:v>16400000</x:v>
      </x:c>
      <x:c r="C5" s="7" t="n">
        <x:v>15800000</x:v>
      </x:c>
      <x:c r="D5" s="7" t="n">
        <x:v>15400000</x:v>
      </x:c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Region</x:v>
      </x:c>
      <x:c r="B1" s="6" t="str">
        <x:v>Actual</x:v>
      </x:c>
      <x:c r="C1" s="6" t="str">
        <x:v>Plan</x:v>
      </x:c>
      <x:c r="D1" s="6" t="str">
        <x:v>Variance</x:v>
      </x:c>
      <x:c r="E1" s="6" t="str">
        <x:v>Variance %</x:v>
      </x:c>
      <x:c r="F1" s="1"/>
      <x:c r="G1" s="1"/>
      <x:c r="H1" s="1"/>
      <x:c r="I1" s="1"/>
      <x:c r="J1" s="1"/>
      <x:c r="K1" s="1"/>
      <x:c r="L1" s="1"/>
    </x:row>
    <x:row r="2">
      <x:c r="A2" s="1" t="str">
        <x:v>East</x:v>
      </x:c>
      <x:c r="B2" s="7" t="n">
        <x:v>26400000</x:v>
      </x:c>
      <x:c r="C2" s="7" t="n">
        <x:v>25000000</x:v>
      </x:c>
      <x:c r="D2" s="7" t="n">
        <x:f>B2-C2</x:f>
        <x:v>1400000</x:v>
      </x:c>
      <x:c r="E2" s="8" t="n">
        <x:f>D2/C2</x:f>
        <x:v>0.056</x:v>
      </x:c>
      <x:c r="F2" s="1"/>
      <x:c r="G2" s="1"/>
      <x:c r="H2" s="1"/>
      <x:c r="I2" s="1"/>
      <x:c r="J2" s="1"/>
      <x:c r="K2" s="1"/>
      <x:c r="L2" s="1"/>
    </x:row>
    <x:row r="3">
      <x:c r="A3" s="1" t="str">
        <x:v>West</x:v>
      </x:c>
      <x:c r="B3" s="7" t="n">
        <x:v>22800000</x:v>
      </x:c>
      <x:c r="C3" s="7" t="n">
        <x:v>21500000</x:v>
      </x:c>
      <x:c r="D3" s="7" t="n">
        <x:f>B3-C3</x:f>
        <x:v>1300000</x:v>
      </x:c>
      <x:c r="E3" s="8" t="n">
        <x:f>D3/C3</x:f>
        <x:v>0.06046511627906977</x:v>
      </x:c>
      <x:c r="F3" s="1"/>
      <x:c r="G3" s="1"/>
      <x:c r="H3" s="1"/>
      <x:c r="I3" s="1"/>
      <x:c r="J3" s="1"/>
      <x:c r="K3" s="1"/>
      <x:c r="L3" s="1"/>
    </x:row>
    <x:row r="4">
      <x:c r="A4" s="1" t="str">
        <x:v>Central</x:v>
      </x:c>
      <x:c r="B4" s="7" t="n">
        <x:v>18600000</x:v>
      </x:c>
      <x:c r="C4" s="7" t="n">
        <x:v>17700000</x:v>
      </x:c>
      <x:c r="D4" s="7" t="n">
        <x:f>B4-C4</x:f>
        <x:v>900000</x:v>
      </x:c>
      <x:c r="E4" s="8" t="n">
        <x:f>D4/C4</x:f>
        <x:v>0.05084745762711865</x:v>
      </x:c>
      <x:c r="F4" s="1"/>
      <x:c r="G4" s="1"/>
      <x:c r="H4" s="1"/>
      <x:c r="I4" s="1"/>
      <x:c r="J4" s="1"/>
      <x:c r="K4" s="1"/>
      <x:c r="L4" s="1"/>
    </x:row>
    <x:row r="5">
      <x:c r="A5" s="1" t="str">
        <x:v>North</x:v>
      </x:c>
      <x:c r="B5" s="7" t="n">
        <x:v>16400000</x:v>
      </x:c>
      <x:c r="C5" s="7" t="n">
        <x:v>15800000</x:v>
      </x:c>
      <x:c r="D5" s="7" t="n">
        <x:f>B5-C5</x:f>
        <x:v>600000</x:v>
      </x:c>
      <x:c r="E5" s="8" t="n">
        <x:f>D5/C5</x:f>
        <x:v>0.0379746835443038</x:v>
      </x:c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Check</x:v>
      </x:c>
      <x:c r="B1" s="6" t="str">
        <x:v>Value</x:v>
      </x:c>
      <x:c r="C1" s="6" t="str">
        <x:v>Status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Regional total</x:v>
      </x:c>
      <x:c r="B2" s="7" t="n">
        <x:v>84200000</x:v>
      </x:c>
      <x:c r="C2" s="1" t="str">
        <x:v>PASS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Four regions present</x:v>
      </x:c>
      <x:c r="B3" s="1" t="n">
        <x:v>4</x:v>
      </x:c>
      <x:c r="C3" s="1" t="str">
        <x:v>PASS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