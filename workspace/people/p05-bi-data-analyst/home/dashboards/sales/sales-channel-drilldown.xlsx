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6df7c917a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ab17ca85e14d15"/>
    <x:sheet xmlns:r="http://schemas.openxmlformats.org/officeDocument/2006/relationships" name="Channel_Data" sheetId="2" r:id="Recfdb1cb08e44b48"/>
    <x:sheet xmlns:r="http://schemas.openxmlformats.org/officeDocument/2006/relationships" name="Mix_Model" sheetId="3" r:id="R4049dc8510704eaa"/>
    <x:sheet xmlns:r="http://schemas.openxmlformats.org/officeDocument/2006/relationships" name="Checks" sheetId="4" r:id="R0bc1a7792a56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;[Red](¥#,##0);-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53B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B69"/>
      </x:patternFill>
    </x:fill>
    <x:fill>
      <x:patternFill patternType="solid">
        <x:fgColor rgb="FFDCEBFA"/>
      </x:patternFill>
    </x:fill>
  </x:fills>
  <x:borders count="2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7874c58824453" /><Relationship Type="http://schemas.openxmlformats.org/officeDocument/2006/relationships/theme" Target="/xl/theme/theme1.xml" Id="R42dae3684d2f4a4c" /><Relationship Type="http://schemas.openxmlformats.org/officeDocument/2006/relationships/sharedStrings" Target="/xl/sharedStrings.xml" Id="R96c5123fb1214459" /><Relationship Type="http://schemas.openxmlformats.org/officeDocument/2006/relationships/worksheet" Target="/xl/worksheets/sheet1.xml" Id="Re5ab17ca85e14d15" /><Relationship Type="http://schemas.openxmlformats.org/officeDocument/2006/relationships/worksheet" Target="/xl/worksheets/sheet2.xml" Id="Recfdb1cb08e44b48" /><Relationship Type="http://schemas.openxmlformats.org/officeDocument/2006/relationships/worksheet" Target="/xl/worksheets/sheet3.xml" Id="R4049dc8510704eaa" /><Relationship Type="http://schemas.openxmlformats.org/officeDocument/2006/relationships/worksheet" Target="/xl/worksheets/sheet4.xml" Id="R0bc1a7792a5642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e6c6416e7448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Channel GMV (JPY)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Actual</c:v>
          </c:tx>
          <c:cat>
            <c:strRef>
              <c:f>'Summary'!$A$5:$A$6</c:f>
              <c:strCache>
                <c:ptCount val="0"/>
              </c:strCache>
            </c:strRef>
          </c:cat>
          <c:val>
            <c:numRef>
              <c:f>'Summary'!$B$5:$B$6</c:f>
              <c:numCache>
                <c:formatCode>¥#,##0;[Red](¥#,##0);-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9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e6c6416e7448c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e0cebc075147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Mosaic Retail | Channel GMV Drilldown</x:v>
      </x:c>
      <x:c r="B1" s="3"/>
      <x:c r="C1" s="3"/>
      <x:c r="D1" s="3"/>
      <x:c r="E1" s="3"/>
      <x:c r="F1" s="3"/>
      <x:c r="G1" s="3"/>
      <x:c r="H1" s="3"/>
      <x:c r="I1" s="1"/>
      <x:c r="J1" s="1"/>
      <x:c r="K1" s="1"/>
      <x:c r="L1" s="1"/>
    </x:row>
    <x:row r="2">
      <x:c r="A2" s="5" t="str">
        <x:v>FY26 Q3 | Online and stores | Reported GMV ¥84.2M</x:v>
      </x:c>
      <x:c r="B2" s="5"/>
      <x:c r="C2" s="5"/>
      <x:c r="D2" s="5"/>
      <x:c r="E2" s="5"/>
      <x:c r="F2" s="5"/>
      <x:c r="G2" s="5"/>
      <x:c r="H2" s="5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str">
        <x:v>Channel</x:v>
      </x:c>
      <x:c r="B4" s="6" t="str">
        <x:v>Actual</x:v>
      </x:c>
      <x:c r="C4" s="6" t="str">
        <x:v>Prior</x:v>
      </x:c>
      <x:c r="D4" s="6" t="str">
        <x:v>Variance</x:v>
      </x:c>
      <x:c r="E4" s="6" t="str">
        <x:v>Share</x:v>
      </x:c>
      <x:c r="F4" s="1"/>
      <x:c r="G4" s="1"/>
      <x:c r="H4" s="1"/>
      <x:c r="I4" s="1"/>
      <x:c r="J4" s="1"/>
      <x:c r="K4" s="1"/>
      <x:c r="L4" s="1"/>
    </x:row>
    <x:row r="5">
      <x:c r="A5" s="1" t="str">
        <x:v>Online</x:v>
      </x:c>
      <x:c r="B5" s="7" t="n">
        <x:v>46300000</x:v>
      </x:c>
      <x:c r="C5" s="7" t="n">
        <x:v>43200000</x:v>
      </x:c>
      <x:c r="D5" s="7" t="n">
        <x:f>B5-C5</x:f>
        <x:v>3100000</x:v>
      </x:c>
      <x:c r="E5" s="8" t="n">
        <x:f>B5/$B$7</x:f>
        <x:v>0.5498812351543944</x:v>
      </x:c>
      <x:c r="F5" s="1"/>
      <x:c r="G5" s="1"/>
      <x:c r="H5" s="1"/>
      <x:c r="I5" s="1"/>
      <x:c r="J5" s="1"/>
      <x:c r="K5" s="1"/>
      <x:c r="L5" s="1"/>
    </x:row>
    <x:row r="6">
      <x:c r="A6" s="1" t="str">
        <x:v>Stores</x:v>
      </x:c>
      <x:c r="B6" s="7" t="n">
        <x:v>37900000</x:v>
      </x:c>
      <x:c r="C6" s="7" t="n">
        <x:v>35400000</x:v>
      </x:c>
      <x:c r="D6" s="7" t="n">
        <x:f>B6-C6</x:f>
        <x:v>2500000</x:v>
      </x:c>
      <x:c r="E6" s="8" t="n">
        <x:f>B6/$B$7</x:f>
        <x:v>0.4501187648456057</x:v>
      </x:c>
      <x:c r="F6" s="1"/>
      <x:c r="G6" s="1"/>
      <x:c r="H6" s="1"/>
      <x:c r="I6" s="1"/>
      <x:c r="J6" s="1"/>
      <x:c r="K6" s="1"/>
      <x:c r="L6" s="1"/>
    </x:row>
    <x:row r="7">
      <x:c r="A7" s="1" t="str">
        <x:v>Reported total</x:v>
      </x:c>
      <x:c r="B7" s="7" t="n">
        <x:v>84200000</x:v>
      </x:c>
      <x:c r="C7" s="7"/>
      <x:c r="D7" s="7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3be0cebc0751470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" t="str">
        <x:v>Channel</x:v>
      </x:c>
      <x:c r="B1" s="6" t="str">
        <x:v>Actual</x:v>
      </x:c>
      <x:c r="C1" s="6" t="str">
        <x:v>Prior</x:v>
      </x:c>
      <x:c r="D1" s="6" t="str">
        <x:v>Plan</x:v>
      </x:c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Online</x:v>
      </x:c>
      <x:c r="B2" s="7" t="n">
        <x:v>46300000</x:v>
      </x:c>
      <x:c r="C2" s="7" t="n">
        <x:v>43200000</x:v>
      </x:c>
      <x:c r="D2" s="7" t="n">
        <x:v>44000000</x:v>
      </x:c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Stores</x:v>
      </x:c>
      <x:c r="B3" s="7" t="n">
        <x:v>37900000</x:v>
      </x:c>
      <x:c r="C3" s="7" t="n">
        <x:v>35400000</x:v>
      </x:c>
      <x:c r="D3" s="7" t="n">
        <x:v>36000000</x:v>
      </x:c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" t="str">
        <x:v>Channel</x:v>
      </x:c>
      <x:c r="B1" s="6" t="str">
        <x:v>Actual</x:v>
      </x:c>
      <x:c r="C1" s="6" t="str">
        <x:v>Prior</x:v>
      </x:c>
      <x:c r="D1" s="6" t="str">
        <x:v>Variance</x:v>
      </x:c>
      <x:c r="E1" s="6" t="str">
        <x:v>Share</x:v>
      </x:c>
      <x:c r="F1" s="1"/>
      <x:c r="G1" s="1"/>
      <x:c r="H1" s="1"/>
      <x:c r="I1" s="1"/>
      <x:c r="J1" s="1"/>
      <x:c r="K1" s="1"/>
      <x:c r="L1" s="1"/>
    </x:row>
    <x:row r="2">
      <x:c r="A2" s="1" t="str">
        <x:v>Online</x:v>
      </x:c>
      <x:c r="B2" s="7" t="n">
        <x:v>46300000</x:v>
      </x:c>
      <x:c r="C2" s="7" t="n">
        <x:v>43200000</x:v>
      </x:c>
      <x:c r="D2" s="7" t="n">
        <x:f>B2-C2</x:f>
        <x:v>3100000</x:v>
      </x:c>
      <x:c r="E2" s="8" t="n">
        <x:f>B2/SUM($B$2:$B$3)</x:f>
        <x:v>0.5498812351543944</x:v>
      </x:c>
      <x:c r="F2" s="1"/>
      <x:c r="G2" s="1"/>
      <x:c r="H2" s="1"/>
      <x:c r="I2" s="1"/>
      <x:c r="J2" s="1"/>
      <x:c r="K2" s="1"/>
      <x:c r="L2" s="1"/>
    </x:row>
    <x:row r="3">
      <x:c r="A3" s="1" t="str">
        <x:v>Stores</x:v>
      </x:c>
      <x:c r="B3" s="7" t="n">
        <x:v>37900000</x:v>
      </x:c>
      <x:c r="C3" s="7" t="n">
        <x:v>35400000</x:v>
      </x:c>
      <x:c r="D3" s="7" t="n">
        <x:f>B3-C3</x:f>
        <x:v>2500000</x:v>
      </x:c>
      <x:c r="E3" s="8" t="n">
        <x:f>B3/SUM($B$2:$B$3)</x:f>
        <x:v>0.4501187648456057</x:v>
      </x:c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" t="str">
        <x:v>Check</x:v>
      </x:c>
      <x:c r="B1" s="6" t="str">
        <x:v>Value</x:v>
      </x:c>
      <x:c r="C1" s="6" t="str">
        <x:v>Status</x:v>
      </x:c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Channel total</x:v>
      </x:c>
      <x:c r="B2" s="7" t="n">
        <x:v>84200000</x:v>
      </x:c>
      <x:c r="C2" s="1" t="str">
        <x:v>PASS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Mix total</x:v>
      </x:c>
      <x:c r="B3" s="1" t="str">
        <x:v>100.0%</x:v>
      </x:c>
      <x:c r="C3" s="1" t="str">
        <x:v>PASS</x:v>
      </x:c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