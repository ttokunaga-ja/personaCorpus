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732ff84ea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653bed93f04006"/>
    <x:sheet xmlns:r="http://schemas.openxmlformats.org/officeDocument/2006/relationships" name="Raw_Data" sheetId="2" r:id="Rf7afeee715b9407b"/>
    <x:sheet xmlns:r="http://schemas.openxmlformats.org/officeDocument/2006/relationships" name="Model" sheetId="3" r:id="R4d83b80b9e7a498c"/>
    <x:sheet xmlns:r="http://schemas.openxmlformats.org/officeDocument/2006/relationships" name="Checks" sheetId="4" r:id="R20da82d526c9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;[Red](¥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53B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69"/>
      </x:patternFill>
    </x:fill>
    <x:fill>
      <x:patternFill patternType="solid">
        <x:fgColor rgb="FFDCEBFA"/>
      </x:patternFill>
    </x:fill>
  </x:fills>
  <x:borders count="2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a4671fa584478" /><Relationship Type="http://schemas.openxmlformats.org/officeDocument/2006/relationships/theme" Target="/xl/theme/theme1.xml" Id="R490d35b8405c4d55" /><Relationship Type="http://schemas.openxmlformats.org/officeDocument/2006/relationships/sharedStrings" Target="/xl/sharedStrings.xml" Id="Re1ea6d9754e643db" /><Relationship Type="http://schemas.openxmlformats.org/officeDocument/2006/relationships/worksheet" Target="/xl/worksheets/sheet1.xml" Id="Rc1653bed93f04006" /><Relationship Type="http://schemas.openxmlformats.org/officeDocument/2006/relationships/worksheet" Target="/xl/worksheets/sheet2.xml" Id="Rf7afeee715b9407b" /><Relationship Type="http://schemas.openxmlformats.org/officeDocument/2006/relationships/worksheet" Target="/xl/worksheets/sheet3.xml" Id="R4d83b80b9e7a498c" /><Relationship Type="http://schemas.openxmlformats.org/officeDocument/2006/relationships/worksheet" Target="/xl/worksheets/sheet4.xml" Id="R20da82d526c949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52f92ce87543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Daily GMV vs plan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Actual</c:v>
          </c:tx>
          <c:marker>
            <c:symbol val="none"/>
          </c:marker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'Summary'!$E$5:$E$11</c:f>
              <c:numCache>
                <c:formatCode>¥#,##0;[Red](¥#,##0);-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Plan</c:v>
          </c:tx>
          <c:marker>
            <c:symbol val="none"/>
          </c:marker>
          <c:cat>
            <c:strRef>
              <c:f>'Summary'!$D$5:$D$11</c:f>
              <c:strCache>
                <c:ptCount val="0"/>
              </c:strCache>
            </c:strRef>
          </c:cat>
          <c:val>
            <c:numRef>
              <c:f>'Summary'!$F$5:$F$11</c:f>
              <c:numCache>
                <c:formatCode>¥#,##0;[Red](¥#,##0);-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52f92ce87543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119ef89d11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Mosaic Retail | Sales Dashboard Model</x:v>
      </x:c>
      <x:c r="B1" s="3"/>
      <x:c r="C1" s="3"/>
      <x:c r="D1" s="3"/>
      <x:c r="E1" s="3"/>
      <x:c r="F1" s="3"/>
      <x:c r="G1" s="3"/>
      <x:c r="H1" s="3"/>
      <x:c r="I1" s="1"/>
      <x:c r="J1" s="1"/>
      <x:c r="K1" s="1"/>
      <x:c r="L1" s="1"/>
    </x:row>
    <x:row r="2">
      <x:c r="A2" s="5" t="str">
        <x:v>FY26 Q3 | 2026-07-13 | metric MTR-09 | Reported GMV ¥84.2M</x:v>
      </x:c>
      <x:c r="B2" s="5"/>
      <x:c r="C2" s="5"/>
      <x:c r="D2" s="5"/>
      <x:c r="E2" s="5"/>
      <x:c r="F2" s="5"/>
      <x:c r="G2" s="5"/>
      <x:c r="H2" s="5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str">
        <x:v>KPI</x:v>
      </x:c>
      <x:c r="B4" s="6" t="str">
        <x:v>JPY</x:v>
      </x:c>
      <x:c r="C4" s="1"/>
      <x:c r="D4" s="6" t="str">
        <x:v>Daily point</x:v>
      </x:c>
      <x:c r="E4" s="6" t="str">
        <x:v>Actual</x:v>
      </x:c>
      <x:c r="F4" s="6" t="str">
        <x:v>Plan</x:v>
      </x:c>
      <x:c r="G4" s="6" t="str">
        <x:v>Var</x:v>
      </x:c>
      <x:c r="H4" s="1"/>
      <x:c r="I4" s="1"/>
      <x:c r="J4" s="1"/>
      <x:c r="K4" s="1"/>
      <x:c r="L4" s="1"/>
    </x:row>
    <x:row r="5">
      <x:c r="A5" s="1" t="str">
        <x:v>Reported GMV</x:v>
      </x:c>
      <x:c r="B5" s="7" t="n">
        <x:v>84200000</x:v>
      </x:c>
      <x:c r="C5" s="1"/>
      <x:c r="D5" s="1" t="str">
        <x:v>2026-07-07</x:v>
      </x:c>
      <x:c r="E5" s="7" t="n">
        <x:v>10800000</x:v>
      </x:c>
      <x:c r="F5" s="7" t="n">
        <x:v>10300000</x:v>
      </x:c>
      <x:c r="G5" s="7" t="n">
        <x:f>E5-F5</x:f>
        <x:v>500000</x:v>
      </x:c>
      <x:c r="H5" s="1"/>
      <x:c r="I5" s="1"/>
      <x:c r="J5" s="1"/>
      <x:c r="K5" s="1"/>
      <x:c r="L5" s="1"/>
    </x:row>
    <x:row r="6">
      <x:c r="A6" s="1" t="str">
        <x:v>Plan GMV</x:v>
      </x:c>
      <x:c r="B6" s="7" t="n">
        <x:v>80000000</x:v>
      </x:c>
      <x:c r="C6" s="1"/>
      <x:c r="D6" s="1" t="str">
        <x:v>2026-07-08</x:v>
      </x:c>
      <x:c r="E6" s="7" t="n">
        <x:v>11200000</x:v>
      </x:c>
      <x:c r="F6" s="7" t="n">
        <x:v>10600000</x:v>
      </x:c>
      <x:c r="G6" s="7" t="n">
        <x:f>E6-F6</x:f>
        <x:v>600000</x:v>
      </x:c>
      <x:c r="H6" s="1"/>
      <x:c r="I6" s="1"/>
      <x:c r="J6" s="1"/>
      <x:c r="K6" s="1"/>
      <x:c r="L6" s="1"/>
    </x:row>
    <x:row r="7">
      <x:c r="A7" s="1" t="str">
        <x:v>Prior period</x:v>
      </x:c>
      <x:c r="B7" s="7" t="n">
        <x:v>78600000</x:v>
      </x:c>
      <x:c r="C7" s="1"/>
      <x:c r="D7" s="1" t="str">
        <x:v>2026-07-09</x:v>
      </x:c>
      <x:c r="E7" s="7" t="n">
        <x:v>11500000</x:v>
      </x:c>
      <x:c r="F7" s="7" t="n">
        <x:v>10900000</x:v>
      </x:c>
      <x:c r="G7" s="7" t="n">
        <x:f>E7-F7</x:f>
        <x:v>600000</x:v>
      </x:c>
      <x:c r="H7" s="1"/>
      <x:c r="I7" s="1"/>
      <x:c r="J7" s="1"/>
      <x:c r="K7" s="1"/>
      <x:c r="L7" s="1"/>
    </x:row>
    <x:row r="8">
      <x:c r="A8" s="1" t="str">
        <x:v>Variance to plan</x:v>
      </x:c>
      <x:c r="B8" s="7" t="n">
        <x:v>4200000</x:v>
      </x:c>
      <x:c r="C8" s="1"/>
      <x:c r="D8" s="1" t="str">
        <x:v>2026-07-10</x:v>
      </x:c>
      <x:c r="E8" s="7" t="n">
        <x:v>12100000</x:v>
      </x:c>
      <x:c r="F8" s="7" t="n">
        <x:v>11400000</x:v>
      </x:c>
      <x:c r="G8" s="7" t="n">
        <x:f>E8-F8</x:f>
        <x:v>700000</x:v>
      </x:c>
      <x:c r="H8" s="1"/>
      <x:c r="I8" s="1"/>
      <x:c r="J8" s="1"/>
      <x:c r="K8" s="1"/>
      <x:c r="L8" s="1"/>
    </x:row>
    <x:row r="9">
      <x:c r="A9" s="1"/>
      <x:c r="B9" s="1"/>
      <x:c r="C9" s="1"/>
      <x:c r="D9" s="1" t="str">
        <x:v>2026-07-11</x:v>
      </x:c>
      <x:c r="E9" s="7" t="n">
        <x:v>12400000</x:v>
      </x:c>
      <x:c r="F9" s="7" t="n">
        <x:v>11800000</x:v>
      </x:c>
      <x:c r="G9" s="7" t="n">
        <x:f>E9-F9</x:f>
        <x:v>600000</x:v>
      </x:c>
      <x:c r="H9" s="1"/>
      <x:c r="I9" s="1"/>
      <x:c r="J9" s="1"/>
      <x:c r="K9" s="1"/>
      <x:c r="L9" s="1"/>
    </x:row>
    <x:row r="10">
      <x:c r="A10" s="1"/>
      <x:c r="B10" s="1"/>
      <x:c r="C10" s="1"/>
      <x:c r="D10" s="1" t="str">
        <x:v>2026-07-12</x:v>
      </x:c>
      <x:c r="E10" s="7" t="n">
        <x:v>13000000</x:v>
      </x:c>
      <x:c r="F10" s="7" t="n">
        <x:v>12400000</x:v>
      </x:c>
      <x:c r="G10" s="7" t="n">
        <x:f>E10-F10</x:f>
        <x:v>600000</x:v>
      </x:c>
      <x:c r="H10" s="1"/>
      <x:c r="I10" s="1"/>
      <x:c r="J10" s="1"/>
      <x:c r="K10" s="1"/>
      <x:c r="L10" s="1"/>
    </x:row>
    <x:row r="11">
      <x:c r="A11" s="1"/>
      <x:c r="B11" s="1"/>
      <x:c r="C11" s="1"/>
      <x:c r="D11" s="1" t="str">
        <x:v>2026-07-13</x:v>
      </x:c>
      <x:c r="E11" s="7" t="n">
        <x:v>13200000</x:v>
      </x:c>
      <x:c r="F11" s="7" t="n">
        <x:v>12600000</x:v>
      </x:c>
      <x:c r="G11" s="7" t="n">
        <x:f>E11-F11</x:f>
        <x:v>600000</x:v>
      </x:c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d119ef89d1142f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Date</x:v>
      </x:c>
      <x:c r="B1" s="6" t="str">
        <x:v>Actual GMV</x:v>
      </x:c>
      <x:c r="C1" s="6" t="str">
        <x:v>Plan GMV</x:v>
      </x:c>
      <x:c r="D1" s="6" t="str">
        <x:v>Prior GMV</x:v>
      </x:c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2026-07-07</x:v>
      </x:c>
      <x:c r="B2" s="7" t="n">
        <x:v>10800000</x:v>
      </x:c>
      <x:c r="C2" s="7" t="n">
        <x:v>10300000</x:v>
      </x:c>
      <x:c r="D2" s="7" t="n">
        <x:v>9800000</x:v>
      </x:c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2026-07-08</x:v>
      </x:c>
      <x:c r="B3" s="7" t="n">
        <x:v>11200000</x:v>
      </x:c>
      <x:c r="C3" s="7" t="n">
        <x:v>10600000</x:v>
      </x:c>
      <x:c r="D3" s="7" t="n">
        <x:v>10200000</x:v>
      </x:c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2026-07-09</x:v>
      </x:c>
      <x:c r="B4" s="7" t="n">
        <x:v>11500000</x:v>
      </x:c>
      <x:c r="C4" s="7" t="n">
        <x:v>10900000</x:v>
      </x:c>
      <x:c r="D4" s="7" t="n">
        <x:v>10500000</x:v>
      </x:c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2026-07-10</x:v>
      </x:c>
      <x:c r="B5" s="7" t="n">
        <x:v>12100000</x:v>
      </x:c>
      <x:c r="C5" s="7" t="n">
        <x:v>11400000</x:v>
      </x:c>
      <x:c r="D5" s="7" t="n">
        <x:v>11000000</x:v>
      </x:c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2026-07-11</x:v>
      </x:c>
      <x:c r="B6" s="7" t="n">
        <x:v>12400000</x:v>
      </x:c>
      <x:c r="C6" s="7" t="n">
        <x:v>11800000</x:v>
      </x:c>
      <x:c r="D6" s="7" t="n">
        <x:v>11400000</x:v>
      </x:c>
      <x:c r="E6" s="1"/>
      <x:c r="F6" s="1"/>
      <x:c r="G6" s="1"/>
      <x:c r="H6" s="1"/>
      <x:c r="I6" s="1"/>
      <x:c r="J6" s="1"/>
      <x:c r="K6" s="1"/>
      <x:c r="L6" s="1"/>
    </x:row>
    <x:row r="7">
      <x:c r="A7" s="1" t="str">
        <x:v>2026-07-12</x:v>
      </x:c>
      <x:c r="B7" s="7" t="n">
        <x:v>13000000</x:v>
      </x:c>
      <x:c r="C7" s="7" t="n">
        <x:v>12400000</x:v>
      </x:c>
      <x:c r="D7" s="7" t="n">
        <x:v>12000000</x:v>
      </x:c>
      <x:c r="E7" s="1"/>
      <x:c r="F7" s="1"/>
      <x:c r="G7" s="1"/>
      <x:c r="H7" s="1"/>
      <x:c r="I7" s="1"/>
      <x:c r="J7" s="1"/>
      <x:c r="K7" s="1"/>
      <x:c r="L7" s="1"/>
    </x:row>
    <x:row r="8">
      <x:c r="A8" s="1" t="str">
        <x:v>2026-07-13</x:v>
      </x:c>
      <x:c r="B8" s="7" t="n">
        <x:v>13200000</x:v>
      </x:c>
      <x:c r="C8" s="7" t="n">
        <x:v>12600000</x:v>
      </x:c>
      <x:c r="D8" s="7" t="n">
        <x:v>13700000</x:v>
      </x:c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Date</x:v>
      </x:c>
      <x:c r="B1" s="6" t="str">
        <x:v>Actual</x:v>
      </x:c>
      <x:c r="C1" s="6" t="str">
        <x:v>Plan</x:v>
      </x:c>
      <x:c r="D1" s="6" t="str">
        <x:v>Prior</x:v>
      </x:c>
      <x:c r="E1" s="6" t="str">
        <x:v>Actual vs Plan</x:v>
      </x:c>
      <x:c r="F1" s="1"/>
      <x:c r="G1" s="1"/>
      <x:c r="H1" s="1"/>
      <x:c r="I1" s="1"/>
      <x:c r="J1" s="1"/>
      <x:c r="K1" s="1"/>
      <x:c r="L1" s="1"/>
    </x:row>
    <x:row r="2">
      <x:c r="A2" s="1" t="str">
        <x:v>2026-07-07</x:v>
      </x:c>
      <x:c r="B2" s="7" t="n">
        <x:v>10800000</x:v>
      </x:c>
      <x:c r="C2" s="7" t="n">
        <x:v>10300000</x:v>
      </x:c>
      <x:c r="D2" s="7" t="n">
        <x:v>9800000</x:v>
      </x:c>
      <x:c r="E2" s="7" t="n">
        <x:f>B2-C2</x:f>
        <x:v>500000</x:v>
      </x:c>
      <x:c r="F2" s="1"/>
      <x:c r="G2" s="1"/>
      <x:c r="H2" s="1"/>
      <x:c r="I2" s="1"/>
      <x:c r="J2" s="1"/>
      <x:c r="K2" s="1"/>
      <x:c r="L2" s="1"/>
    </x:row>
    <x:row r="3">
      <x:c r="A3" s="1" t="str">
        <x:v>2026-07-08</x:v>
      </x:c>
      <x:c r="B3" s="7" t="n">
        <x:v>11200000</x:v>
      </x:c>
      <x:c r="C3" s="7" t="n">
        <x:v>10600000</x:v>
      </x:c>
      <x:c r="D3" s="7" t="n">
        <x:v>10200000</x:v>
      </x:c>
      <x:c r="E3" s="7" t="n">
        <x:f>B3-C3</x:f>
        <x:v>600000</x:v>
      </x:c>
      <x:c r="F3" s="1"/>
      <x:c r="G3" s="1"/>
      <x:c r="H3" s="1"/>
      <x:c r="I3" s="1"/>
      <x:c r="J3" s="1"/>
      <x:c r="K3" s="1"/>
      <x:c r="L3" s="1"/>
    </x:row>
    <x:row r="4">
      <x:c r="A4" s="1" t="str">
        <x:v>2026-07-09</x:v>
      </x:c>
      <x:c r="B4" s="7" t="n">
        <x:v>11500000</x:v>
      </x:c>
      <x:c r="C4" s="7" t="n">
        <x:v>10900000</x:v>
      </x:c>
      <x:c r="D4" s="7" t="n">
        <x:v>10500000</x:v>
      </x:c>
      <x:c r="E4" s="7" t="n">
        <x:f>B4-C4</x:f>
        <x:v>600000</x:v>
      </x:c>
      <x:c r="F4" s="1"/>
      <x:c r="G4" s="1"/>
      <x:c r="H4" s="1"/>
      <x:c r="I4" s="1"/>
      <x:c r="J4" s="1"/>
      <x:c r="K4" s="1"/>
      <x:c r="L4" s="1"/>
    </x:row>
    <x:row r="5">
      <x:c r="A5" s="1" t="str">
        <x:v>2026-07-10</x:v>
      </x:c>
      <x:c r="B5" s="7" t="n">
        <x:v>12100000</x:v>
      </x:c>
      <x:c r="C5" s="7" t="n">
        <x:v>11400000</x:v>
      </x:c>
      <x:c r="D5" s="7" t="n">
        <x:v>11000000</x:v>
      </x:c>
      <x:c r="E5" s="7" t="n">
        <x:f>B5-C5</x:f>
        <x:v>700000</x:v>
      </x:c>
      <x:c r="F5" s="1"/>
      <x:c r="G5" s="1"/>
      <x:c r="H5" s="1"/>
      <x:c r="I5" s="1"/>
      <x:c r="J5" s="1"/>
      <x:c r="K5" s="1"/>
      <x:c r="L5" s="1"/>
    </x:row>
    <x:row r="6">
      <x:c r="A6" s="1" t="str">
        <x:v>2026-07-11</x:v>
      </x:c>
      <x:c r="B6" s="7" t="n">
        <x:v>12400000</x:v>
      </x:c>
      <x:c r="C6" s="7" t="n">
        <x:v>11800000</x:v>
      </x:c>
      <x:c r="D6" s="7" t="n">
        <x:v>11400000</x:v>
      </x:c>
      <x:c r="E6" s="7" t="n">
        <x:f>B6-C6</x:f>
        <x:v>600000</x:v>
      </x:c>
      <x:c r="F6" s="1"/>
      <x:c r="G6" s="1"/>
      <x:c r="H6" s="1"/>
      <x:c r="I6" s="1"/>
      <x:c r="J6" s="1"/>
      <x:c r="K6" s="1"/>
      <x:c r="L6" s="1"/>
    </x:row>
    <x:row r="7">
      <x:c r="A7" s="1" t="str">
        <x:v>2026-07-12</x:v>
      </x:c>
      <x:c r="B7" s="7" t="n">
        <x:v>13000000</x:v>
      </x:c>
      <x:c r="C7" s="7" t="n">
        <x:v>12400000</x:v>
      </x:c>
      <x:c r="D7" s="7" t="n">
        <x:v>12000000</x:v>
      </x:c>
      <x:c r="E7" s="7" t="n">
        <x:f>B7-C7</x:f>
        <x:v>600000</x:v>
      </x:c>
      <x:c r="F7" s="1"/>
      <x:c r="G7" s="1"/>
      <x:c r="H7" s="1"/>
      <x:c r="I7" s="1"/>
      <x:c r="J7" s="1"/>
      <x:c r="K7" s="1"/>
      <x:c r="L7" s="1"/>
    </x:row>
    <x:row r="8">
      <x:c r="A8" s="1" t="str">
        <x:v>2026-07-13</x:v>
      </x:c>
      <x:c r="B8" s="7" t="n">
        <x:v>13200000</x:v>
      </x:c>
      <x:c r="C8" s="7" t="n">
        <x:v>12600000</x:v>
      </x:c>
      <x:c r="D8" s="7" t="n">
        <x:v>13700000</x:v>
      </x:c>
      <x:c r="E8" s="7" t="n">
        <x:f>B8-C8</x:f>
        <x:v>600000</x:v>
      </x:c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6" t="str">
        <x:v>Check</x:v>
      </x:c>
      <x:c r="B1" s="6" t="str">
        <x:v>Result</x:v>
      </x:c>
      <x:c r="C1" s="6" t="str">
        <x:v>Status</x:v>
      </x:c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1" t="str">
        <x:v>Dashboard reported GMV</x:v>
      </x:c>
      <x:c r="B2" s="7" t="n">
        <x:v>84200000</x:v>
      </x:c>
      <x:c r="C2" s="1" t="str">
        <x:v>PASS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Plan reference</x:v>
      </x:c>
      <x:c r="B3" s="7" t="n">
        <x:v>80000000</x:v>
      </x:c>
      <x:c r="C3" s="1" t="str">
        <x:v>PASS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Prior reference</x:v>
      </x:c>
      <x:c r="B4" s="7" t="n">
        <x:v>78600000</x:v>
      </x:c>
      <x:c r="C4" s="1" t="str">
        <x:v>PASS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Data horizon</x:v>
      </x:c>
      <x:c r="B5" s="1" t="str">
        <x:v>2026-07-07 to 2026-07-13</x:v>
      </x:c>
      <x:c r="C5" s="1" t="str">
        <x:v>PASS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