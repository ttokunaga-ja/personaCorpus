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5d437953ae3481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43cdfa1e92ea4fa1"/>
    <x:sheet xmlns:r="http://schemas.openxmlformats.org/officeDocument/2006/relationships" name="Raw Data" sheetId="2" r:id="Rb49c76c760b0403e"/>
    <x:sheet xmlns:r="http://schemas.openxmlformats.org/officeDocument/2006/relationships" name="Checks" sheetId="3" r:id="R3595b8fe0e2c4fd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¥#,##0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8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</x:fills>
  <x:borders count="1">
    <x:border/>
  </x:borders>
  <x:cellStyleXfs count="1">
    <x:xf numFmtId="0" fontId="0" fillId="0" borderId="0"/>
  </x:cellStyleXfs>
  <x:cellXfs count="12">
    <x:xf numFmtId="0" fontId="0" fillId="0" borderId="0" xfId="0"/>
    <x:xf numFmtId="200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/>
    <x:xf numFmtId="0" fontId="0" fillId="3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c5e752f872a4018" /><Relationship Type="http://schemas.openxmlformats.org/officeDocument/2006/relationships/theme" Target="/xl/theme/theme1.xml" Id="Re1ec26d7d56c4451" /><Relationship Type="http://schemas.openxmlformats.org/officeDocument/2006/relationships/sharedStrings" Target="/xl/sharedStrings.xml" Id="Rb81f22661cdb4d83" /><Relationship Type="http://schemas.openxmlformats.org/officeDocument/2006/relationships/worksheet" Target="/xl/worksheets/sheet1.xml" Id="R43cdfa1e92ea4fa1" /><Relationship Type="http://schemas.openxmlformats.org/officeDocument/2006/relationships/worksheet" Target="/xl/worksheets/sheet2.xml" Id="Rb49c76c760b0403e" /><Relationship Type="http://schemas.openxmlformats.org/officeDocument/2006/relationships/worksheet" Target="/xl/worksheets/sheet3.xml" Id="R3595b8fe0e2c4fd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0.33000183105469" hidden="0" customWidth="1"/>
    <x:col min="2" max="2" width="21.110000610351562" hidden="0" customWidth="1"/>
  </x:cols>
  <x:sheetData>
    <x:row r="1">
      <x:c r="A1" s="8" t="str">
        <x:v>Category Contribution | Mosaic Retail</x:v>
      </x:c>
      <x:c r="B1" s="8"/>
      <x:c r="C1" s="9"/>
      <x:c r="D1" s="9"/>
      <x:c r="E1" s="9"/>
      <x:c r="F1" s="9"/>
      <x:c r="G1" s="7"/>
      <x:c r="H1" s="7"/>
      <x:c r="I1" s="7"/>
      <x:c r="J1" s="7"/>
      <x:c r="K1" s="7"/>
      <x:c r="L1" s="7"/>
      <x:c r="M1" s="7"/>
      <x:c r="N1" s="7"/>
      <x:c r="O1" s="7"/>
      <x:c r="P1" s="7"/>
      <x:c r="Q1" s="7"/>
      <x:c r="R1" s="7"/>
      <x:c r="S1" s="7"/>
      <x:c r="T1" s="7"/>
      <x:c r="U1" s="7"/>
      <x:c r="V1" s="7"/>
      <x:c r="W1" s="7"/>
      <x:c r="X1" s="7"/>
      <x:c r="Y1" s="7"/>
      <x:c r="Z1" s="7"/>
    </x:row>
    <x:row r="2">
      <x:c r="A2" s="10" t="str">
        <x:v>FY26 Q3 • 2026-07-13 • GMV ¥84.2M • metric MTR-09</x:v>
      </x:c>
      <x:c r="B2" s="10"/>
      <x:c r="C2" s="11"/>
      <x:c r="D2" s="11"/>
      <x:c r="E2" s="11"/>
      <x:c r="F2" s="11"/>
    </x:row>
    <x:row r="3">
      <x:c r="A3" s="2"/>
      <x:c r="B3" s="2"/>
    </x:row>
    <x:row r="4">
      <x:c r="A4" s="2" t="str">
        <x:v>KPI</x:v>
      </x:c>
      <x:c r="B4" s="2" t="str">
        <x:v>Value</x:v>
      </x:c>
    </x:row>
    <x:row r="5">
      <x:c r="A5" s="2" t="str">
        <x:v>Reported GMV</x:v>
      </x:c>
      <x:c r="B5" s="3" t="n">
        <x:f>SUM('Raw Data'!B2:B6)</x:f>
        <x:v>84200000</x:v>
      </x:c>
    </x:row>
    <x:row r="6">
      <x:c r="A6" s="2" t="str">
        <x:v>Status</x:v>
      </x:c>
      <x:c r="B6" s="2" t="str">
        <x:v>Synthetic dashboard extract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8.5600004196167" hidden="0" customWidth="1"/>
    <x:col min="2" max="2" width="8.4399995803833" hidden="0" customWidth="1"/>
    <x:col min="3" max="3" width="8.890000343322754" hidden="0" customWidth="1"/>
    <x:col min="4" max="4" width="11" hidden="0" customWidth="1"/>
  </x:cols>
  <x:sheetData>
    <x:row r="1">
      <x:c r="A1" s="6" t="str">
        <x:v>Category</x:v>
      </x:c>
      <x:c r="B1" s="6" t="str">
        <x:v>GMV (JPY)</x:v>
      </x:c>
      <x:c r="C1" s="6" t="str">
        <x:v>Prior model</x:v>
      </x:c>
      <x:c r="D1" s="6" t="str">
        <x:v>Variance (JPY)</x:v>
      </x:c>
      <x:c r="E1" s="7"/>
      <x:c r="F1" s="7"/>
      <x:c r="G1" s="7"/>
      <x:c r="H1" s="7"/>
      <x:c r="I1" s="7"/>
      <x:c r="J1" s="7"/>
      <x:c r="K1" s="7"/>
      <x:c r="L1" s="7"/>
      <x:c r="M1" s="7"/>
      <x:c r="N1" s="7"/>
      <x:c r="O1" s="7"/>
      <x:c r="P1" s="7"/>
      <x:c r="Q1" s="7"/>
      <x:c r="R1" s="7"/>
      <x:c r="S1" s="7"/>
      <x:c r="T1" s="7"/>
      <x:c r="U1" s="7"/>
      <x:c r="V1" s="7"/>
      <x:c r="W1" s="7"/>
      <x:c r="X1" s="7"/>
      <x:c r="Y1" s="7"/>
      <x:c r="Z1" s="7"/>
    </x:row>
    <x:row r="2">
      <x:c r="A2" s="2" t="str">
        <x:v>Home</x:v>
      </x:c>
      <x:c r="B2" s="3" t="n">
        <x:v>24800000</x:v>
      </x:c>
      <x:c r="C2" s="2" t="n">
        <x:v>24300000</x:v>
      </x:c>
      <x:c r="D2" s="2" t="n">
        <x:f>B2-C2</x:f>
        <x:v>500000</x:v>
      </x:c>
    </x:row>
    <x:row r="3">
      <x:c r="A3" s="2" t="str">
        <x:v>Electronics</x:v>
      </x:c>
      <x:c r="B3" s="3" t="n">
        <x:v>22100000</x:v>
      </x:c>
      <x:c r="C3" s="2" t="n">
        <x:v>22500000</x:v>
      </x:c>
      <x:c r="D3" s="2" t="n">
        <x:f>B3-C3</x:f>
        <x:v>-400000</x:v>
      </x:c>
    </x:row>
    <x:row r="4">
      <x:c r="A4" s="2" t="str">
        <x:v>Apparel</x:v>
      </x:c>
      <x:c r="B4" s="3" t="n">
        <x:v>19300000</x:v>
      </x:c>
      <x:c r="C4" s="2" t="n">
        <x:v>18800000</x:v>
      </x:c>
      <x:c r="D4" s="2" t="n">
        <x:f>B4-C4</x:f>
        <x:v>500000</x:v>
      </x:c>
    </x:row>
    <x:row r="5">
      <x:c r="A5" s="2" t="str">
        <x:v>Beauty</x:v>
      </x:c>
      <x:c r="B5" s="3" t="n">
        <x:v>10700000</x:v>
      </x:c>
      <x:c r="C5" s="2" t="n">
        <x:v>10200000</x:v>
      </x:c>
      <x:c r="D5" s="2" t="n">
        <x:f>B5-C5</x:f>
        <x:v>500000</x:v>
      </x:c>
    </x:row>
    <x:row r="6">
      <x:c r="A6" s="2" t="str">
        <x:v>Other</x:v>
      </x:c>
      <x:c r="B6" s="3" t="n">
        <x:v>7300000</x:v>
      </x:c>
      <x:c r="C6" s="2" t="n">
        <x:v>7400000</x:v>
      </x:c>
      <x:c r="D6" s="2" t="n">
        <x:f>B6-C6</x:f>
        <x:v>-100000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1.109999656677246" hidden="0" customWidth="1"/>
    <x:col min="2" max="2" width="5.110000133514404" hidden="0" customWidth="1"/>
    <x:col min="3" max="3" width="50.88999938964844" hidden="0" customWidth="1"/>
  </x:cols>
  <x:sheetData>
    <x:row r="1">
      <x:c r="A1" s="6" t="str">
        <x:v>Check</x:v>
      </x:c>
      <x:c r="B1" s="6" t="str">
        <x:v>Result</x:v>
      </x:c>
      <x:c r="C1" s="6" t="str">
        <x:v>Notes</x:v>
      </x:c>
      <x:c r="D1" s="7"/>
      <x:c r="E1" s="7"/>
      <x:c r="F1" s="7"/>
      <x:c r="G1" s="7"/>
      <x:c r="H1" s="7"/>
      <x:c r="I1" s="7"/>
      <x:c r="J1" s="7"/>
      <x:c r="K1" s="7"/>
      <x:c r="L1" s="7"/>
      <x:c r="M1" s="7"/>
      <x:c r="N1" s="7"/>
      <x:c r="O1" s="7"/>
      <x:c r="P1" s="7"/>
      <x:c r="Q1" s="7"/>
      <x:c r="R1" s="7"/>
      <x:c r="S1" s="7"/>
      <x:c r="T1" s="7"/>
      <x:c r="U1" s="7"/>
      <x:c r="V1" s="7"/>
      <x:c r="W1" s="7"/>
      <x:c r="X1" s="7"/>
      <x:c r="Y1" s="7"/>
      <x:c r="Z1" s="7"/>
    </x:row>
    <x:row r="2">
      <x:c r="A2" s="2" t="str">
        <x:v>Anchor set</x:v>
      </x:c>
      <x:c r="B2" s="2" t="str">
        <x:v>PASS</x:v>
      </x:c>
      <x:c r="C2" s="2" t="str">
        <x:v>Mosaic Retail | FY26 Q3 | 2026-07-13 | GMV ¥84.2M | metric MTR-09</x:v>
      </x:c>
    </x:row>
    <x:row r="3">
      <x:c r="A3" s="2" t="str">
        <x:v>Formula errors</x:v>
      </x:c>
      <x:c r="B3" s="2" t="str">
        <x:v>PASS</x:v>
      </x:c>
      <x:c r="C3" s="2" t="str">
        <x:v>No formula errors observed</x:v>
      </x:c>
    </x:row>
    <x:row r="4">
      <x:c r="A4" s="2" t="str">
        <x:v>Scope</x:v>
      </x:c>
      <x:c r="B4" s="2" t="str">
        <x:v>PASS</x:v>
      </x:c>
      <x:c r="C4" s="2" t="str">
        <x:v>Synthetic Mosaic Retail analytics only</x:v>
      </x:c>
    </x:row>
  </x:sheetData>
  <x:pageMargins left="0.7" right="0.7" top="0.75" bottom="0.75" header="0.3" footer="0.3"/>
</x:worksheet>
</file>