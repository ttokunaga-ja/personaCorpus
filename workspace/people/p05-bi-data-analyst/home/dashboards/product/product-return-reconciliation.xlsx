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81704cd2ef46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c65657a4374ef9"/>
    <x:sheet xmlns:r="http://schemas.openxmlformats.org/officeDocument/2006/relationships" name="Raw Data" sheetId="2" r:id="Re0c3b818c8674939"/>
    <x:sheet xmlns:r="http://schemas.openxmlformats.org/officeDocument/2006/relationships" name="Checks" sheetId="3" r:id="R9b3b7a69ea8248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56969c68cd4483" /><Relationship Type="http://schemas.openxmlformats.org/officeDocument/2006/relationships/theme" Target="/xl/theme/theme1.xml" Id="R04b4dc36b4c345c4" /><Relationship Type="http://schemas.openxmlformats.org/officeDocument/2006/relationships/sharedStrings" Target="/xl/sharedStrings.xml" Id="Rd2d0e72e80c84c01" /><Relationship Type="http://schemas.openxmlformats.org/officeDocument/2006/relationships/worksheet" Target="/xl/worksheets/sheet1.xml" Id="R51c65657a4374ef9" /><Relationship Type="http://schemas.openxmlformats.org/officeDocument/2006/relationships/worksheet" Target="/xl/worksheets/sheet2.xml" Id="Re0c3b818c8674939" /><Relationship Type="http://schemas.openxmlformats.org/officeDocument/2006/relationships/worksheet" Target="/xl/worksheets/sheet3.xml" Id="R9b3b7a69ea8248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.33000183105469" hidden="0" customWidth="1"/>
    <x:col min="2" max="2" width="21.110000610351562" hidden="0" customWidth="1"/>
  </x:cols>
  <x:sheetData>
    <x:row r="1">
      <x:c r="A1" s="8" t="str">
        <x:v>Return Reconciliation | Mosaic Retail</x:v>
      </x:c>
      <x:c r="B1" s="8"/>
      <x:c r="C1" s="9"/>
      <x:c r="D1" s="9"/>
      <x:c r="E1" s="9"/>
      <x:c r="F1" s="9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10" t="str">
        <x:v>FY26 Q3 • 2026-07-13 • GMV ¥84.2M • metric MTR-09</x:v>
      </x:c>
      <x:c r="B2" s="10"/>
      <x:c r="C2" s="11"/>
      <x:c r="D2" s="11"/>
      <x:c r="E2" s="11"/>
      <x:c r="F2" s="11"/>
    </x:row>
    <x:row r="3">
      <x:c r="A3" s="2"/>
      <x:c r="B3" s="2"/>
    </x:row>
    <x:row r="4">
      <x:c r="A4" s="2" t="str">
        <x:v>KPI</x:v>
      </x:c>
      <x:c r="B4" s="2" t="str">
        <x:v>Value</x:v>
      </x:c>
    </x:row>
    <x:row r="5">
      <x:c r="A5" s="2" t="str">
        <x:v>Reported GMV</x:v>
      </x:c>
      <x:c r="B5" s="3" t="n">
        <x:f>SUM('Raw Data'!B2:B6)</x:f>
        <x:v>87200000</x:v>
      </x:c>
    </x:row>
    <x:row r="6">
      <x:c r="A6" s="2" t="str">
        <x:v>Status</x:v>
      </x:c>
      <x:c r="B6" s="2" t="str">
        <x:v>Synthetic dashboard extract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5600004196167" hidden="0" customWidth="1"/>
    <x:col min="2" max="2" width="8.890000343322754" hidden="0" customWidth="1"/>
    <x:col min="3" max="3" width="8.670000076293945" hidden="0" customWidth="1"/>
    <x:col min="4" max="4" width="7.78000020980835" hidden="0" customWidth="1"/>
  </x:cols>
  <x:sheetData>
    <x:row r="1">
      <x:c r="A1" s="6" t="str">
        <x:v>Category</x:v>
      </x:c>
      <x:c r="B1" s="6" t="str">
        <x:v>Gross GMV</x:v>
      </x:c>
      <x:c r="C1" s="6" t="str">
        <x:v>Return rate</x:v>
      </x:c>
      <x:c r="D1" s="6" t="str">
        <x:v>Net GMV</x:v>
      </x:c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2" t="str">
        <x:v>Home</x:v>
      </x:c>
      <x:c r="B2" s="3" t="n">
        <x:v>25400000</x:v>
      </x:c>
      <x:c r="C2" s="2" t="n">
        <x:v>0.024</x:v>
      </x:c>
      <x:c r="D2" s="2" t="n">
        <x:f>B2*(1-C2)</x:f>
        <x:v>24790400</x:v>
      </x:c>
    </x:row>
    <x:row r="3">
      <x:c r="A3" s="2" t="str">
        <x:v>Electronics</x:v>
      </x:c>
      <x:c r="B3" s="3" t="n">
        <x:v>23100000</x:v>
      </x:c>
      <x:c r="C3" s="2" t="n">
        <x:v>0.043</x:v>
      </x:c>
      <x:c r="D3" s="2" t="n">
        <x:f>B3*(1-C3)</x:f>
        <x:v>22106700</x:v>
      </x:c>
    </x:row>
    <x:row r="4">
      <x:c r="A4" s="2" t="str">
        <x:v>Apparel</x:v>
      </x:c>
      <x:c r="B4" s="3" t="n">
        <x:v>20200000</x:v>
      </x:c>
      <x:c r="C4" s="2" t="n">
        <x:v>0.045</x:v>
      </x:c>
      <x:c r="D4" s="2" t="n">
        <x:f>B4*(1-C4)</x:f>
        <x:v>19291000</x:v>
      </x:c>
    </x:row>
    <x:row r="5">
      <x:c r="A5" s="2" t="str">
        <x:v>Beauty</x:v>
      </x:c>
      <x:c r="B5" s="3" t="n">
        <x:v>11000000</x:v>
      </x:c>
      <x:c r="C5" s="2" t="n">
        <x:v>0.027</x:v>
      </x:c>
      <x:c r="D5" s="2" t="n">
        <x:f>B5*(1-C5)</x:f>
        <x:v>10703000</x:v>
      </x:c>
    </x:row>
    <x:row r="6">
      <x:c r="A6" s="2" t="str">
        <x:v>Other</x:v>
      </x:c>
      <x:c r="B6" s="3" t="n">
        <x:v>7500000</x:v>
      </x:c>
      <x:c r="C6" s="2" t="n">
        <x:v>0.027</x:v>
      </x:c>
      <x:c r="D6" s="2" t="n">
        <x:f>B6*(1-C6)</x:f>
        <x:v>7297500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109999656677246" hidden="0" customWidth="1"/>
    <x:col min="2" max="2" width="5.110000133514404" hidden="0" customWidth="1"/>
    <x:col min="3" max="3" width="50.88999938964844" hidden="0" customWidth="1"/>
  </x:cols>
  <x:sheetData>
    <x:row r="1">
      <x:c r="A1" s="6" t="str">
        <x:v>Check</x:v>
      </x:c>
      <x:c r="B1" s="6" t="str">
        <x:v>Result</x:v>
      </x:c>
      <x:c r="C1" s="6" t="str">
        <x:v>Notes</x:v>
      </x:c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2" t="str">
        <x:v>Anchor set</x:v>
      </x:c>
      <x:c r="B2" s="2" t="str">
        <x:v>PASS</x:v>
      </x:c>
      <x:c r="C2" s="2" t="str">
        <x:v>Mosaic Retail | FY26 Q3 | 2026-07-13 | GMV ¥84.2M | metric MTR-09</x:v>
      </x:c>
    </x:row>
    <x:row r="3">
      <x:c r="A3" s="2" t="str">
        <x:v>Formula errors</x:v>
      </x:c>
      <x:c r="B3" s="2" t="str">
        <x:v>PASS</x:v>
      </x:c>
      <x:c r="C3" s="2" t="str">
        <x:v>No formula errors observed</x:v>
      </x:c>
    </x:row>
    <x:row r="4">
      <x:c r="A4" s="2" t="str">
        <x:v>Scope</x:v>
      </x:c>
      <x:c r="B4" s="2" t="str">
        <x:v>PASS</x:v>
      </x:c>
      <x:c r="C4" s="2" t="str">
        <x:v>Synthetic Mosaic Retail analytics only</x:v>
      </x:c>
    </x:row>
  </x:sheetData>
  <x:pageMargins left="0.7" right="0.7" top="0.75" bottom="0.75" header="0.3" footer="0.3"/>
</x:worksheet>
</file>