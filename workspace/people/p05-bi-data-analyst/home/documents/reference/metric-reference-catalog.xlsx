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043f0f015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inition" sheetId="1" r:id="R65a2e0836db148bd"/>
    <x:sheet xmlns:r="http://schemas.openxmlformats.org/officeDocument/2006/relationships" name="Calculation" sheetId="2" r:id="Rd82885bb68e64653"/>
    <x:sheet xmlns:r="http://schemas.openxmlformats.org/officeDocument/2006/relationships" name="Reference Cuts" sheetId="3" r:id="R4065001920624e7e"/>
    <x:sheet xmlns:r="http://schemas.openxmlformats.org/officeDocument/2006/relationships" name="Daily Trend" sheetId="4" r:id="R6aa1f03aa1ad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B2545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2E74B5"/>
      </x:patternFill>
    </x:fill>
    <x:fill>
      <x:patternFill patternType="solid">
        <x:fgColor rgb="FFE8EEF5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7B9BBE"/>
      </x:left>
      <x:right style="thin">
        <x:color rgb="FF7B9BBE"/>
      </x:right>
      <x:top style="thin">
        <x:color rgb="FF7B9BBE"/>
      </x:top>
      <x:bottom style="thin">
        <x:color rgb="FF7B9BBE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0" fontId="3" fillId="4" borderId="3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4" fillId="3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200" fontId="6" fillId="4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ceef47ab249ed" /><Relationship Type="http://schemas.openxmlformats.org/officeDocument/2006/relationships/theme" Target="/xl/theme/theme1.xml" Id="Rb5391b74dd604f0e" /><Relationship Type="http://schemas.openxmlformats.org/officeDocument/2006/relationships/sharedStrings" Target="/xl/sharedStrings.xml" Id="R78d08ade7d6547bc" /><Relationship Type="http://schemas.openxmlformats.org/officeDocument/2006/relationships/worksheet" Target="/xl/worksheets/sheet1.xml" Id="R65a2e0836db148bd" /><Relationship Type="http://schemas.openxmlformats.org/officeDocument/2006/relationships/worksheet" Target="/xl/worksheets/sheet2.xml" Id="Rd82885bb68e64653" /><Relationship Type="http://schemas.openxmlformats.org/officeDocument/2006/relationships/worksheet" Target="/xl/worksheets/sheet3.xml" Id="R4065001920624e7e" /><Relationship Type="http://schemas.openxmlformats.org/officeDocument/2006/relationships/worksheet" Target="/xl/worksheets/sheet4.xml" Id="R6aa1f03aa1ad4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</x:cols>
  <x:sheetData>
    <x:row r="1" ht="30" customHeight="1">
      <x:c r="A1" s="21" t="str">
        <x:v>MTR-09 | Metric Definition &amp; Governance</x:v>
      </x:c>
      <x:c r="B1" s="22"/>
    </x:row>
    <x:row r="2">
      <x:c r="A2" s="22"/>
      <x:c r="B2" s="22"/>
    </x:row>
    <x:row r="3" ht="15" hidden="0" customHeight="1">
      <x:c r="A3" s="23" t="str">
        <x:v>Field</x:v>
      </x:c>
      <x:c r="B3" s="23" t="str">
        <x:v>Reference</x:v>
      </x:c>
    </x:row>
    <x:row r="4" ht="15" hidden="0" customHeight="1">
      <x:c r="A4" s="24" t="str">
        <x:v>Metric ID</x:v>
      </x:c>
      <x:c r="B4" s="25" t="str">
        <x:v>MTR-09</x:v>
      </x:c>
    </x:row>
    <x:row r="5" ht="15" hidden="0" customHeight="1">
      <x:c r="A5" s="24" t="str">
        <x:v>Metric name</x:v>
      </x:c>
      <x:c r="B5" s="25" t="str">
        <x:v>Completed Order-Line Merchandise Value</x:v>
      </x:c>
    </x:row>
    <x:row r="6" ht="26.399999618530273" hidden="0" customHeight="1">
      <x:c r="A6" s="24" t="str">
        <x:v>Definition</x:v>
      </x:c>
      <x:c r="B6" s="25" t="str">
        <x:v>Completed order-line merchandise value, tax excluded, net of recognized refunds, JPY</x:v>
      </x:c>
    </x:row>
    <x:row r="7" ht="15" hidden="0" customHeight="1">
      <x:c r="A7" s="24" t="str">
        <x:v>Owner</x:v>
      </x:c>
      <x:c r="B7" s="25" t="str">
        <x:v>BI Data Analyst</x:v>
      </x:c>
    </x:row>
    <x:row r="8" ht="15" hidden="0" customHeight="1">
      <x:c r="A8" s="24" t="str">
        <x:v>Refresh cutoff</x:v>
      </x:c>
      <x:c r="B8" s="25" t="str">
        <x:v>2026-07-13 23:59 JST</x:v>
      </x:c>
    </x:row>
    <x:row r="9" ht="15" hidden="0" customHeight="1">
      <x:c r="A9" s="24" t="str">
        <x:v>Review checkpoint</x:v>
      </x:c>
      <x:c r="B9" s="25" t="str">
        <x:v>2026-07-14 06:00 JST</x:v>
      </x:c>
    </x:row>
    <x:row r="10" ht="15" hidden="0" customHeight="1">
      <x:c r="A10" s="24" t="str">
        <x:v>Reporting currency</x:v>
      </x:c>
      <x:c r="B10" s="25" t="str">
        <x:v>JPY</x:v>
      </x:c>
    </x:row>
    <x:row r="11" ht="15" hidden="0" customHeight="1">
      <x:c r="A11" s="24" t="str">
        <x:v>Status</x:v>
      </x:c>
      <x:c r="B11" s="25" t="str">
        <x:v>Controlled reference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2" hidden="0" customWidth="1"/>
    <col min="2" max="2" width="19" hidden="0" customWidth="1"/>
    <col min="3" max="3" width="37" hidden="0" customWidth="1"/>
    <col min="4" max="4" width="19" hidden="0" customWidth="1"/>
    <col min="5" max="5" width="19" hidden="0" customWidth="1"/>
    <col min="6" max="6" width="19" hidden="0" customWidth="1"/>
    <col min="7" max="7" width="24" hidden="0" customWidth="1"/>
    <col min="8" max="8" width="14" hidden="0" customWidth="1"/>
  </cols>
  <sheetData>
    <row r="1" ht="30" customHeight="1">
      <c r="A1" s="21" t="str">
        <v>MTR-09 | Calculation and Checks</v>
      </c>
      <c r="B1" s="22"/>
      <c r="C1" s="22"/>
      <c r="D1" s="22"/>
      <c r="E1" s="22"/>
      <c r="F1" s="22"/>
      <c r="G1" s="22"/>
      <c r="H1" s="22"/>
    </row>
    <row r="2">
      <c r="A2" s="22"/>
      <c r="B2" s="22"/>
      <c r="C2" s="22"/>
      <c r="D2" s="22"/>
      <c r="E2" s="22"/>
      <c r="F2" s="22"/>
      <c r="G2" s="22"/>
      <c r="H2" s="22"/>
    </row>
    <row r="3">
      <c r="A3" s="23" t="str">
        <v>Component</v>
      </c>
      <c r="B3" s="23" t="str">
        <v>JPY M</v>
      </c>
      <c r="C3" s="23" t="str">
        <v>Control note</v>
      </c>
      <c r="D3" s="22"/>
      <c r="E3" s="23" t="str">
        <v>Reference check</v>
      </c>
      <c r="F3" s="23" t="str">
        <v>JPY M</v>
      </c>
      <c r="G3" s="23" t="str">
        <v>Formula / threshold</v>
      </c>
      <c r="H3" s="23" t="str">
        <v>Status</v>
      </c>
    </row>
    <row r="4">
      <c r="A4" s="25" t="str">
        <v>Gross completed order-line merchandise value</v>
      </c>
      <c r="B4" s="26" t="n">
        <v>86</v>
      </c>
      <c r="C4" s="25" t="str">
        <v>Tax excluded; completed orders only</v>
      </c>
      <c r="D4" s="22"/>
      <c r="E4" s="25" t="str">
        <v>Plan</v>
      </c>
      <c r="F4" s="26" t="n">
        <v>80</v>
      </c>
      <c r="G4" s="25" t="n">
        <f>B6-F4</f>
        <v>4.200000000000003</v>
      </c>
      <c r="H4" s="25" t="str">
        <v>OK</v>
      </c>
    </row>
    <row r="5">
      <c r="A5" s="25" t="str">
        <v>Recognized refunds</v>
      </c>
      <c r="B5" s="26" t="n">
        <v>1.8</v>
      </c>
      <c r="C5" s="25" t="str">
        <v>Recognized accounting refunds only</v>
      </c>
      <c r="D5" s="22"/>
      <c r="E5" s="25" t="str">
        <v>Prior</v>
      </c>
      <c r="F5" s="26" t="n">
        <v>78.6</v>
      </c>
      <c r="G5" s="25" t="n">
        <f>B6-F5</f>
        <v>5.6000000000000085</v>
      </c>
      <c r="H5" s="25" t="str">
        <v>OK</v>
      </c>
    </row>
    <row r="6">
      <c r="A6" s="27" t="str">
        <v>MTR-09</v>
      </c>
      <c r="B6" s="28">
        <f>B4-B5</f>
        <v>84.2</v>
      </c>
      <c r="C6" s="27" t="str">
        <v>Gross less recognized refunds</v>
      </c>
      <c r="D6" s="22"/>
      <c r="E6" s="25" t="str">
        <v>Gross - refunds</v>
      </c>
      <c r="F6" s="26">
        <f>B6</f>
        <v>84.2</v>
      </c>
      <c r="G6" s="25" t="n">
        <f>B4-B5</f>
        <v>84.2</v>
      </c>
      <c r="H6" s="25" t="str">
        <v>OK</v>
      </c>
    </row>
    <row r="7">
      <c r="A7" s="22"/>
      <c r="B7" s="22"/>
      <c r="C7" s="22"/>
      <c r="D7" s="22"/>
      <c r="E7" s="25" t="str">
        <v>Control total</v>
      </c>
      <c r="F7" s="26">
        <f>B6</f>
        <v>84.2</v>
      </c>
      <c r="G7" s="25" t="n">
        <f>SUM(B6)</f>
        <v>84.2</v>
      </c>
      <c r="H7" s="25" t="str">
        <v>OK</v>
      </c>
    </row>
  </sheetData>
  <mergeCells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3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</cols>
  <sheetData>
    <row r="1" ht="30" customHeight="1">
      <c r="A1" s="21" t="str">
        <v>MTR-09 | Reconciliation Cuts</v>
      </c>
      <c r="B1" s="22"/>
      <c r="C1" s="22"/>
      <c r="D1" s="22"/>
      <c r="E1" s="22"/>
      <c r="F1" s="22"/>
      <c r="G1" s="22"/>
      <c r="H1" s="22"/>
    </row>
    <row r="2">
      <c r="A2" s="22"/>
      <c r="B2" s="22"/>
      <c r="C2" s="22"/>
      <c r="D2" s="22"/>
      <c r="E2" s="22"/>
      <c r="F2" s="22"/>
      <c r="G2" s="22"/>
      <c r="H2" s="22"/>
    </row>
    <row r="3">
      <c r="A3" s="23" t="str">
        <v>Channel</v>
      </c>
      <c r="B3" s="23" t="str">
        <v>JPY M</v>
      </c>
      <c r="C3" s="22"/>
      <c r="D3" s="23" t="str">
        <v>Region</v>
      </c>
      <c r="E3" s="23" t="str">
        <v>JPY M</v>
      </c>
      <c r="F3" s="22"/>
      <c r="G3" s="23" t="str">
        <v>Category</v>
      </c>
      <c r="H3" s="23" t="str">
        <v>JPY M</v>
      </c>
    </row>
    <row r="4">
      <c r="A4" s="25" t="str">
        <v>Online</v>
      </c>
      <c r="B4" s="26" t="n">
        <v>46.3</v>
      </c>
      <c r="C4" s="22"/>
      <c r="D4" s="25" t="str">
        <v>East</v>
      </c>
      <c r="E4" s="26" t="n">
        <v>26.4</v>
      </c>
      <c r="F4" s="22"/>
      <c r="G4" s="25" t="str">
        <v>Home</v>
      </c>
      <c r="H4" s="26" t="n">
        <v>24.8</v>
      </c>
    </row>
    <row r="5">
      <c r="A5" s="25" t="str">
        <v>Stores</v>
      </c>
      <c r="B5" s="26" t="n">
        <v>37.9</v>
      </c>
      <c r="C5" s="22"/>
      <c r="D5" s="25" t="str">
        <v>West</v>
      </c>
      <c r="E5" s="26" t="n">
        <v>22.8</v>
      </c>
      <c r="F5" s="22"/>
      <c r="G5" s="25" t="str">
        <v>Electronics</v>
      </c>
      <c r="H5" s="26" t="n">
        <v>22.1</v>
      </c>
    </row>
    <row r="6">
      <c r="A6" s="25" t="str">
        <v>Total</v>
      </c>
      <c r="B6" s="26">
        <f>SUM(B4:B5)</f>
        <v>84.2</v>
      </c>
      <c r="C6" s="22"/>
      <c r="D6" s="25" t="str">
        <v>Central</v>
      </c>
      <c r="E6" s="26" t="n">
        <v>18.6</v>
      </c>
      <c r="F6" s="22"/>
      <c r="G6" s="25" t="str">
        <v>Apparel</v>
      </c>
      <c r="H6" s="26" t="n">
        <v>19.3</v>
      </c>
    </row>
    <row r="7">
      <c r="A7" s="25" t="str">
        <v>Check vs MTR-09</v>
      </c>
      <c r="B7" s="26">
        <f>B6-'Calculation'!B6</f>
        <v>0</v>
      </c>
      <c r="C7" s="22"/>
      <c r="D7" s="25" t="str">
        <v>North</v>
      </c>
      <c r="E7" s="26" t="n">
        <v>16.4</v>
      </c>
      <c r="F7" s="22"/>
      <c r="G7" s="25" t="str">
        <v>Beauty</v>
      </c>
      <c r="H7" s="26" t="n">
        <v>10.7</v>
      </c>
    </row>
    <row r="8">
      <c r="A8" s="25" t="str">
        <v>Status</v>
      </c>
      <c r="B8" s="25" t="str">
        <v>OK</v>
      </c>
      <c r="C8" s="22"/>
      <c r="D8" s="25" t="str">
        <v>Total</v>
      </c>
      <c r="E8" s="26">
        <f>SUM(E4:E7)</f>
        <v>84.2</v>
      </c>
      <c r="F8" s="22"/>
      <c r="G8" s="25" t="str">
        <v>Other</v>
      </c>
      <c r="H8" s="26" t="n">
        <v>7.3</v>
      </c>
    </row>
    <row r="9">
      <c r="A9" s="22"/>
      <c r="B9" s="22"/>
      <c r="C9" s="22"/>
      <c r="D9" s="22"/>
      <c r="E9" s="22"/>
      <c r="F9" s="22"/>
      <c r="G9" s="25" t="str">
        <v>Total</v>
      </c>
      <c r="H9" s="26">
        <f>SUM(H4:H8)</f>
        <v>84.2</v>
      </c>
    </row>
  </sheetData>
  <mergeCells>
    <mergeCell ref="A1:G1"/>
  </mergeCells>
  <pageMargins left="0.7" right="0.7" top="0.75" bottom="0.75" header="0.3" footer="0.3"/>
</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5" hidden="0" customWidth="1"/>
  </x:cols>
  <x:sheetData>
    <x:row r="1" ht="30" customHeight="1">
      <x:c r="A1" s="21" t="str">
        <x:v>MTR-09 | Daily Close Trend</x:v>
      </x:c>
      <x:c r="B1" s="22"/>
      <x:c r="C1" s="22"/>
    </x:row>
    <x:row r="2">
      <x:c r="A2" s="22"/>
      <x:c r="B2" s="22"/>
      <x:c r="C2" s="22"/>
    </x:row>
    <x:row r="3">
      <x:c r="A3" s="23" t="str">
        <x:v>Date</x:v>
      </x:c>
      <x:c r="B3" s="23" t="str">
        <x:v>JPY M</x:v>
      </x:c>
      <x:c r="C3" s="23" t="str">
        <x:v>Comment</x:v>
      </x:c>
    </x:row>
    <x:row r="4">
      <x:c r="A4" s="25" t="str">
        <x:v>2026-07-07</x:v>
      </x:c>
      <x:c r="B4" s="26" t="n">
        <x:v>10.8</x:v>
      </x:c>
      <x:c r="C4" s="25" t="str">
        <x:v>Opening reference</x:v>
      </x:c>
    </x:row>
    <x:row r="5">
      <x:c r="A5" s="25" t="str">
        <x:v>2026-07-08</x:v>
      </x:c>
      <x:c r="B5" s="26" t="n">
        <x:v>11.2</x:v>
      </x:c>
      <x:c r="C5" s="25" t="str"/>
    </x:row>
    <x:row r="6">
      <x:c r="A6" s="25" t="str">
        <x:v>2026-07-09</x:v>
      </x:c>
      <x:c r="B6" s="26" t="n">
        <x:v>11.5</x:v>
      </x:c>
      <x:c r="C6" s="25" t="str"/>
    </x:row>
    <x:row r="7">
      <x:c r="A7" s="25" t="str">
        <x:v>2026-07-10</x:v>
      </x:c>
      <x:c r="B7" s="26" t="n">
        <x:v>12.1</x:v>
      </x:c>
      <x:c r="C7" s="25" t="str"/>
    </x:row>
    <x:row r="8">
      <x:c r="A8" s="25" t="str">
        <x:v>2026-07-11</x:v>
      </x:c>
      <x:c r="B8" s="26" t="n">
        <x:v>12.4</x:v>
      </x:c>
      <x:c r="C8" s="25" t="str"/>
    </x:row>
    <x:row r="9">
      <x:c r="A9" s="25" t="str">
        <x:v>2026-07-12</x:v>
      </x:c>
      <x:c r="B9" s="26" t="n">
        <x:v>13</x:v>
      </x:c>
      <x:c r="C9" s="25" t="str"/>
    </x:row>
    <x:row r="10">
      <x:c r="A10" s="25" t="str">
        <x:v>2026-07-13</x:v>
      </x:c>
      <x:c r="B10" s="26" t="n">
        <x:v>13.2</x:v>
      </x:c>
      <x:c r="C10" s="25" t="str">
        <x:v>Refresh cutoff close</x:v>
      </x:c>
    </x:row>
  </x:sheetData>
  <x:mergeCells>
    <x:mergeCell ref="A1:F1"/>
  </x:mergeCells>
  <x:pageMargins left="0.7" right="0.7" top="0.75" bottom="0.75" header="0.3" footer="0.3"/>
</x:worksheet>
</file>