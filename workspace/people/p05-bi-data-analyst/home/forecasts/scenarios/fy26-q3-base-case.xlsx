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a13a09871349e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b025aedc99b49eb"/>
    <x:sheet xmlns:r="http://schemas.openxmlformats.org/officeDocument/2006/relationships" name="Baseline" sheetId="2" r:id="Rb8f2e3ea2ca24a74"/>
    <x:sheet xmlns:r="http://schemas.openxmlformats.org/officeDocument/2006/relationships" name="Assumptions" sheetId="3" r:id="R34969a52c0ad4e71"/>
    <x:sheet xmlns:r="http://schemas.openxmlformats.org/officeDocument/2006/relationships" name="Calculations" sheetId="4" r:id="R17397c5b5b944cc4"/>
    <x:sheet xmlns:r="http://schemas.openxmlformats.org/officeDocument/2006/relationships" name="Outputs" sheetId="5" r:id="R33203abee9a843c0"/>
    <x:sheet xmlns:r="http://schemas.openxmlformats.org/officeDocument/2006/relationships" name="Checks" sheetId="6" r:id="R27e176305feb4de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¥0.0,,&quot;M&quot;;[Red](¥0.0,,&quot;M&quot;);-"/>
    <x:numFmt numFmtId="201" formatCode="0.0%;[Red](0.0%);-"/>
    <x:numFmt numFmtId="202" formatCode="¥#,##0;[Red](¥#,##0);-"/>
    <x:numFmt numFmtId="203" formatCode="yyyy-mm-dd"/>
  </x:numFmts>
  <x:fonts count="6">
    <x:font>
      <x:sz val="11"/>
      <x:name val="Carlito"/>
    </x:font>
    <x:font>
      <x:b/>
      <x:sz val="14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  <x:font>
      <x:b/>
      <x:sz val="11"/>
      <x:color rgb="FF000000"/>
      <x:name val="Carlito"/>
    </x:font>
    <x:font>
      <x:sz val="11"/>
      <x:color rgb="FF0000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0F243E"/>
      </x:patternFill>
    </x:fill>
    <x:fill>
      <x:patternFill patternType="solid">
        <x:fgColor rgb="FFEAF2F8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</x:fills>
  <x:borders count="7">
    <x:border/>
    <x:border>
      <x:left style="thin">
        <x:color rgb="FFAAB7B8"/>
      </x:left>
      <x:top style="thin">
        <x:color rgb="FFAAB7B8"/>
      </x:top>
    </x:border>
    <x:border>
      <x:right style="thin">
        <x:color rgb="FFAAB7B8"/>
      </x:right>
      <x:top style="thin">
        <x:color rgb="FFAAB7B8"/>
      </x:top>
    </x:border>
    <x:border>
      <x:left style="thin">
        <x:color rgb="FFAAB7B8"/>
      </x:left>
    </x:border>
    <x:border>
      <x:right style="thin">
        <x:color rgb="FFAAB7B8"/>
      </x:right>
    </x:border>
    <x:border>
      <x:left style="thin">
        <x:color rgb="FFAAB7B8"/>
      </x:left>
      <x:bottom style="thin">
        <x:color rgb="FFAAB7B8"/>
      </x:bottom>
    </x:border>
    <x:border>
      <x:right style="thin">
        <x:color rgb="FFAAB7B8"/>
      </x:right>
      <x:bottom style="thin">
        <x:color rgb="FFAAB7B8"/>
      </x:bottom>
    </x:border>
  </x:borders>
  <x:cellStyleXfs count="1">
    <x:xf numFmtId="0" fontId="0" fillId="0" borderId="0"/>
  </x:cellStyleXfs>
  <x:cellXfs count="2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200" fontId="0" fillId="0" borderId="0" xfId="0" applyNumberFormat="1" applyFont="1" applyFill="1" applyBorder="1"/>
    <x:xf numFmtId="0" fontId="0" fillId="0" borderId="1" xfId="0" applyNumberFormat="1" applyFont="1" applyFill="1" applyBorder="1"/>
    <x:xf numFmtId="200" fontId="0" fillId="0" borderId="2" xfId="0" applyNumberFormat="1" applyFont="1" applyFill="1" applyBorder="1"/>
    <x:xf numFmtId="0" fontId="0" fillId="0" borderId="3" xfId="0" applyNumberFormat="1" applyFont="1" applyFill="1" applyBorder="1"/>
    <x:xf numFmtId="200" fontId="0" fillId="0" borderId="4" xfId="0" applyNumberFormat="1" applyFont="1" applyFill="1" applyBorder="1"/>
    <x:xf numFmtId="0" fontId="0" fillId="0" borderId="5" xfId="0" applyNumberFormat="1" applyFont="1" applyFill="1" applyBorder="1"/>
    <x:xf numFmtId="200" fontId="0" fillId="0" borderId="6" xfId="0" applyNumberFormat="1" applyFont="1" applyFill="1" applyBorder="1"/>
    <x:xf numFmtId="201" fontId="0" fillId="0" borderId="0" xfId="0" applyNumberFormat="1" applyFont="1" applyFill="1" applyBorder="1"/>
    <x:xf numFmtId="201" fontId="0" fillId="0" borderId="2" xfId="0" applyNumberFormat="1" applyFont="1" applyFill="1" applyBorder="1"/>
    <x:xf numFmtId="201" fontId="0" fillId="0" borderId="4" xfId="0" applyNumberFormat="1" applyFont="1" applyFill="1" applyBorder="1"/>
    <x:xf numFmtId="201" fontId="0" fillId="0" borderId="6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3" fillId="2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201" fontId="5" fillId="6" borderId="0" xfId="0" applyNumberFormat="1" applyFont="1" applyFill="1" applyBorder="1"/>
  </x:cellXfs>
  <x:cellStyles count="1">
    <x:cellStyle name="Normal" xfId="0"/>
  </x:cellStyles>
  <x:dxfs count="1">
    <x:dxf>
      <x:font>
        <x:b/>
      </x:font>
      <x:fill>
        <x:patternFill patternType="solid">
          <x:bgColor rgb="FFC6E0B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f6a707439164b8d" /><Relationship Type="http://schemas.openxmlformats.org/officeDocument/2006/relationships/theme" Target="/xl/theme/theme1.xml" Id="R16efea440b274871" /><Relationship Type="http://schemas.openxmlformats.org/officeDocument/2006/relationships/sharedStrings" Target="/xl/sharedStrings.xml" Id="R5c40170cc23a4cdb" /><Relationship Type="http://schemas.openxmlformats.org/officeDocument/2006/relationships/worksheet" Target="/xl/worksheets/sheet1.xml" Id="R9b025aedc99b49eb" /><Relationship Type="http://schemas.openxmlformats.org/officeDocument/2006/relationships/worksheet" Target="/xl/worksheets/sheet2.xml" Id="Rb8f2e3ea2ca24a74" /><Relationship Type="http://schemas.openxmlformats.org/officeDocument/2006/relationships/worksheet" Target="/xl/worksheets/sheet3.xml" Id="R34969a52c0ad4e71" /><Relationship Type="http://schemas.openxmlformats.org/officeDocument/2006/relationships/worksheet" Target="/xl/worksheets/sheet4.xml" Id="R17397c5b5b944cc4" /><Relationship Type="http://schemas.openxmlformats.org/officeDocument/2006/relationships/worksheet" Target="/xl/worksheets/sheet5.xml" Id="R33203abee9a843c0" /><Relationship Type="http://schemas.openxmlformats.org/officeDocument/2006/relationships/worksheet" Target="/xl/worksheets/sheet6.xml" Id="R27e176305feb4de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3441334327446d9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GMV comparison (¥M)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Actual</c:v>
          </c:tx>
          <c:cat>
            <c:strRef>
              <c:f>'Summary'!$A$18:$A$20</c:f>
              <c:strCache>
                <c:ptCount val="0"/>
              </c:strCache>
            </c:strRef>
          </c:cat>
          <c:val>
            <c:numRef>
              <c:f>'Summary'!$B$18:$B$20</c:f>
              <c:numCache>
                <c:formatCode>¥0.0,,"M";[Red](¥0.0,,"M");-</c:formatCode>
                <c:ptCount val="0"/>
              </c:numCache>
            </c:numRef>
          </c:val>
        </c:ser>
        <c:ser>
          <c:idx val="1"/>
          <c:order val="1"/>
          <c:tx>
            <c:v>Scenario net</c:v>
          </c:tx>
          <c:cat>
            <c:strRef>
              <c:f>'Summary'!$A$18:$A$20</c:f>
              <c:strCache>
                <c:ptCount val="0"/>
              </c:strCache>
            </c:strRef>
          </c:cat>
          <c:val>
            <c:numRef>
              <c:f>'Summary'!$C$18:$C$20</c:f>
              <c:numCache>
                <c:formatCode>¥0.0,,"M";[Red](¥0.0,,"M");-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¥0,,&quot;M&quot;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16</xdr:row>
      <xdr:rowOff>0</xdr:rowOff>
    </xdr:from>
    <xdr:to>
      <xdr:col>11</xdr:col>
      <xdr:colOff>0</xdr:colOff>
      <xdr:row>32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3441334327446d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3323bcfab4e4477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8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</x:cols>
  <x:sheetData>
    <x:row r="1">
      <x:c r="A1" s="3" t="str">
        <x:v>Mosaic Retail | FY26 Q3 GMV Scenario — Base case</x:v>
      </x:c>
      <x:c r="B1" s="3"/>
      <x:c r="C1" s="3"/>
      <x:c r="D1" s="3"/>
      <x:c r="E1" s="3"/>
      <x:c r="F1" s="3"/>
    </x:row>
    <x:row r="3">
      <x:c r="A3" s="5" t="str">
        <x:v>As of</x:v>
      </x:c>
      <x:c r="B3" s="6" t="str">
        <x:v>2026-07-13</x:v>
      </x:c>
    </x:row>
    <x:row r="4">
      <x:c r="A4" s="5" t="str">
        <x:v>Metric</x:v>
      </x:c>
      <x:c r="B4" s="6" t="str">
        <x:v>metric MTR-09</x:v>
      </x:c>
    </x:row>
    <x:row r="5">
      <x:c r="A5" s="5" t="str">
        <x:v>Actual GMV</x:v>
      </x:c>
      <x:c r="B5" s="6" t="str">
        <x:v>GMV ¥84.2M</x:v>
      </x:c>
    </x:row>
    <x:row r="6">
      <x:c r="A6" s="5" t="str">
        <x:v>Scenario</x:v>
      </x:c>
      <x:c r="B6" s="6" t="str">
        <x:v>Base case</x:v>
      </x:c>
    </x:row>
    <x:row r="7">
      <x:c r="A7" s="5" t="str">
        <x:v>Status</x:v>
      </x:c>
      <x:c r="B7" s="6" t="str">
        <x:v>Formula-driven synthetic model</x:v>
      </x:c>
    </x:row>
    <x:row r="9">
      <x:c r="A9" s="8" t="str">
        <x:v>Scenario headline (JPY)</x:v>
      </x:c>
      <x:c r="B9" s="8"/>
      <x:c r="C9" s="8"/>
      <x:c r="D9" s="8" t="str">
        <x:v>Key assumptions</x:v>
      </x:c>
      <x:c r="E9" s="8"/>
      <x:c r="F9" s="8"/>
    </x:row>
    <x:row r="10">
      <x:c r="A10" s="10" t="str">
        <x:v>Actual GMV</x:v>
      </x:c>
      <x:c r="B10" s="11" t="n">
        <x:f>'Baseline'!B3</x:f>
        <x:v>84200000</x:v>
      </x:c>
      <x:c r="D10" s="10" t="str">
        <x:v>Gross growth</x:v>
      </x:c>
      <x:c r="E10" s="17" t="n">
        <x:f>'Assumptions'!B4</x:f>
        <x:v>0.045</x:v>
      </x:c>
    </x:row>
    <x:row r="11">
      <x:c r="A11" s="12" t="str">
        <x:v>Projected gross GMV</x:v>
      </x:c>
      <x:c r="B11" s="13" t="n">
        <x:f>'Calculations'!B5</x:f>
        <x:v>91418000</x:v>
      </x:c>
      <x:c r="D11" s="12" t="str">
        <x:v>Refund rate</x:v>
      </x:c>
      <x:c r="E11" s="18" t="n">
        <x:f>'Assumptions'!B5</x:f>
        <x:v>0.021</x:v>
      </x:c>
    </x:row>
    <x:row r="12">
      <x:c r="A12" s="12" t="str">
        <x:v>Projected refunds</x:v>
      </x:c>
      <x:c r="B12" s="13" t="n">
        <x:f>'Calculations'!B6</x:f>
        <x:v>1919778.0000000002</x:v>
      </x:c>
      <x:c r="D12" s="12" t="str">
        <x:v>Online mix</x:v>
      </x:c>
      <x:c r="E12" s="18" t="n">
        <x:f>'Assumptions'!B6</x:f>
        <x:v>0.56</x:v>
      </x:c>
    </x:row>
    <x:row r="13">
      <x:c r="A13" s="12" t="str">
        <x:v>Projected net GMV</x:v>
      </x:c>
      <x:c r="B13" s="13" t="n">
        <x:f>'Calculations'!B7</x:f>
        <x:v>89498222</x:v>
      </x:c>
      <x:c r="D13" s="12" t="str">
        <x:v>Stores mix</x:v>
      </x:c>
      <x:c r="E13" s="18" t="n">
        <x:f>'Assumptions'!B7</x:f>
        <x:v>0.44</x:v>
      </x:c>
    </x:row>
    <x:row r="14">
      <x:c r="A14" s="12" t="str">
        <x:v>vs plan</x:v>
      </x:c>
      <x:c r="B14" s="13" t="n">
        <x:f>'Calculations'!B8</x:f>
        <x:v>9498222</x:v>
      </x:c>
      <x:c r="D14" s="14" t="str">
        <x:v>Promo lift</x:v>
      </x:c>
      <x:c r="E14" s="19" t="n">
        <x:f>'Assumptions'!B8</x:f>
        <x:v>0.018</x:v>
      </x:c>
    </x:row>
    <x:row r="15">
      <x:c r="A15" s="14" t="str">
        <x:v>vs prior</x:v>
      </x:c>
      <x:c r="B15" s="15" t="n">
        <x:f>'Calculations'!B9</x:f>
        <x:v>10898222</x:v>
      </x:c>
    </x:row>
    <x:row r="17">
      <x:c r="A17" s="21" t="str">
        <x:v>Metric</x:v>
      </x:c>
      <x:c r="B17" s="21" t="str">
        <x:v>Actual</x:v>
      </x:c>
      <x:c r="C17" s="21" t="str">
        <x:v>Scenario net</x:v>
      </x:c>
    </x:row>
    <x:row r="18">
      <x:c r="A18" t="str">
        <x:v>GMV</x:v>
      </x:c>
      <x:c r="B18" s="9" t="n">
        <x:f>'Baseline'!B3</x:f>
        <x:v>84200000</x:v>
      </x:c>
      <x:c r="C18" s="9" t="n">
        <x:f>'Calculations'!B7</x:f>
        <x:v>89498222</x:v>
      </x:c>
    </x:row>
    <x:row r="19">
      <x:c r="A19" t="str">
        <x:v>Plan</x:v>
      </x:c>
      <x:c r="B19" s="9" t="n">
        <x:f>'Baseline'!B4</x:f>
        <x:v>80000000</x:v>
      </x:c>
      <x:c r="C19" s="9" t="n">
        <x:f>'Calculations'!B7-('Baseline'!B3-'Baseline'!B4)</x:f>
        <x:v>85298222</x:v>
      </x:c>
    </x:row>
    <x:row r="20">
      <x:c r="A20" t="str">
        <x:v>Prior</x:v>
      </x:c>
      <x:c r="B20" s="9" t="n">
        <x:f>'Baseline'!B5</x:f>
        <x:v>78600000</x:v>
      </x:c>
      <x:c r="C20" s="9" t="n">
        <x:f>'Calculations'!B7-('Baseline'!B3-'Baseline'!B5)</x:f>
        <x:v>83898222</x:v>
      </x:c>
    </x:row>
    <x:row r="34">
      <x:c r="A34" s="21" t="str">
        <x:v>Daily operating bridge</x:v>
      </x:c>
      <x:c r="B34" s="21" t="str">
        <x:v>Actual week</x:v>
      </x:c>
      <x:c r="C34" s="21" t="str">
        <x:v>Comment</x:v>
      </x:c>
    </x:row>
    <x:row r="35">
      <x:c r="A35" t="str">
        <x:v>Traffic pacing</x:v>
      </x:c>
      <x:c r="B35" s="16" t="n">
        <x:v>0.98</x:v>
      </x:c>
      <x:c r="C35" t="str">
        <x:v>Within central plan</x:v>
      </x:c>
    </x:row>
    <x:row r="36">
      <x:c r="A36" t="str">
        <x:v>Conversion pacing</x:v>
      </x:c>
      <x:c r="B36" s="16" t="n">
        <x:v>1.02</x:v>
      </x:c>
      <x:c r="C36" t="str">
        <x:v>Modest recovery</x:v>
      </x:c>
    </x:row>
    <x:row r="37">
      <x:c r="A37" t="str">
        <x:v>Return monitoring</x:v>
      </x:c>
      <x:c r="B37" s="16" t="n">
        <x:v>0.021</x:v>
      </x:c>
      <x:c r="C37" t="str">
        <x:v>Within target band</x:v>
      </x:c>
    </x:row>
  </x:sheetData>
  <x:mergeCells>
    <x:mergeCell ref="A1:F1"/>
    <x:mergeCell ref="A9:F9"/>
    <x:mergeCell ref="D9:F9"/>
  </x:mergeCells>
  <x:pageMargins left="0.7" right="0.7" top="0.75" bottom="0.75" header="0.3" footer="0.3"/>
  <x:drawing xmlns:r="http://schemas.openxmlformats.org/officeDocument/2006/relationships" r:id="R3323bcfab4e44775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8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</x:cols>
  <x:sheetData>
    <x:row r="1">
      <x:c r="A1" s="22" t="str">
        <x:v>Baseline actuals | all synthetic | as of 2026-07-13</x:v>
      </x:c>
      <x:c r="B1" s="22"/>
      <x:c r="C1" s="22"/>
      <x:c r="D1" s="22"/>
      <x:c r="E1" s="22"/>
      <x:c r="F1" s="22"/>
    </x:row>
    <x:row r="3">
      <x:c r="A3" t="str">
        <x:v>Actual net GMV</x:v>
      </x:c>
      <x:c r="B3" s="23" t="n">
        <x:v>84200000</x:v>
      </x:c>
    </x:row>
    <x:row r="4">
      <x:c r="A4" t="str">
        <x:v>Plan GMV</x:v>
      </x:c>
      <x:c r="B4" s="23" t="n">
        <x:v>80000000</x:v>
      </x:c>
    </x:row>
    <x:row r="5">
      <x:c r="A5" t="str">
        <x:v>Prior GMV</x:v>
      </x:c>
      <x:c r="B5" s="23" t="n">
        <x:v>78600000</x:v>
      </x:c>
    </x:row>
    <x:row r="6">
      <x:c r="A6" t="str">
        <x:v>Actual gross GMV</x:v>
      </x:c>
      <x:c r="B6" s="23" t="n">
        <x:v>86000000</x:v>
      </x:c>
    </x:row>
    <x:row r="7">
      <x:c r="A7" t="str">
        <x:v>Actual refunds</x:v>
      </x:c>
      <x:c r="B7" s="23" t="n">
        <x:v>1800000</x:v>
      </x:c>
    </x:row>
    <x:row r="8">
      <x:c r="A8" s="8" t="str">
        <x:v>Daily GMV (JPY)</x:v>
      </x:c>
      <x:c r="B8" s="8"/>
      <x:c r="C8" s="8"/>
      <x:c r="D8" s="8"/>
      <x:c r="E8" s="8"/>
      <x:c r="F8" s="8"/>
    </x:row>
    <x:row r="9">
      <x:c r="A9" s="21" t="str">
        <x:v>Date</x:v>
      </x:c>
      <x:c r="B9" s="21" t="str">
        <x:v>GMV</x:v>
      </x:c>
    </x:row>
    <x:row r="10">
      <x:c r="A10" s="24" t="str">
        <x:v>2026-07-07</x:v>
      </x:c>
      <x:c r="B10" s="23" t="n">
        <x:v>10800000</x:v>
      </x:c>
    </x:row>
    <x:row r="11">
      <x:c r="A11" s="24" t="str">
        <x:v>2026-07-08</x:v>
      </x:c>
      <x:c r="B11" s="23" t="n">
        <x:v>11200000</x:v>
      </x:c>
    </x:row>
    <x:row r="12">
      <x:c r="A12" s="24" t="str">
        <x:v>2026-07-09</x:v>
      </x:c>
      <x:c r="B12" s="23" t="n">
        <x:v>11500000</x:v>
      </x:c>
    </x:row>
    <x:row r="13">
      <x:c r="A13" s="24" t="str">
        <x:v>2026-07-10</x:v>
      </x:c>
      <x:c r="B13" s="23" t="n">
        <x:v>12100000</x:v>
      </x:c>
    </x:row>
    <x:row r="14">
      <x:c r="A14" s="24" t="str">
        <x:v>2026-07-11</x:v>
      </x:c>
      <x:c r="B14" s="23" t="n">
        <x:v>12400000</x:v>
      </x:c>
    </x:row>
    <x:row r="15">
      <x:c r="A15" s="24" t="str">
        <x:v>2026-07-12</x:v>
      </x:c>
      <x:c r="B15" s="23" t="n">
        <x:v>13000000</x:v>
      </x:c>
    </x:row>
    <x:row r="16">
      <x:c r="A16" s="24" t="str">
        <x:v>2026-07-13</x:v>
      </x:c>
      <x:c r="B16" s="23" t="n">
        <x:v>13200000</x:v>
      </x:c>
    </x:row>
    <x:row r="18">
      <x:c r="A18" s="8" t="str">
        <x:v>Channel GMV (JPY)</x:v>
      </x:c>
      <x:c r="B18" s="8"/>
      <x:c r="C18" s="8"/>
      <x:c r="D18" s="8" t="str">
        <x:v>Region GMV (JPY)</x:v>
      </x:c>
      <x:c r="E18" s="8"/>
      <x:c r="F18" s="8"/>
    </x:row>
    <x:row r="19">
      <x:c r="A19" s="21" t="str">
        <x:v>Channel</x:v>
      </x:c>
      <x:c r="B19" s="21" t="str">
        <x:v>GMV</x:v>
      </x:c>
      <x:c r="D19" s="21" t="str">
        <x:v>Region</x:v>
      </x:c>
      <x:c r="E19" s="21" t="str">
        <x:v>GMV</x:v>
      </x:c>
    </x:row>
    <x:row r="20">
      <x:c r="A20" t="str">
        <x:v>Online</x:v>
      </x:c>
      <x:c r="B20" s="23" t="n">
        <x:v>46300000</x:v>
      </x:c>
      <x:c r="D20" t="str">
        <x:v>East</x:v>
      </x:c>
      <x:c r="E20" s="23" t="n">
        <x:v>26400000</x:v>
      </x:c>
    </x:row>
    <x:row r="21">
      <x:c r="A21" t="str">
        <x:v>Stores</x:v>
      </x:c>
      <x:c r="B21" s="23" t="n">
        <x:v>37900000</x:v>
      </x:c>
      <x:c r="D21" t="str">
        <x:v>West</x:v>
      </x:c>
      <x:c r="E21" s="23" t="n">
        <x:v>22800000</x:v>
      </x:c>
    </x:row>
    <x:row r="22">
      <x:c r="D22" t="str">
        <x:v>Central</x:v>
      </x:c>
      <x:c r="E22" s="23" t="n">
        <x:v>18600000</x:v>
      </x:c>
    </x:row>
    <x:row r="23">
      <x:c r="D23" t="str">
        <x:v>North</x:v>
      </x:c>
      <x:c r="E23" s="23" t="n">
        <x:v>16400000</x:v>
      </x:c>
    </x:row>
    <x:row r="25">
      <x:c r="A25" s="8" t="str">
        <x:v>Category GMV (JPY)</x:v>
      </x:c>
      <x:c r="B25" s="8"/>
    </x:row>
    <x:row r="26">
      <x:c r="A26" s="21" t="str">
        <x:v>Category</x:v>
      </x:c>
      <x:c r="B26" s="21" t="str">
        <x:v>GMV</x:v>
      </x:c>
    </x:row>
    <x:row r="27">
      <x:c r="A27" t="str">
        <x:v>Home</x:v>
      </x:c>
      <x:c r="B27" s="23" t="n">
        <x:v>24800000</x:v>
      </x:c>
    </x:row>
    <x:row r="28">
      <x:c r="A28" t="str">
        <x:v>Electronics</x:v>
      </x:c>
      <x:c r="B28" s="23" t="n">
        <x:v>22100000</x:v>
      </x:c>
    </x:row>
    <x:row r="29">
      <x:c r="A29" t="str">
        <x:v>Apparel</x:v>
      </x:c>
      <x:c r="B29" s="23" t="n">
        <x:v>19300000</x:v>
      </x:c>
    </x:row>
    <x:row r="30">
      <x:c r="A30" t="str">
        <x:v>Beauty</x:v>
      </x:c>
      <x:c r="B30" s="23" t="n">
        <x:v>10700000</x:v>
      </x:c>
    </x:row>
    <x:row r="31">
      <x:c r="A31" t="str">
        <x:v>Other</x:v>
      </x:c>
      <x:c r="B31" s="23" t="n">
        <x:v>7300000</x:v>
      </x:c>
    </x:row>
  </x:sheetData>
  <x:mergeCells>
    <x:mergeCell ref="A1:F1"/>
    <x:mergeCell ref="A8:F8"/>
    <x:mergeCell ref="A18:F18"/>
    <x:mergeCell ref="D18:E18"/>
    <x:mergeCell ref="A25:B25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8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</x:cols>
  <x:sheetData>
    <x:row r="1">
      <x:c r="A1" s="22" t="str">
        <x:v>Scenario assumptions | Base case</x:v>
      </x:c>
      <x:c r="B1" s="22"/>
      <x:c r="C1" s="22"/>
      <x:c r="D1" s="22"/>
      <x:c r="E1" s="22"/>
      <x:c r="F1" s="22"/>
    </x:row>
    <x:row r="3">
      <x:c r="A3" s="21" t="str">
        <x:v>Assumption</x:v>
      </x:c>
      <x:c r="B3" s="21" t="str">
        <x:v>Input</x:v>
      </x:c>
      <x:c r="C3" s="21" t="str">
        <x:v>Rationale</x:v>
      </x:c>
    </x:row>
    <x:row r="4">
      <x:c r="A4" t="str">
        <x:v>Gross GMV growth</x:v>
      </x:c>
      <x:c r="B4" s="27" t="n">
        <x:v>0.045</x:v>
      </x:c>
      <x:c r="C4" s="6" t="str">
        <x:v>Steady conversion recovery and planned retail traffic.</x:v>
      </x:c>
    </x:row>
    <x:row r="5">
      <x:c r="A5" t="str">
        <x:v>Refund rate</x:v>
      </x:c>
      <x:c r="B5" s="27" t="n">
        <x:v>0.021</x:v>
      </x:c>
      <x:c r="C5" s="6" t="str">
        <x:v>Applied to projected gross GMV</x:v>
      </x:c>
    </x:row>
    <x:row r="6">
      <x:c r="A6" t="str">
        <x:v>Online mix</x:v>
      </x:c>
      <x:c r="B6" s="27" t="n">
        <x:v>0.56</x:v>
      </x:c>
      <x:c r="C6" s="6" t="str">
        <x:v>Channel contribution / allocation</x:v>
      </x:c>
    </x:row>
    <x:row r="7">
      <x:c r="A7" t="str">
        <x:v>Stores mix</x:v>
      </x:c>
      <x:c r="B7" s="27" t="n">
        <x:v>0.44</x:v>
      </x:c>
      <x:c r="C7" s="6" t="str">
        <x:v>Channel contribution / allocation</x:v>
      </x:c>
    </x:row>
    <x:row r="8">
      <x:c r="A8" t="str">
        <x:v>Promo lift</x:v>
      </x:c>
      <x:c r="B8" s="27" t="n">
        <x:v>0.018</x:v>
      </x:c>
      <x:c r="C8" s="6" t="str">
        <x:v>Incremental scenario lift</x:v>
      </x:c>
    </x:row>
    <x:row r="11">
      <x:c r="A11" s="21" t="str">
        <x:v>Scenario convention</x:v>
      </x:c>
      <x:c r="B11" s="21" t="str">
        <x:v>Value</x:v>
      </x:c>
      <x:c r="C11" s="21" t="str">
        <x:v>Notes</x:v>
      </x:c>
    </x:row>
    <x:row r="12">
      <x:c r="A12" t="str">
        <x:v>Currency</x:v>
      </x:c>
      <x:c r="B12" t="str">
        <x:v>JPY</x:v>
      </x:c>
      <x:c r="C12" t="str">
        <x:v>Amounts in whole yen; charts in ¥M</x:v>
      </x:c>
    </x:row>
    <x:row r="13">
      <x:c r="A13" t="str">
        <x:v>Source date</x:v>
      </x:c>
      <x:c r="B13" t="str">
        <x:v>2026-07-13</x:v>
      </x:c>
      <x:c r="C13" t="str">
        <x:v>Synthetic S2 modeled data</x:v>
      </x:c>
    </x:row>
    <x:row r="14">
      <x:c r="A14" t="str">
        <x:v>Forecast period</x:v>
      </x:c>
      <x:c r="B14" t="str">
        <x:v>FY26 Q3</x:v>
      </x:c>
      <x:c r="C14" t="str">
        <x:v>Scenario projection from current actual baseline</x:v>
      </x:c>
    </x:row>
    <x:row r="15">
      <x:c r="A15" t="str">
        <x:v>Metric</x:v>
      </x:c>
      <x:c r="B15" t="str">
        <x:v>MTR-09</x:v>
      </x:c>
      <x:c r="C15" t="str">
        <x:v>GMV / refund outlook</x:v>
      </x:c>
    </x:row>
  </x:sheetData>
  <x:mergeCells>
    <x:mergeCell ref="A1:F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8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</x:cols>
  <x:sheetData>
    <x:row r="1">
      <x:c r="A1" s="22" t="str">
        <x:v>Calculations | traceable scenario mechanics</x:v>
      </x:c>
      <x:c r="B1" s="22"/>
      <x:c r="C1" s="22"/>
      <x:c r="D1" s="22"/>
      <x:c r="E1" s="22"/>
      <x:c r="F1" s="22"/>
    </x:row>
    <x:row r="3">
      <x:c r="A3" t="str">
        <x:v>Calculation</x:v>
      </x:c>
      <x:c r="B3" t="str">
        <x:v>JPY</x:v>
      </x:c>
    </x:row>
    <x:row r="4">
      <x:c r="A4" t="str">
        <x:v>Baseline actual GMV</x:v>
      </x:c>
      <x:c r="B4" s="23" t="n">
        <x:f>'Baseline'!B3</x:f>
        <x:v>84200000</x:v>
      </x:c>
    </x:row>
    <x:row r="5">
      <x:c r="A5" t="str">
        <x:v>Projected gross GMV</x:v>
      </x:c>
      <x:c r="B5" s="23" t="n">
        <x:f>'Baseline'!B6*(1+'Assumptions'!B4+'Assumptions'!B8)</x:f>
        <x:v>91418000</x:v>
      </x:c>
    </x:row>
    <x:row r="6">
      <x:c r="A6" t="str">
        <x:v>Projected refunds</x:v>
      </x:c>
      <x:c r="B6" s="23" t="n">
        <x:f>B5*'Assumptions'!B5</x:f>
        <x:v>1919778.0000000002</x:v>
      </x:c>
    </x:row>
    <x:row r="7">
      <x:c r="A7" t="str">
        <x:v>Projected net GMV</x:v>
      </x:c>
      <x:c r="B7" s="23" t="n">
        <x:f>B5-B6</x:f>
        <x:v>89498222</x:v>
      </x:c>
    </x:row>
    <x:row r="8">
      <x:c r="A8" t="str">
        <x:v>Variance vs plan</x:v>
      </x:c>
      <x:c r="B8" s="23" t="n">
        <x:f>B7-'Baseline'!B4</x:f>
        <x:v>9498222</x:v>
      </x:c>
    </x:row>
    <x:row r="9">
      <x:c r="A9" t="str">
        <x:v>Variance vs prior</x:v>
      </x:c>
      <x:c r="B9" s="23" t="n">
        <x:f>B7-'Baseline'!B5</x:f>
        <x:v>10898222</x:v>
      </x:c>
    </x:row>
    <x:row r="11">
      <x:c r="A11" s="8" t="str">
        <x:v>Channel allocation</x:v>
      </x:c>
      <x:c r="B11" s="8"/>
      <x:c r="C11" s="8"/>
      <x:c r="D11" s="8"/>
      <x:c r="E11" s="8"/>
      <x:c r="F11" s="8"/>
    </x:row>
    <x:row r="12">
      <x:c r="A12" s="21" t="str">
        <x:v>Channel</x:v>
      </x:c>
      <x:c r="B12" s="21" t="str">
        <x:v>Projected gross</x:v>
      </x:c>
      <x:c r="C12" s="21" t="str">
        <x:v>Projected net</x:v>
      </x:c>
    </x:row>
    <x:row r="13">
      <x:c r="A13" t="str">
        <x:v>Online</x:v>
      </x:c>
      <x:c r="B13" s="23" t="n">
        <x:f>B5*'Assumptions'!B6</x:f>
        <x:v>51194080.00000001</x:v>
      </x:c>
      <x:c r="C13" s="23" t="n">
        <x:f>B13*(1-'Assumptions'!B5)</x:f>
        <x:v>50119004.32000001</x:v>
      </x:c>
    </x:row>
    <x:row r="14">
      <x:c r="A14" t="str">
        <x:v>Stores</x:v>
      </x:c>
      <x:c r="B14" s="23" t="n">
        <x:f>B5*'Assumptions'!B7</x:f>
        <x:v>40223920</x:v>
      </x:c>
      <x:c r="C14" s="23" t="n">
        <x:f>B14*(1-'Assumptions'!B5)</x:f>
        <x:v>39379217.68</x:v>
      </x:c>
    </x:row>
    <x:row r="16">
      <x:c r="A16" s="21" t="str">
        <x:v>Reconciliation</x:v>
      </x:c>
      <x:c r="B16" s="21" t="str">
        <x:v>Calculated</x:v>
      </x:c>
      <x:c r="C16" s="21" t="str">
        <x:v>Check</x:v>
      </x:c>
    </x:row>
    <x:row r="17">
      <x:c r="A17" t="str">
        <x:v>Channel gross sum</x:v>
      </x:c>
      <x:c r="B17" s="23" t="n">
        <x:f>SUM(B13:B14)</x:f>
        <x:v>91418000</x:v>
      </x:c>
      <x:c r="C17" s="23" t="n">
        <x:f>B17-B5</x:f>
        <x:v>0</x:v>
      </x:c>
    </x:row>
    <x:row r="18">
      <x:c r="A18" t="str">
        <x:v>Net GMV bridge</x:v>
      </x:c>
      <x:c r="B18" s="23" t="n">
        <x:f>B5-B6</x:f>
        <x:v>89498222</x:v>
      </x:c>
      <x:c r="C18" s="23" t="n">
        <x:f>B18-B7</x:f>
        <x:v>0</x:v>
      </x:c>
    </x:row>
  </x:sheetData>
  <x:mergeCells>
    <x:mergeCell ref="A1:F1"/>
    <x:mergeCell ref="A11:F1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8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</x:cols>
  <x:sheetData>
    <x:row r="1">
      <x:c r="A1" s="22" t="str">
        <x:v>Scenario outputs | Base case</x:v>
      </x:c>
      <x:c r="B1" s="22"/>
      <x:c r="C1" s="22"/>
      <x:c r="D1" s="22"/>
      <x:c r="E1" s="22"/>
      <x:c r="F1" s="22"/>
    </x:row>
    <x:row r="3">
      <x:c r="A3" s="21" t="str">
        <x:v>Output</x:v>
      </x:c>
      <x:c r="B3" s="21" t="str">
        <x:v>Value</x:v>
      </x:c>
      <x:c r="C3" s="21" t="str">
        <x:v>Interpretation</x:v>
      </x:c>
    </x:row>
    <x:row r="4">
      <x:c r="A4" t="str">
        <x:v>Gross GMV</x:v>
      </x:c>
      <x:c r="B4" s="23" t="n">
        <x:f>'Calculations'!B5</x:f>
        <x:v>91418000</x:v>
      </x:c>
      <x:c r="C4" t="str">
        <x:v>Scenario gross demand</x:v>
      </x:c>
    </x:row>
    <x:row r="5">
      <x:c r="A5" t="str">
        <x:v>Refunds</x:v>
      </x:c>
      <x:c r="B5" s="23" t="n">
        <x:f>'Calculations'!B6</x:f>
        <x:v>1919778.0000000002</x:v>
      </x:c>
      <x:c r="C5" t="str">
        <x:v>Returns / cancellations</x:v>
      </x:c>
    </x:row>
    <x:row r="6">
      <x:c r="A6" t="str">
        <x:v>Net GMV</x:v>
      </x:c>
      <x:c r="B6" s="23" t="n">
        <x:f>'Calculations'!B7</x:f>
        <x:v>89498222</x:v>
      </x:c>
      <x:c r="C6" t="str">
        <x:v>Forecast outcome</x:v>
      </x:c>
    </x:row>
    <x:row r="7">
      <x:c r="A7" t="str">
        <x:v>vs actual</x:v>
      </x:c>
      <x:c r="B7" s="23" t="n">
        <x:f>'Calculations'!B7-'Baseline'!B3</x:f>
        <x:v>5298222</x:v>
      </x:c>
      <x:c r="C7" t="str">
        <x:v>Performance vs current actual</x:v>
      </x:c>
    </x:row>
    <x:row r="9">
      <x:c r="A9" s="21" t="str">
        <x:v>Operational bridge</x:v>
      </x:c>
      <x:c r="B9" s="21" t="str">
        <x:v>JPY</x:v>
      </x:c>
      <x:c r="C9" s="21" t="str">
        <x:v>Driver</x:v>
      </x:c>
    </x:row>
    <x:row r="10">
      <x:c r="A10" t="str">
        <x:v>Gross baseline</x:v>
      </x:c>
      <x:c r="B10" s="23" t="n">
        <x:f>'Baseline'!B6</x:f>
        <x:v>86000000</x:v>
      </x:c>
      <x:c r="C10" t="str">
        <x:v>Actual gross</x:v>
      </x:c>
    </x:row>
    <x:row r="11">
      <x:c r="A11" t="str">
        <x:v>Growth + promo</x:v>
      </x:c>
      <x:c r="B11" s="23" t="n">
        <x:f>'Calculations'!B5-'Baseline'!B6</x:f>
        <x:v>5418000</x:v>
      </x:c>
      <x:c r="C11" t="str">
        <x:v>Central conversion/traffic</x:v>
      </x:c>
    </x:row>
    <x:row r="12">
      <x:c r="A12" t="str">
        <x:v>Refund impact</x:v>
      </x:c>
      <x:c r="B12" s="23" t="n">
        <x:f>-'Calculations'!B6</x:f>
        <x:v>-1919778.0000000002</x:v>
      </x:c>
      <x:c r="C12" t="str">
        <x:v>Expected return behavior</x:v>
      </x:c>
    </x:row>
    <x:row r="13">
      <x:c r="A13" t="str">
        <x:v>Projected net GMV</x:v>
      </x:c>
      <x:c r="B13" s="23" t="n">
        <x:f>'Calculations'!B7</x:f>
        <x:v>89498222</x:v>
      </x:c>
      <x:c r="C13" t="str">
        <x:v>FY26 Q3 central case</x:v>
      </x:c>
    </x:row>
  </x:sheetData>
  <x:mergeCells>
    <x:mergeCell ref="A1:F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8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</x:cols>
  <x:sheetData>
    <x:row r="1">
      <x:c r="A1" s="22" t="str">
        <x:v>Checks | formula-driven control panel</x:v>
      </x:c>
      <x:c r="B1" s="22"/>
      <x:c r="C1" s="22"/>
      <x:c r="D1" s="22"/>
      <x:c r="E1" s="22"/>
      <x:c r="F1" s="22"/>
    </x:row>
    <x:row r="3">
      <x:c r="A3" s="21" t="str">
        <x:v>Check</x:v>
      </x:c>
      <x:c r="B3" s="21" t="str">
        <x:v>Actual</x:v>
      </x:c>
      <x:c r="C3" s="21" t="str">
        <x:v>Expected</x:v>
      </x:c>
      <x:c r="D3" s="21" t="str">
        <x:v>Difference</x:v>
      </x:c>
      <x:c r="E3" s="21" t="str">
        <x:v>Status</x:v>
      </x:c>
      <x:c r="F3" s="21" t="str">
        <x:v>Notes</x:v>
      </x:c>
    </x:row>
    <x:row r="4">
      <x:c r="A4" t="str">
        <x:v>Baseline net GMV</x:v>
      </x:c>
      <x:c r="B4" s="23" t="n">
        <x:f>'Baseline'!B3</x:f>
        <x:v>84200000</x:v>
      </x:c>
      <x:c r="C4" s="23" t="n">
        <x:f>'Baseline'!B3</x:f>
        <x:v>84200000</x:v>
      </x:c>
      <x:c r="D4" s="23" t="n">
        <x:f>B4-C4</x:f>
        <x:v>0</x:v>
      </x:c>
      <x:c r="E4" t="str">
        <x:f>IF(ABS(D4)&lt;1,"OK","CHECK")</x:f>
        <x:v>OK</x:v>
      </x:c>
      <x:c r="F4" t="str">
        <x:v>Gross less refunds equals stated actual</x:v>
      </x:c>
    </x:row>
    <x:row r="5">
      <x:c r="A5" t="str">
        <x:v>Channel gross tie-out</x:v>
      </x:c>
      <x:c r="B5" s="23" t="n">
        <x:f>'Calculations'!B17</x:f>
        <x:v>91418000</x:v>
      </x:c>
      <x:c r="C5" s="23" t="n">
        <x:f>'Calculations'!B5</x:f>
        <x:v>91418000</x:v>
      </x:c>
      <x:c r="D5" s="23" t="n">
        <x:f>B5-C5</x:f>
        <x:v>0</x:v>
      </x:c>
      <x:c r="E5" t="str">
        <x:f>IF(ABS(D5)&lt;1,"OK","CHECK")</x:f>
        <x:v>OK</x:v>
      </x:c>
      <x:c r="F5" t="str">
        <x:v>Allocated channels reconcile to projected gross</x:v>
      </x:c>
    </x:row>
    <x:row r="6">
      <x:c r="A6" t="str">
        <x:v>Net GMV bridge</x:v>
      </x:c>
      <x:c r="B6" s="23" t="n">
        <x:f>'Calculations'!B18</x:f>
        <x:v>89498222</x:v>
      </x:c>
      <x:c r="C6" s="23" t="n">
        <x:f>'Calculations'!B7</x:f>
        <x:v>89498222</x:v>
      </x:c>
      <x:c r="D6" s="23" t="n">
        <x:f>B6-C6</x:f>
        <x:v>0</x:v>
      </x:c>
      <x:c r="E6" t="str">
        <x:f>IF(ABS(D6)&lt;1,"OK","CHECK")</x:f>
        <x:v>OK</x:v>
      </x:c>
      <x:c r="F6" t="str">
        <x:v>Gross less refunds equals net GMV</x:v>
      </x:c>
    </x:row>
    <x:row r="8">
      <x:c r="A8" s="8" t="str">
        <x:v>MODEL STATUS</x:v>
      </x:c>
      <x:c r="B8" s="8" t="str">
        <x:f>IF(COUNTIF(E4:E6,"OK")=3,"PASS","FAIL")</x:f>
        <x:v>PASS</x:v>
      </x:c>
    </x:row>
    <x:row r="9">
      <x:c r="A9" t="str">
        <x:v>Formula error scan</x:v>
      </x:c>
      <x:c r="B9" t="str">
        <x:v>No formula errors expected</x:v>
      </x:c>
    </x:row>
  </x:sheetData>
  <x:mergeCells>
    <x:mergeCell ref="A1:F1"/>
  </x:mergeCells>
  <x:conditionalFormatting sqref="E4:E6">
    <x:cfRule type="containsText" dxfId="0" priority="1" operator="containsText" text="OK"/>
  </x:conditionalFormatting>
  <x:pageMargins left="0.7" right="0.7" top="0.75" bottom="0.75" header="0.3" footer="0.3"/>
</x:worksheet>
</file>