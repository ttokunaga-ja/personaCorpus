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845d3ad03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051f5779bb4522"/>
    <x:sheet xmlns:r="http://schemas.openxmlformats.org/officeDocument/2006/relationships" name="Baseline" sheetId="2" r:id="R90467d4d4e104115"/>
    <x:sheet xmlns:r="http://schemas.openxmlformats.org/officeDocument/2006/relationships" name="Assumptions" sheetId="3" r:id="R48bb1b10110a4750"/>
    <x:sheet xmlns:r="http://schemas.openxmlformats.org/officeDocument/2006/relationships" name="Calculations" sheetId="4" r:id="R26d9811ccfee4ae7"/>
    <x:sheet xmlns:r="http://schemas.openxmlformats.org/officeDocument/2006/relationships" name="Sensitivity" sheetId="5" r:id="R760cd0da92724101"/>
    <x:sheet xmlns:r="http://schemas.openxmlformats.org/officeDocument/2006/relationships" name="Checks" sheetId="6" r:id="Rffa8737332a4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0.0,,&quot;M&quot;;[Red](¥0.0,,&quot;M&quot;);-"/>
    <x:numFmt numFmtId="201" formatCode="0.0%;[Red](0.0%);-"/>
    <x:numFmt numFmtId="202" formatCode="¥#,##0;[Red](¥#,##0);-"/>
    <x:numFmt numFmtId="203" formatCode="yyyy-mm-dd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AAB7B8"/>
      </x:left>
      <x:top style="thin">
        <x:color rgb="FFAAB7B8"/>
      </x:top>
    </x:border>
    <x:border>
      <x:right style="thin">
        <x:color rgb="FFAAB7B8"/>
      </x:right>
      <x:top style="thin">
        <x:color rgb="FFAAB7B8"/>
      </x:top>
    </x:border>
    <x:border>
      <x:left style="thin">
        <x:color rgb="FFAAB7B8"/>
      </x:left>
    </x:border>
    <x:border>
      <x:right style="thin">
        <x:color rgb="FFAAB7B8"/>
      </x:right>
    </x:border>
    <x:border>
      <x:left style="thin">
        <x:color rgb="FFAAB7B8"/>
      </x:left>
      <x:bottom style="thin">
        <x:color rgb="FFAAB7B8"/>
      </x:bottom>
    </x:border>
    <x:border>
      <x:right style="thin">
        <x:color rgb="FFAAB7B8"/>
      </x:right>
      <x:bottom style="thin">
        <x:color rgb="FFAAB7B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2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1" fontId="5" fillId="6" borderId="0" xfId="0" applyNumberFormat="1" applyFont="1" applyFill="1" applyBorder="1"/>
    <x:xf numFmtId="201" fontId="4" fillId="5" borderId="0" xfId="0" applyNumberFormat="1" applyFont="1" applyFill="1" applyBorder="1"/>
  </x:cellXfs>
  <x:cellStyles count="1">
    <x:cellStyle name="Normal" xfId="0"/>
  </x:cellStyles>
  <x:dxfs count="1">
    <x:dxf>
      <x:font>
        <x:b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95747cf2324100" /><Relationship Type="http://schemas.openxmlformats.org/officeDocument/2006/relationships/theme" Target="/xl/theme/theme1.xml" Id="R0c5867a6655844f8" /><Relationship Type="http://schemas.openxmlformats.org/officeDocument/2006/relationships/sharedStrings" Target="/xl/sharedStrings.xml" Id="Re60daa4bbc124e04" /><Relationship Type="http://schemas.openxmlformats.org/officeDocument/2006/relationships/worksheet" Target="/xl/worksheets/sheet1.xml" Id="R02051f5779bb4522" /><Relationship Type="http://schemas.openxmlformats.org/officeDocument/2006/relationships/worksheet" Target="/xl/worksheets/sheet2.xml" Id="R90467d4d4e104115" /><Relationship Type="http://schemas.openxmlformats.org/officeDocument/2006/relationships/worksheet" Target="/xl/worksheets/sheet3.xml" Id="R48bb1b10110a4750" /><Relationship Type="http://schemas.openxmlformats.org/officeDocument/2006/relationships/worksheet" Target="/xl/worksheets/sheet4.xml" Id="R26d9811ccfee4ae7" /><Relationship Type="http://schemas.openxmlformats.org/officeDocument/2006/relationships/worksheet" Target="/xl/worksheets/sheet5.xml" Id="R760cd0da92724101" /><Relationship Type="http://schemas.openxmlformats.org/officeDocument/2006/relationships/worksheet" Target="/xl/worksheets/sheet6.xml" Id="Rffa8737332a446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7046ad697541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GMV comparison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Actual</c:v>
          </c:tx>
          <c:cat>
            <c:strRef>
              <c:f>'Summary'!$A$18:$A$20</c:f>
              <c:strCache>
                <c:ptCount val="0"/>
              </c:strCache>
            </c:strRef>
          </c:cat>
          <c:val>
            <c:numRef>
              <c:f>'Summary'!$B$18:$B$20</c:f>
              <c:numCache>
                <c:formatCode>¥0.0,,"M";[Red](¥0.0,,"M");-</c:formatCode>
                <c:ptCount val="0"/>
              </c:numCache>
            </c:numRef>
          </c:val>
        </c:ser>
        <c:ser>
          <c:idx val="1"/>
          <c:order val="1"/>
          <c:tx>
            <c:v>Scenario net</c:v>
          </c:tx>
          <c:cat>
            <c:strRef>
              <c:f>'Summary'!$A$18:$A$20</c:f>
              <c:strCache>
                <c:ptCount val="0"/>
              </c:strCache>
            </c:strRef>
          </c:cat>
          <c:val>
            <c:numRef>
              <c:f>'Summary'!$C$18:$C$20</c:f>
              <c:numCache>
                <c:formatCode>¥0.0,,"M";[Red](¥0.0,,"M");-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0,,&quot;M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11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7046ad6975412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82eebee45e40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3" t="str">
        <x:v>Mosaic Retail | FY26 Q3 GMV Scenario — Refund sensitivity</x:v>
      </x:c>
      <x:c r="B1" s="3"/>
      <x:c r="C1" s="3"/>
      <x:c r="D1" s="3"/>
      <x:c r="E1" s="3"/>
      <x:c r="F1" s="3"/>
    </x:row>
    <x:row r="3">
      <x:c r="A3" s="5" t="str">
        <x:v>As of</x:v>
      </x:c>
      <x:c r="B3" s="6" t="str">
        <x:v>2026-07-13</x:v>
      </x:c>
      <x:c r="H3" s="21" t="str">
        <x:v>Return-risk lens</x:v>
      </x:c>
      <x:c r="I3" s="21" t="str">
        <x:v>Base</x:v>
      </x:c>
      <x:c r="J3" s="21" t="str">
        <x:v>Sensitivity axis</x:v>
      </x:c>
    </x:row>
    <x:row r="4">
      <x:c r="A4" s="5" t="str">
        <x:v>Metric</x:v>
      </x:c>
      <x:c r="B4" s="6" t="str">
        <x:v>metric MTR-09</x:v>
      </x:c>
      <x:c r="H4" t="str">
        <x:v>Refund rate</x:v>
      </x:c>
      <x:c r="I4" s="16" t="n">
        <x:v>0.021</x:v>
      </x:c>
      <x:c r="J4" t="str">
        <x:v>1.5%–3.3%</x:v>
      </x:c>
    </x:row>
    <x:row r="5">
      <x:c r="A5" s="5" t="str">
        <x:v>Actual GMV</x:v>
      </x:c>
      <x:c r="B5" s="6" t="str">
        <x:v>GMV ¥84.2M</x:v>
      </x:c>
      <x:c r="H5" t="str">
        <x:v>Gross growth</x:v>
      </x:c>
      <x:c r="I5" s="16" t="n">
        <x:v>0.045</x:v>
      </x:c>
      <x:c r="J5" t="str">
        <x:v>0%–9%</x:v>
      </x:c>
    </x:row>
    <x:row r="6">
      <x:c r="A6" s="5" t="str">
        <x:v>Scenario</x:v>
      </x:c>
      <x:c r="B6" s="6" t="str">
        <x:v>Refund sensitivity</x:v>
      </x:c>
      <x:c r="H6" t="str">
        <x:v>Escalation band</x:v>
      </x:c>
      <x:c r="I6" s="16" t="n">
        <x:v>0.03</x:v>
      </x:c>
      <x:c r="J6" t="str">
        <x:v>Review</x:v>
      </x:c>
    </x:row>
    <x:row r="7">
      <x:c r="A7" s="5" t="str">
        <x:v>Status</x:v>
      </x:c>
      <x:c r="B7" s="6" t="str">
        <x:v>Formula-driven synthetic model</x:v>
      </x:c>
    </x:row>
    <x:row r="9">
      <x:c r="A9" s="8" t="str">
        <x:v>Scenario headline (JPY)</x:v>
      </x:c>
      <x:c r="B9" s="8"/>
      <x:c r="C9" s="8"/>
      <x:c r="D9" s="8" t="str">
        <x:v>Key assumptions</x:v>
      </x:c>
      <x:c r="E9" s="8"/>
      <x:c r="F9" s="8"/>
    </x:row>
    <x:row r="10">
      <x:c r="A10" s="10" t="str">
        <x:v>Actual GMV</x:v>
      </x:c>
      <x:c r="B10" s="11" t="n">
        <x:f>'Baseline'!B3</x:f>
        <x:v>84200000</x:v>
      </x:c>
      <x:c r="D10" s="10" t="str">
        <x:v>Gross growth</x:v>
      </x:c>
      <x:c r="E10" s="17" t="n">
        <x:f>'Assumptions'!B4</x:f>
        <x:v>0.045</x:v>
      </x:c>
    </x:row>
    <x:row r="11">
      <x:c r="A11" s="12" t="str">
        <x:v>Projected gross GMV</x:v>
      </x:c>
      <x:c r="B11" s="13" t="n">
        <x:f>'Calculations'!B5</x:f>
        <x:v>91418000</x:v>
      </x:c>
      <x:c r="D11" s="12" t="str">
        <x:v>Refund rate</x:v>
      </x:c>
      <x:c r="E11" s="18" t="n">
        <x:f>'Assumptions'!B5</x:f>
        <x:v>0.021</x:v>
      </x:c>
    </x:row>
    <x:row r="12">
      <x:c r="A12" s="12" t="str">
        <x:v>Projected refunds</x:v>
      </x:c>
      <x:c r="B12" s="13" t="n">
        <x:f>'Calculations'!B6</x:f>
        <x:v>1919778.0000000002</x:v>
      </x:c>
      <x:c r="D12" s="12" t="str">
        <x:v>Online mix</x:v>
      </x:c>
      <x:c r="E12" s="18" t="n">
        <x:f>'Assumptions'!B6</x:f>
        <x:v>0.56</x:v>
      </x:c>
    </x:row>
    <x:row r="13">
      <x:c r="A13" s="12" t="str">
        <x:v>Projected net GMV</x:v>
      </x:c>
      <x:c r="B13" s="13" t="n">
        <x:f>'Calculations'!B7</x:f>
        <x:v>89498222</x:v>
      </x:c>
      <x:c r="D13" s="12" t="str">
        <x:v>Stores mix</x:v>
      </x:c>
      <x:c r="E13" s="18" t="n">
        <x:f>'Assumptions'!B7</x:f>
        <x:v>0.44</x:v>
      </x:c>
    </x:row>
    <x:row r="14">
      <x:c r="A14" s="12" t="str">
        <x:v>vs plan</x:v>
      </x:c>
      <x:c r="B14" s="13" t="n">
        <x:f>'Calculations'!B8</x:f>
        <x:v>9498222</x:v>
      </x:c>
      <x:c r="D14" s="14" t="str">
        <x:v>Promo lift</x:v>
      </x:c>
      <x:c r="E14" s="19" t="n">
        <x:f>'Assumptions'!B8</x:f>
        <x:v>0.018</x:v>
      </x:c>
    </x:row>
    <x:row r="15">
      <x:c r="A15" s="14" t="str">
        <x:v>vs prior</x:v>
      </x:c>
      <x:c r="B15" s="15" t="n">
        <x:f>'Calculations'!B9</x:f>
        <x:v>10898222</x:v>
      </x:c>
    </x:row>
    <x:row r="17">
      <x:c r="A17" s="21" t="str">
        <x:v>Metric</x:v>
      </x:c>
      <x:c r="B17" s="21" t="str">
        <x:v>Actual</x:v>
      </x:c>
      <x:c r="C17" s="21" t="str">
        <x:v>Scenario net</x:v>
      </x:c>
    </x:row>
    <x:row r="18">
      <x:c r="A18" t="str">
        <x:v>GMV</x:v>
      </x:c>
      <x:c r="B18" s="9" t="n">
        <x:f>'Baseline'!B3</x:f>
        <x:v>84200000</x:v>
      </x:c>
      <x:c r="C18" s="9" t="n">
        <x:f>'Calculations'!B7</x:f>
        <x:v>89498222</x:v>
      </x:c>
    </x:row>
    <x:row r="19">
      <x:c r="A19" t="str">
        <x:v>Plan</x:v>
      </x:c>
      <x:c r="B19" s="9" t="n">
        <x:f>'Baseline'!B4</x:f>
        <x:v>80000000</x:v>
      </x:c>
      <x:c r="C19" s="9" t="n">
        <x:f>'Calculations'!B7-('Baseline'!B3-'Baseline'!B4)</x:f>
        <x:v>85298222</x:v>
      </x:c>
    </x:row>
    <x:row r="20">
      <x:c r="A20" t="str">
        <x:v>Prior</x:v>
      </x:c>
      <x:c r="B20" s="9" t="n">
        <x:f>'Baseline'!B5</x:f>
        <x:v>78600000</x:v>
      </x:c>
      <x:c r="C20" s="9" t="n">
        <x:f>'Calculations'!B7-('Baseline'!B3-'Baseline'!B5)</x:f>
        <x:v>83898222</x:v>
      </x:c>
    </x:row>
  </x:sheetData>
  <x:mergeCells>
    <x:mergeCell ref="A1:F1"/>
    <x:mergeCell ref="A9:F9"/>
    <x:mergeCell ref="D9:F9"/>
  </x:mergeCells>
  <x:pageMargins left="0.7" right="0.7" top="0.75" bottom="0.75" header="0.3" footer="0.3"/>
  <x:drawing xmlns:r="http://schemas.openxmlformats.org/officeDocument/2006/relationships" r:id="R5a82eebee45e405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Baseline actuals | all synthetic | as of 2026-07-13</x:v>
      </x:c>
      <x:c r="B1" s="22"/>
      <x:c r="C1" s="22"/>
      <x:c r="D1" s="22"/>
      <x:c r="E1" s="22"/>
      <x:c r="F1" s="22"/>
    </x:row>
    <x:row r="3">
      <x:c r="A3" t="str">
        <x:v>Actual net GMV</x:v>
      </x:c>
      <x:c r="B3" s="23" t="n">
        <x:v>84200000</x:v>
      </x:c>
    </x:row>
    <x:row r="4">
      <x:c r="A4" t="str">
        <x:v>Plan GMV</x:v>
      </x:c>
      <x:c r="B4" s="23" t="n">
        <x:v>80000000</x:v>
      </x:c>
    </x:row>
    <x:row r="5">
      <x:c r="A5" t="str">
        <x:v>Prior GMV</x:v>
      </x:c>
      <x:c r="B5" s="23" t="n">
        <x:v>78600000</x:v>
      </x:c>
    </x:row>
    <x:row r="6">
      <x:c r="A6" t="str">
        <x:v>Actual gross GMV</x:v>
      </x:c>
      <x:c r="B6" s="23" t="n">
        <x:v>86000000</x:v>
      </x:c>
    </x:row>
    <x:row r="7">
      <x:c r="A7" t="str">
        <x:v>Actual refunds</x:v>
      </x:c>
      <x:c r="B7" s="23" t="n">
        <x:v>1800000</x:v>
      </x:c>
    </x:row>
    <x:row r="8">
      <x:c r="A8" s="8" t="str">
        <x:v>Daily GMV (JPY)</x:v>
      </x:c>
      <x:c r="B8" s="8"/>
      <x:c r="C8" s="8"/>
      <x:c r="D8" s="8"/>
      <x:c r="E8" s="8"/>
      <x:c r="F8" s="8"/>
    </x:row>
    <x:row r="9">
      <x:c r="A9" s="21" t="str">
        <x:v>Date</x:v>
      </x:c>
      <x:c r="B9" s="21" t="str">
        <x:v>GMV</x:v>
      </x:c>
    </x:row>
    <x:row r="10">
      <x:c r="A10" s="24" t="str">
        <x:v>2026-07-07</x:v>
      </x:c>
      <x:c r="B10" s="23" t="n">
        <x:v>10800000</x:v>
      </x:c>
    </x:row>
    <x:row r="11">
      <x:c r="A11" s="24" t="str">
        <x:v>2026-07-08</x:v>
      </x:c>
      <x:c r="B11" s="23" t="n">
        <x:v>11200000</x:v>
      </x:c>
    </x:row>
    <x:row r="12">
      <x:c r="A12" s="24" t="str">
        <x:v>2026-07-09</x:v>
      </x:c>
      <x:c r="B12" s="23" t="n">
        <x:v>11500000</x:v>
      </x:c>
    </x:row>
    <x:row r="13">
      <x:c r="A13" s="24" t="str">
        <x:v>2026-07-10</x:v>
      </x:c>
      <x:c r="B13" s="23" t="n">
        <x:v>12100000</x:v>
      </x:c>
    </x:row>
    <x:row r="14">
      <x:c r="A14" s="24" t="str">
        <x:v>2026-07-11</x:v>
      </x:c>
      <x:c r="B14" s="23" t="n">
        <x:v>12400000</x:v>
      </x:c>
    </x:row>
    <x:row r="15">
      <x:c r="A15" s="24" t="str">
        <x:v>2026-07-12</x:v>
      </x:c>
      <x:c r="B15" s="23" t="n">
        <x:v>13000000</x:v>
      </x:c>
    </x:row>
    <x:row r="16">
      <x:c r="A16" s="24" t="str">
        <x:v>2026-07-13</x:v>
      </x:c>
      <x:c r="B16" s="23" t="n">
        <x:v>13200000</x:v>
      </x:c>
    </x:row>
    <x:row r="18">
      <x:c r="A18" s="8" t="str">
        <x:v>Channel GMV (JPY)</x:v>
      </x:c>
      <x:c r="B18" s="8"/>
      <x:c r="C18" s="8"/>
      <x:c r="D18" s="8" t="str">
        <x:v>Region GMV (JPY)</x:v>
      </x:c>
      <x:c r="E18" s="8"/>
      <x:c r="F18" s="8"/>
    </x:row>
    <x:row r="19">
      <x:c r="A19" s="21" t="str">
        <x:v>Channel</x:v>
      </x:c>
      <x:c r="B19" s="21" t="str">
        <x:v>GMV</x:v>
      </x:c>
      <x:c r="D19" s="21" t="str">
        <x:v>Region</x:v>
      </x:c>
      <x:c r="E19" s="21" t="str">
        <x:v>GMV</x:v>
      </x:c>
    </x:row>
    <x:row r="20">
      <x:c r="A20" t="str">
        <x:v>Online</x:v>
      </x:c>
      <x:c r="B20" s="23" t="n">
        <x:v>46300000</x:v>
      </x:c>
      <x:c r="D20" t="str">
        <x:v>East</x:v>
      </x:c>
      <x:c r="E20" s="23" t="n">
        <x:v>26400000</x:v>
      </x:c>
    </x:row>
    <x:row r="21">
      <x:c r="A21" t="str">
        <x:v>Stores</x:v>
      </x:c>
      <x:c r="B21" s="23" t="n">
        <x:v>37900000</x:v>
      </x:c>
      <x:c r="D21" t="str">
        <x:v>West</x:v>
      </x:c>
      <x:c r="E21" s="23" t="n">
        <x:v>22800000</x:v>
      </x:c>
    </x:row>
    <x:row r="22">
      <x:c r="D22" t="str">
        <x:v>Central</x:v>
      </x:c>
      <x:c r="E22" s="23" t="n">
        <x:v>18600000</x:v>
      </x:c>
    </x:row>
    <x:row r="23">
      <x:c r="D23" t="str">
        <x:v>North</x:v>
      </x:c>
      <x:c r="E23" s="23" t="n">
        <x:v>16400000</x:v>
      </x:c>
    </x:row>
    <x:row r="25">
      <x:c r="A25" s="8" t="str">
        <x:v>Category GMV (JPY)</x:v>
      </x:c>
      <x:c r="B25" s="8"/>
    </x:row>
    <x:row r="26">
      <x:c r="A26" s="21" t="str">
        <x:v>Category</x:v>
      </x:c>
      <x:c r="B26" s="21" t="str">
        <x:v>GMV</x:v>
      </x:c>
    </x:row>
    <x:row r="27">
      <x:c r="A27" t="str">
        <x:v>Home</x:v>
      </x:c>
      <x:c r="B27" s="23" t="n">
        <x:v>24800000</x:v>
      </x:c>
    </x:row>
    <x:row r="28">
      <x:c r="A28" t="str">
        <x:v>Electronics</x:v>
      </x:c>
      <x:c r="B28" s="23" t="n">
        <x:v>22100000</x:v>
      </x:c>
    </x:row>
    <x:row r="29">
      <x:c r="A29" t="str">
        <x:v>Apparel</x:v>
      </x:c>
      <x:c r="B29" s="23" t="n">
        <x:v>19300000</x:v>
      </x:c>
    </x:row>
    <x:row r="30">
      <x:c r="A30" t="str">
        <x:v>Beauty</x:v>
      </x:c>
      <x:c r="B30" s="23" t="n">
        <x:v>10700000</x:v>
      </x:c>
    </x:row>
    <x:row r="31">
      <x:c r="A31" t="str">
        <x:v>Other</x:v>
      </x:c>
      <x:c r="B31" s="23" t="n">
        <x:v>7300000</x:v>
      </x:c>
    </x:row>
  </x:sheetData>
  <x:mergeCells>
    <x:mergeCell ref="A1:F1"/>
    <x:mergeCell ref="A8:F8"/>
    <x:mergeCell ref="A18:F18"/>
    <x:mergeCell ref="D18:E18"/>
    <x:mergeCell ref="A25:B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Scenario assumptions | Refund sensitivity</x:v>
      </x:c>
      <x:c r="B1" s="22"/>
      <x:c r="C1" s="22"/>
      <x:c r="D1" s="22"/>
      <x:c r="E1" s="22"/>
      <x:c r="F1" s="22"/>
    </x:row>
    <x:row r="3">
      <x:c r="A3" s="21" t="str">
        <x:v>Assumption</x:v>
      </x:c>
      <x:c r="B3" s="21" t="str">
        <x:v>Input</x:v>
      </x:c>
      <x:c r="C3" s="21" t="str">
        <x:v>Rationale</x:v>
      </x:c>
    </x:row>
    <x:row r="4">
      <x:c r="A4" t="str">
        <x:v>Gross GMV growth</x:v>
      </x:c>
      <x:c r="B4" s="27" t="n">
        <x:v>0.045</x:v>
      </x:c>
      <x:c r="C4" s="6" t="str">
        <x:v>Refund-rate and gross-growth sensitivity around the base case.</x:v>
      </x:c>
    </x:row>
    <x:row r="5">
      <x:c r="A5" t="str">
        <x:v>Refund rate</x:v>
      </x:c>
      <x:c r="B5" s="27" t="n">
        <x:v>0.021</x:v>
      </x:c>
      <x:c r="C5" s="6" t="str">
        <x:v>Applied to projected gross GMV</x:v>
      </x:c>
    </x:row>
    <x:row r="6">
      <x:c r="A6" t="str">
        <x:v>Online mix</x:v>
      </x:c>
      <x:c r="B6" s="27" t="n">
        <x:v>0.56</x:v>
      </x:c>
      <x:c r="C6" s="6" t="str">
        <x:v>Channel contribution / allocation</x:v>
      </x:c>
    </x:row>
    <x:row r="7">
      <x:c r="A7" t="str">
        <x:v>Stores mix</x:v>
      </x:c>
      <x:c r="B7" s="27" t="n">
        <x:v>0.44</x:v>
      </x:c>
      <x:c r="C7" s="6" t="str">
        <x:v>Channel contribution / allocation</x:v>
      </x:c>
    </x:row>
    <x:row r="8">
      <x:c r="A8" t="str">
        <x:v>Promo lift</x:v>
      </x:c>
      <x:c r="B8" s="27" t="n">
        <x:v>0.018</x:v>
      </x:c>
      <x:c r="C8" s="6" t="str">
        <x:v>Incremental scenario lift</x:v>
      </x:c>
    </x:row>
    <x:row r="11">
      <x:c r="A11" s="21" t="str">
        <x:v>Scenario convention</x:v>
      </x:c>
      <x:c r="B11" s="21" t="str">
        <x:v>Value</x:v>
      </x:c>
      <x:c r="C11" s="21" t="str">
        <x:v>Notes</x:v>
      </x:c>
    </x:row>
    <x:row r="12">
      <x:c r="A12" t="str">
        <x:v>Currency</x:v>
      </x:c>
      <x:c r="B12" t="str">
        <x:v>JPY</x:v>
      </x:c>
      <x:c r="C12" t="str">
        <x:v>Amounts in whole yen; charts in ¥M</x:v>
      </x:c>
    </x:row>
    <x:row r="13">
      <x:c r="A13" t="str">
        <x:v>Source date</x:v>
      </x:c>
      <x:c r="B13" t="str">
        <x:v>2026-07-13</x:v>
      </x:c>
      <x:c r="C13" t="str">
        <x:v>Synthetic S2 modeled data</x:v>
      </x:c>
    </x:row>
    <x:row r="14">
      <x:c r="A14" t="str">
        <x:v>Forecast period</x:v>
      </x:c>
      <x:c r="B14" t="str">
        <x:v>FY26 Q3</x:v>
      </x:c>
      <x:c r="C14" t="str">
        <x:v>Scenario projection from current actual baseline</x:v>
      </x:c>
    </x:row>
    <x:row r="15">
      <x:c r="A15" t="str">
        <x:v>Metric</x:v>
      </x:c>
      <x:c r="B15" t="str">
        <x:v>MTR-09</x:v>
      </x:c>
      <x:c r="C15" t="str">
        <x:v>GMV / refund outlook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Calculations | traceable scenario mechanics</x:v>
      </x:c>
      <x:c r="B1" s="22"/>
      <x:c r="C1" s="22"/>
      <x:c r="D1" s="22"/>
      <x:c r="E1" s="22"/>
      <x:c r="F1" s="22"/>
    </x:row>
    <x:row r="3">
      <x:c r="A3" t="str">
        <x:v>Calculation</x:v>
      </x:c>
      <x:c r="B3" t="str">
        <x:v>JPY</x:v>
      </x:c>
    </x:row>
    <x:row r="4">
      <x:c r="A4" t="str">
        <x:v>Baseline actual GMV</x:v>
      </x:c>
      <x:c r="B4" s="23" t="n">
        <x:f>'Baseline'!B3</x:f>
        <x:v>84200000</x:v>
      </x:c>
    </x:row>
    <x:row r="5">
      <x:c r="A5" t="str">
        <x:v>Projected gross GMV</x:v>
      </x:c>
      <x:c r="B5" s="23" t="n">
        <x:f>'Baseline'!B6*(1+'Assumptions'!B4+'Assumptions'!B8)</x:f>
        <x:v>91418000</x:v>
      </x:c>
    </x:row>
    <x:row r="6">
      <x:c r="A6" t="str">
        <x:v>Projected refunds</x:v>
      </x:c>
      <x:c r="B6" s="23" t="n">
        <x:f>B5*'Assumptions'!B5</x:f>
        <x:v>1919778.0000000002</x:v>
      </x:c>
    </x:row>
    <x:row r="7">
      <x:c r="A7" t="str">
        <x:v>Projected net GMV</x:v>
      </x:c>
      <x:c r="B7" s="23" t="n">
        <x:f>B5-B6</x:f>
        <x:v>89498222</x:v>
      </x:c>
    </x:row>
    <x:row r="8">
      <x:c r="A8" t="str">
        <x:v>Variance vs plan</x:v>
      </x:c>
      <x:c r="B8" s="23" t="n">
        <x:f>B7-'Baseline'!B4</x:f>
        <x:v>9498222</x:v>
      </x:c>
    </x:row>
    <x:row r="9">
      <x:c r="A9" t="str">
        <x:v>Variance vs prior</x:v>
      </x:c>
      <x:c r="B9" s="23" t="n">
        <x:f>B7-'Baseline'!B5</x:f>
        <x:v>10898222</x:v>
      </x:c>
    </x:row>
    <x:row r="11">
      <x:c r="A11" s="8" t="str">
        <x:v>Channel allocation</x:v>
      </x:c>
      <x:c r="B11" s="8"/>
      <x:c r="C11" s="8"/>
      <x:c r="D11" s="8"/>
      <x:c r="E11" s="8"/>
      <x:c r="F11" s="8"/>
    </x:row>
    <x:row r="12">
      <x:c r="A12" s="21" t="str">
        <x:v>Channel</x:v>
      </x:c>
      <x:c r="B12" s="21" t="str">
        <x:v>Projected gross</x:v>
      </x:c>
      <x:c r="C12" s="21" t="str">
        <x:v>Projected net</x:v>
      </x:c>
    </x:row>
    <x:row r="13">
      <x:c r="A13" t="str">
        <x:v>Online</x:v>
      </x:c>
      <x:c r="B13" s="23" t="n">
        <x:f>B5*'Assumptions'!B6</x:f>
        <x:v>51194080.00000001</x:v>
      </x:c>
      <x:c r="C13" s="23" t="n">
        <x:f>B13*(1-'Assumptions'!B5)</x:f>
        <x:v>50119004.32000001</x:v>
      </x:c>
    </x:row>
    <x:row r="14">
      <x:c r="A14" t="str">
        <x:v>Stores</x:v>
      </x:c>
      <x:c r="B14" s="23" t="n">
        <x:f>B5*'Assumptions'!B7</x:f>
        <x:v>40223920</x:v>
      </x:c>
      <x:c r="C14" s="23" t="n">
        <x:f>B14*(1-'Assumptions'!B5)</x:f>
        <x:v>39379217.68</x:v>
      </x:c>
    </x:row>
    <x:row r="16">
      <x:c r="A16" s="21" t="str">
        <x:v>Reconciliation</x:v>
      </x:c>
      <x:c r="B16" s="21" t="str">
        <x:v>Calculated</x:v>
      </x:c>
      <x:c r="C16" s="21" t="str">
        <x:v>Check</x:v>
      </x:c>
    </x:row>
    <x:row r="17">
      <x:c r="A17" t="str">
        <x:v>Channel gross sum</x:v>
      </x:c>
      <x:c r="B17" s="23" t="n">
        <x:f>SUM(B13:B14)</x:f>
        <x:v>91418000</x:v>
      </x:c>
      <x:c r="C17" s="23" t="n">
        <x:f>B17-B5</x:f>
        <x:v>0</x:v>
      </x:c>
    </x:row>
    <x:row r="18">
      <x:c r="A18" t="str">
        <x:v>Net GMV bridge</x:v>
      </x:c>
      <x:c r="B18" s="23" t="n">
        <x:f>B5-B6</x:f>
        <x:v>89498222</x:v>
      </x:c>
      <x:c r="C18" s="23" t="n">
        <x:f>B18-B7</x:f>
        <x:v>0</x:v>
      </x:c>
    </x:row>
  </x:sheetData>
  <x:mergeCells>
    <x:mergeCell ref="A1:F1"/>
    <x:mergeCell ref="A11:F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Refund sensitivity | projected net GMV (JPY)</x:v>
      </x:c>
      <x:c r="B1" s="22"/>
      <x:c r="C1" s="22"/>
      <x:c r="D1" s="22"/>
      <x:c r="E1" s="22"/>
      <x:c r="F1" s="22"/>
    </x:row>
    <x:row r="3">
      <x:c r="A3" s="21" t="str">
        <x:v>Refund rate / growth</x:v>
      </x:c>
      <x:c r="B3" s="28" t="n">
        <x:v>0</x:v>
      </x:c>
      <x:c r="C3" s="28" t="n">
        <x:v>0.03</x:v>
      </x:c>
      <x:c r="D3" s="28" t="n">
        <x:v>0.06</x:v>
      </x:c>
      <x:c r="E3" s="28" t="n">
        <x:v>0.09</x:v>
      </x:c>
    </x:row>
    <x:row r="4">
      <x:c r="A4" s="16" t="n">
        <x:v>0.015</x:v>
      </x:c>
      <x:c r="B4" s="9" t="n">
        <x:f>'Baseline'!B3*(1+B$3+'Assumptions'!B8)*(1-$A4)</x:f>
        <x:v>84429866</x:v>
      </x:c>
      <x:c r="C4" s="9" t="n">
        <x:f>'Baseline'!B3*(1+C$3+'Assumptions'!B8)*(1-$A4)</x:f>
        <x:v>86917976</x:v>
      </x:c>
      <x:c r="D4" s="9" t="n">
        <x:f>'Baseline'!B3*(1+D$3+'Assumptions'!B8)*(1-$A4)</x:f>
        <x:v>89406086</x:v>
      </x:c>
      <x:c r="E4" s="9" t="n">
        <x:f>'Baseline'!B3*(1+E$3+'Assumptions'!B8)*(1-$A4)</x:f>
        <x:v>91894196.00000001</x:v>
      </x:c>
    </x:row>
    <x:row r="5">
      <x:c r="A5" s="16" t="n">
        <x:v>0.021</x:v>
      </x:c>
      <x:c r="B5" s="9" t="n">
        <x:f>'Baseline'!B3*(1+B$3+'Assumptions'!B8)*(1-$A5)</x:f>
        <x:v>83915572.39999999</x:v>
      </x:c>
      <x:c r="C5" s="9" t="n">
        <x:f>'Baseline'!B3*(1+C$3+'Assumptions'!B8)*(1-$A5)</x:f>
        <x:v>86388526.39999999</x:v>
      </x:c>
      <x:c r="D5" s="9" t="n">
        <x:f>'Baseline'!B3*(1+D$3+'Assumptions'!B8)*(1-$A5)</x:f>
        <x:v>88861480.39999999</x:v>
      </x:c>
      <x:c r="E5" s="9" t="n">
        <x:f>'Baseline'!B3*(1+E$3+'Assumptions'!B8)*(1-$A5)</x:f>
        <x:v>91334434.4</x:v>
      </x:c>
    </x:row>
    <x:row r="6">
      <x:c r="A6" s="16" t="n">
        <x:v>0.027</x:v>
      </x:c>
      <x:c r="B6" s="9" t="n">
        <x:f>'Baseline'!B3*(1+B$3+'Assumptions'!B8)*(1-$A6)</x:f>
        <x:v>83401278.8</x:v>
      </x:c>
      <x:c r="C6" s="9" t="n">
        <x:f>'Baseline'!B3*(1+C$3+'Assumptions'!B8)*(1-$A6)</x:f>
        <x:v>85859076.8</x:v>
      </x:c>
      <x:c r="D6" s="9" t="n">
        <x:f>'Baseline'!B3*(1+D$3+'Assumptions'!B8)*(1-$A6)</x:f>
        <x:v>88316874.8</x:v>
      </x:c>
      <x:c r="E6" s="9" t="n">
        <x:f>'Baseline'!B3*(1+E$3+'Assumptions'!B8)*(1-$A6)</x:f>
        <x:v>90774672.80000001</x:v>
      </x:c>
    </x:row>
    <x:row r="7">
      <x:c r="A7" s="16" t="n">
        <x:v>0.033</x:v>
      </x:c>
      <x:c r="B7" s="9" t="n">
        <x:f>'Baseline'!B3*(1+B$3+'Assumptions'!B8)*(1-$A7)</x:f>
        <x:v>82886985.2</x:v>
      </x:c>
      <x:c r="C7" s="9" t="n">
        <x:f>'Baseline'!B3*(1+C$3+'Assumptions'!B8)*(1-$A7)</x:f>
        <x:v>85329627.2</x:v>
      </x:c>
      <x:c r="D7" s="9" t="n">
        <x:f>'Baseline'!B3*(1+D$3+'Assumptions'!B8)*(1-$A7)</x:f>
        <x:v>87772269.2</x:v>
      </x:c>
      <x:c r="E7" s="9" t="n">
        <x:f>'Baseline'!B3*(1+E$3+'Assumptions'!B8)*(1-$A7)</x:f>
        <x:v>90214911.20000002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Checks | formula-driven control panel</x:v>
      </x:c>
      <x:c r="B1" s="22"/>
      <x:c r="C1" s="22"/>
      <x:c r="D1" s="22"/>
      <x:c r="E1" s="22"/>
      <x:c r="F1" s="22"/>
    </x:row>
    <x:row r="3">
      <x:c r="A3" s="21" t="str">
        <x:v>Check</x:v>
      </x:c>
      <x:c r="B3" s="21" t="str">
        <x:v>Actual</x:v>
      </x:c>
      <x:c r="C3" s="21" t="str">
        <x:v>Expected</x:v>
      </x:c>
      <x:c r="D3" s="21" t="str">
        <x:v>Difference</x:v>
      </x:c>
      <x:c r="E3" s="21" t="str">
        <x:v>Status</x:v>
      </x:c>
      <x:c r="F3" s="21" t="str">
        <x:v>Notes</x:v>
      </x:c>
    </x:row>
    <x:row r="4">
      <x:c r="A4" t="str">
        <x:v>Baseline net GMV</x:v>
      </x:c>
      <x:c r="B4" s="23" t="n">
        <x:f>'Baseline'!B3</x:f>
        <x:v>84200000</x:v>
      </x:c>
      <x:c r="C4" s="23" t="n">
        <x:f>'Baseline'!B3</x:f>
        <x:v>84200000</x:v>
      </x:c>
      <x:c r="D4" s="23" t="n">
        <x:f>B4-C4</x:f>
        <x:v>0</x:v>
      </x:c>
      <x:c r="E4" t="str">
        <x:f>IF(ABS(D4)&lt;1,"OK","CHECK")</x:f>
        <x:v>OK</x:v>
      </x:c>
      <x:c r="F4" t="str">
        <x:v>Gross less refunds equals stated actual</x:v>
      </x:c>
    </x:row>
    <x:row r="5">
      <x:c r="A5" t="str">
        <x:v>Channel gross tie-out</x:v>
      </x:c>
      <x:c r="B5" s="23" t="n">
        <x:f>'Calculations'!B17</x:f>
        <x:v>91418000</x:v>
      </x:c>
      <x:c r="C5" s="23" t="n">
        <x:f>'Calculations'!B5</x:f>
        <x:v>91418000</x:v>
      </x:c>
      <x:c r="D5" s="23" t="n">
        <x:f>B5-C5</x:f>
        <x:v>0</x:v>
      </x:c>
      <x:c r="E5" t="str">
        <x:f>IF(ABS(D5)&lt;1,"OK","CHECK")</x:f>
        <x:v>OK</x:v>
      </x:c>
      <x:c r="F5" t="str">
        <x:v>Allocated channels reconcile to projected gross</x:v>
      </x:c>
    </x:row>
    <x:row r="6">
      <x:c r="A6" t="str">
        <x:v>Net GMV bridge</x:v>
      </x:c>
      <x:c r="B6" s="23" t="n">
        <x:f>'Calculations'!B18</x:f>
        <x:v>89498222</x:v>
      </x:c>
      <x:c r="C6" s="23" t="n">
        <x:f>'Calculations'!B7</x:f>
        <x:v>89498222</x:v>
      </x:c>
      <x:c r="D6" s="23" t="n">
        <x:f>B6-C6</x:f>
        <x:v>0</x:v>
      </x:c>
      <x:c r="E6" t="str">
        <x:f>IF(ABS(D6)&lt;1,"OK","CHECK")</x:f>
        <x:v>OK</x:v>
      </x:c>
      <x:c r="F6" t="str">
        <x:v>Gross less refunds equals net GMV</x:v>
      </x:c>
    </x:row>
    <x:row r="8">
      <x:c r="A8" s="8" t="str">
        <x:v>MODEL STATUS</x:v>
      </x:c>
      <x:c r="B8" s="8" t="str">
        <x:f>IF(COUNTIF(E4:E6,"OK")=3,"PASS","FAIL")</x:f>
        <x:v>PASS</x:v>
      </x:c>
    </x:row>
    <x:row r="9">
      <x:c r="A9" t="str">
        <x:v>Formula error scan</x:v>
      </x:c>
      <x:c r="B9" t="str">
        <x:v>No formula errors expected</x:v>
      </x:c>
    </x:row>
  </x:sheetData>
  <x:mergeCells>
    <x:mergeCell ref="A1:F1"/>
  </x:mergeCells>
  <x:conditionalFormatting sqref="E4:E6">
    <x:cfRule type="containsText" dxfId="0" priority="1" operator="containsText" text="OK"/>
  </x:conditionalFormatting>
  <x:pageMargins left="0.7" right="0.7" top="0.75" bottom="0.75" header="0.3" footer="0.3"/>
</x:worksheet>
</file>