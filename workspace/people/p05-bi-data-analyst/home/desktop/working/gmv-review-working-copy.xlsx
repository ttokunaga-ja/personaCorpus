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6a42f2e03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2105b20d3b14272"/>
    <x:sheet xmlns:r="http://schemas.openxmlformats.org/officeDocument/2006/relationships" name="Raw Daily" sheetId="2" r:id="R18fa9e80231b4144"/>
    <x:sheet xmlns:r="http://schemas.openxmlformats.org/officeDocument/2006/relationships" name="Assumptions" sheetId="3" r:id="R2813d2d3457c4ad4"/>
    <x:sheet xmlns:r="http://schemas.openxmlformats.org/officeDocument/2006/relationships" name="Checks" sheetId="4" r:id="R0030476bce63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%"/>
    <x:numFmt numFmtId="202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fc3c1b5774f99" /><Relationship Type="http://schemas.openxmlformats.org/officeDocument/2006/relationships/theme" Target="/xl/theme/theme1.xml" Id="R0b8252c18dd94c94" /><Relationship Type="http://schemas.openxmlformats.org/officeDocument/2006/relationships/sharedStrings" Target="/xl/sharedStrings.xml" Id="Rf07e1e8ea15f4d7c" /><Relationship Type="http://schemas.openxmlformats.org/officeDocument/2006/relationships/worksheet" Target="/xl/worksheets/sheet1.xml" Id="Rf2105b20d3b14272" /><Relationship Type="http://schemas.openxmlformats.org/officeDocument/2006/relationships/worksheet" Target="/xl/worksheets/sheet2.xml" Id="R18fa9e80231b4144" /><Relationship Type="http://schemas.openxmlformats.org/officeDocument/2006/relationships/worksheet" Target="/xl/worksheets/sheet3.xml" Id="R2813d2d3457c4ad4" /><Relationship Type="http://schemas.openxmlformats.org/officeDocument/2006/relationships/worksheet" Target="/xl/worksheets/sheet4.xml" Id="R0030476bce6348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MTR-09 GMV Review | Working Copy</x:v>
      </x:c>
      <x:c r="B1" s="4"/>
      <x:c r="C1" s="4"/>
      <x:c r="D1" s="4"/>
      <x:c r="E1" s="4"/>
      <x:c r="F1" s="4"/>
      <x:c r="G1" s="4"/>
      <x:c r="H1" s="4"/>
    </x:row>
    <x:row r="3">
      <x:c r="A3" s="6" t="str">
        <x:v>Metric definition</x:v>
      </x:c>
      <x:c r="B3" s="7" t="str">
        <x:v>Completed order-line merchandise value, tax excluded, net of recognized refunds; JPY</x:v>
      </x:c>
    </x:row>
    <x:row r="4">
      <x:c r="A4" s="6" t="str">
        <x:v>Refresh through</x:v>
      </x:c>
      <x:c r="B4" s="7" t="str">
        <x:v>2026-07-13 23:59 JST</x:v>
      </x:c>
    </x:row>
    <x:row r="5">
      <x:c r="A5" s="6" t="str">
        <x:v>QA timestamp</x:v>
      </x:c>
      <x:c r="B5" s="7" t="str">
        <x:v>2026-07-14 06:00 JST</x:v>
      </x:c>
    </x:row>
    <x:row r="6">
      <x:c r="A6" s="6" t="str">
        <x:v>Status</x:v>
      </x:c>
      <x:c r="B6" s="7" t="str">
        <x:v>Working analysis — synthetic S2 only</x:v>
      </x:c>
    </x:row>
    <x:row r="7">
      <x:c r="A7" s="6" t="str">
        <x:v>Analyst lens</x:v>
      </x:c>
      <x:c r="B7" s="7" t="str">
        <x:v>Daily pacing, channel mix, regional review</x:v>
      </x:c>
    </x:row>
    <x:row r="8">
      <x:c r="A8" s="6" t="str">
        <x:v>Unit</x:v>
      </x:c>
      <x:c r="B8" s="7" t="str">
        <x:v>JPY millions</x:v>
      </x:c>
    </x:row>
    <x:row r="10">
      <x:c r="A10" s="10" t="str">
        <x:v>Headline performance</x:v>
      </x:c>
      <x:c r="B10" s="10"/>
      <x:c r="C10" s="10"/>
      <x:c r="D10" s="10"/>
      <x:c r="E10" s="10"/>
      <x:c r="F10" s="10"/>
      <x:c r="G10" s="10"/>
      <x:c r="H10" s="10"/>
    </x:row>
    <x:row r="11">
      <x:c r="A11" s="18" t="str">
        <x:v>KPI</x:v>
      </x:c>
      <x:c r="B11" s="19" t="str">
        <x:v>Actual</x:v>
      </x:c>
      <x:c r="C11" s="19" t="str">
        <x:v>Reference</x:v>
      </x:c>
      <x:c r="D11" s="19" t="str">
        <x:v>Variance</x:v>
      </x:c>
      <x:c r="E11" s="20" t="str">
        <x:v>Variance %</x:v>
      </x:c>
    </x:row>
    <x:row r="12">
      <x:c r="A12" t="str">
        <x:v>Gross merchandise value</x:v>
      </x:c>
      <x:c r="B12" s="22" t="n">
        <x:f>'Assumptions'!B4</x:f>
        <x:v>86</x:v>
      </x:c>
      <x:c r="C12" s="22" t="n">
        <x:f>'Assumptions'!B4</x:f>
        <x:v>86</x:v>
      </x:c>
      <x:c r="D12" s="22" t="n">
        <x:f>B12-C12</x:f>
        <x:v>0</x:v>
      </x:c>
      <x:c r="E12" s="23" t="n">
        <x:f>D12/C12</x:f>
        <x:v>0</x:v>
      </x:c>
    </x:row>
    <x:row r="13">
      <x:c r="A13" t="str">
        <x:v>Recognized refunds</x:v>
      </x:c>
      <x:c r="B13" s="22" t="n">
        <x:f>'Assumptions'!B5</x:f>
        <x:v>1.8</x:v>
      </x:c>
      <x:c r="C13" s="22" t="n">
        <x:f>'Assumptions'!B5</x:f>
        <x:v>1.8</x:v>
      </x:c>
      <x:c r="D13" s="22" t="n">
        <x:f>B13-C13</x:f>
        <x:v>0</x:v>
      </x:c>
      <x:c r="E13" s="23" t="n">
        <x:f>D13/C13</x:f>
        <x:v>0</x:v>
      </x:c>
    </x:row>
    <x:row r="14">
      <x:c r="A14" t="str">
        <x:v>MTR-09 GMV</x:v>
      </x:c>
      <x:c r="B14" s="22" t="n">
        <x:f>B12-B13</x:f>
        <x:v>84.2</x:v>
      </x:c>
      <x:c r="C14" s="22" t="n">
        <x:f>'Assumptions'!B7</x:f>
        <x:v>78.6</x:v>
      </x:c>
      <x:c r="D14" s="22" t="n">
        <x:f>B14-C14</x:f>
        <x:v>5.6000000000000085</x:v>
      </x:c>
      <x:c r="E14" s="23" t="n">
        <x:f>D14/C14</x:f>
        <x:v>0.0712468193384225</x:v>
      </x:c>
    </x:row>
    <x:row r="15">
      <x:c r="A15" t="str">
        <x:v>Plan GMV</x:v>
      </x:c>
      <x:c r="B15" s="22" t="n">
        <x:f>'Assumptions'!B6</x:f>
        <x:v>80</x:v>
      </x:c>
      <x:c r="C15" s="22" t="n">
        <x:f>'Assumptions'!B6</x:f>
        <x:v>80</x:v>
      </x:c>
      <x:c r="D15" s="22" t="n">
        <x:f>B14-B15</x:f>
        <x:v>4.200000000000003</x:v>
      </x:c>
      <x:c r="E15" s="23" t="n">
        <x:f>D15/B15</x:f>
        <x:v>0.05250000000000003</x:v>
      </x:c>
    </x:row>
    <x:row r="18">
      <x:c r="A18" s="10" t="str">
        <x:v>Daily pacing</x:v>
      </x:c>
      <x:c r="B18" s="10"/>
      <x:c r="C18" s="10"/>
      <x:c r="D18" s="10"/>
      <x:c r="E18" s="10"/>
      <x:c r="F18" s="10"/>
      <x:c r="G18" s="10"/>
      <x:c r="H18" s="10"/>
    </x:row>
    <x:row r="19">
      <x:c r="A19" s="18" t="str">
        <x:v>Date</x:v>
      </x:c>
      <x:c r="B19" s="19" t="str">
        <x:v>GMV (JPY M)</x:v>
      </x:c>
      <x:c r="C19" s="19" t="str">
        <x:v>Plan run-rate</x:v>
      </x:c>
      <x:c r="D19" s="19" t="str">
        <x:v>Daily variance</x:v>
      </x:c>
      <x:c r="E19" s="20" t="str">
        <x:v>Cumulative GMV</x:v>
      </x:c>
    </x:row>
    <x:row r="20">
      <x:c r="A20" s="24" t="str">
        <x:f>'Raw Daily'!A4</x:f>
        <x:v>2026-07-07</x:v>
      </x:c>
      <x:c r="B20" s="22" t="n">
        <x:f>'Raw Daily'!B4</x:f>
        <x:v>10.8</x:v>
      </x:c>
      <x:c r="C20" s="22" t="n">
        <x:f>'Assumptions'!B6/7</x:f>
        <x:v>11.428571428571429</x:v>
      </x:c>
      <x:c r="D20" s="22" t="n">
        <x:f>B20-C20</x:f>
        <x:v>-0.6285714285714281</x:v>
      </x:c>
      <x:c r="E20" s="22" t="n">
        <x:f>SUM($B$20:B20)</x:f>
        <x:v>10.8</x:v>
      </x:c>
    </x:row>
    <x:row r="21">
      <x:c r="A21" s="24" t="str">
        <x:f>'Raw Daily'!A5</x:f>
        <x:v>2026-07-08</x:v>
      </x:c>
      <x:c r="B21" s="22" t="n">
        <x:f>'Raw Daily'!B5</x:f>
        <x:v>11.2</x:v>
      </x:c>
      <x:c r="C21" s="22" t="n">
        <x:f>'Assumptions'!B6/7</x:f>
        <x:v>11.428571428571429</x:v>
      </x:c>
      <x:c r="D21" s="22" t="n">
        <x:f>B21-C21</x:f>
        <x:v>-0.22857142857142954</x:v>
      </x:c>
      <x:c r="E21" s="22" t="n">
        <x:f>SUM($B$20:B21)</x:f>
        <x:v>22</x:v>
      </x:c>
    </x:row>
    <x:row r="22">
      <x:c r="A22" s="24" t="str">
        <x:f>'Raw Daily'!A6</x:f>
        <x:v>2026-07-09</x:v>
      </x:c>
      <x:c r="B22" s="22" t="n">
        <x:f>'Raw Daily'!B6</x:f>
        <x:v>11.5</x:v>
      </x:c>
      <x:c r="C22" s="22" t="n">
        <x:f>'Assumptions'!B6/7</x:f>
        <x:v>11.428571428571429</x:v>
      </x:c>
      <x:c r="D22" s="22" t="n">
        <x:f>B22-C22</x:f>
        <x:v>0.07142857142857117</x:v>
      </x:c>
      <x:c r="E22" s="22" t="n">
        <x:f>SUM($B$20:B22)</x:f>
        <x:v>33.5</x:v>
      </x:c>
    </x:row>
    <x:row r="23">
      <x:c r="A23" s="24" t="str">
        <x:f>'Raw Daily'!A7</x:f>
        <x:v>2026-07-10</x:v>
      </x:c>
      <x:c r="B23" s="22" t="n">
        <x:f>'Raw Daily'!B7</x:f>
        <x:v>12.1</x:v>
      </x:c>
      <x:c r="C23" s="22" t="n">
        <x:f>'Assumptions'!B6/7</x:f>
        <x:v>11.428571428571429</x:v>
      </x:c>
      <x:c r="D23" s="22" t="n">
        <x:f>B23-C23</x:f>
        <x:v>0.6714285714285708</x:v>
      </x:c>
      <x:c r="E23" s="22" t="n">
        <x:f>SUM($B$20:B23)</x:f>
        <x:v>45.6</x:v>
      </x:c>
    </x:row>
    <x:row r="24">
      <x:c r="A24" s="24" t="str">
        <x:f>'Raw Daily'!A8</x:f>
        <x:v>2026-07-11</x:v>
      </x:c>
      <x:c r="B24" s="22" t="n">
        <x:f>'Raw Daily'!B8</x:f>
        <x:v>12.4</x:v>
      </x:c>
      <x:c r="C24" s="22" t="n">
        <x:f>'Assumptions'!B6/7</x:f>
        <x:v>11.428571428571429</x:v>
      </x:c>
      <x:c r="D24" s="22" t="n">
        <x:f>B24-C24</x:f>
        <x:v>0.9714285714285715</x:v>
      </x:c>
      <x:c r="E24" s="22" t="n">
        <x:f>SUM($B$20:B24)</x:f>
        <x:v>58</x:v>
      </x:c>
    </x:row>
    <x:row r="25">
      <x:c r="A25" s="24" t="str">
        <x:f>'Raw Daily'!A9</x:f>
        <x:v>2026-07-12</x:v>
      </x:c>
      <x:c r="B25" s="22" t="n">
        <x:f>'Raw Daily'!B9</x:f>
        <x:v>13</x:v>
      </x:c>
      <x:c r="C25" s="22" t="n">
        <x:f>'Assumptions'!B6/7</x:f>
        <x:v>11.428571428571429</x:v>
      </x:c>
      <x:c r="D25" s="22" t="n">
        <x:f>B25-C25</x:f>
        <x:v>1.5714285714285712</x:v>
      </x:c>
      <x:c r="E25" s="22" t="n">
        <x:f>SUM($B$20:B25)</x:f>
        <x:v>71</x:v>
      </x:c>
    </x:row>
    <x:row r="26">
      <x:c r="A26" s="24" t="str">
        <x:f>'Raw Daily'!A10</x:f>
        <x:v>2026-07-13</x:v>
      </x:c>
      <x:c r="B26" s="22" t="n">
        <x:f>'Raw Daily'!B10</x:f>
        <x:v>13.2</x:v>
      </x:c>
      <x:c r="C26" s="22" t="n">
        <x:f>'Assumptions'!B6/7</x:f>
        <x:v>11.428571428571429</x:v>
      </x:c>
      <x:c r="D26" s="22" t="n">
        <x:f>B26-C26</x:f>
        <x:v>1.7714285714285705</x:v>
      </x:c>
      <x:c r="E26" s="22" t="n">
        <x:f>SUM($B$20:B26)</x:f>
        <x:v>84.2</x:v>
      </x:c>
    </x:row>
    <x:row r="29">
      <x:c r="A29" s="10" t="str">
        <x:v>Working observations</x:v>
      </x:c>
      <x:c r="B29" s="10"/>
      <x:c r="C29" s="10"/>
      <x:c r="D29" s="10"/>
      <x:c r="E29" s="10"/>
      <x:c r="F29" s="10"/>
      <x:c r="G29" s="10"/>
      <x:c r="H29" s="10"/>
    </x:row>
    <x:row r="30">
      <x:c r="A30" s="6" t="str">
        <x:v>Observation</x:v>
      </x:c>
      <x:c r="B30" s="6" t="str">
        <x:v>Evidence / next action</x:v>
      </x:c>
      <x:c r="C30" s="6" t="str"/>
      <x:c r="D30" s="6" t="str"/>
      <x:c r="E30" s="6" t="str"/>
      <x:c r="F30" s="6" t="str"/>
      <x:c r="G30" s="6" t="str"/>
      <x:c r="H30" s="6" t="str"/>
    </x:row>
    <x:row r="31">
      <x:c r="A31" t="str">
        <x:v>Pacing</x:v>
      </x:c>
      <x:c r="B31" s="7" t="str">
        <x:v>Daily GMV trends upward through the refresh cutoff; validate completion timing before commentary.</x:v>
      </x:c>
      <x:c r="C31" s="7" t="str"/>
      <x:c r="D31" s="7" t="str"/>
      <x:c r="E31" s="7" t="str"/>
      <x:c r="F31" s="7" t="str"/>
      <x:c r="G31" s="7" t="str"/>
      <x:c r="H31" s="7" t="str"/>
    </x:row>
    <x:row r="32">
      <x:c r="A32" t="str">
        <x:v>Plan position</x:v>
      </x:c>
      <x:c r="B32" s="7" t="str">
        <x:v>GMV exceeds 80.0M plan by 4.2M; retain refund definition in all extracts.</x:v>
      </x:c>
      <x:c r="C32" s="7" t="str"/>
      <x:c r="D32" s="7" t="str"/>
      <x:c r="E32" s="7" t="str"/>
      <x:c r="F32" s="7" t="str"/>
      <x:c r="G32" s="7" t="str"/>
      <x:c r="H32" s="7" t="str"/>
    </x:row>
  </x:sheetData>
  <x:mergeCells>
    <x:mergeCell ref="A1:H1"/>
    <x:mergeCell ref="A10:H10"/>
    <x:mergeCell ref="A18:H1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Raw Daily MTR-09 Inputs | Synthetic S2</x:v>
      </x:c>
      <x:c r="B1" s="4" t="str"/>
      <x:c r="C1" s="4" t="str"/>
      <x:c r="D1" s="4"/>
      <x:c r="E1" s="4"/>
    </x:row>
    <x:row r="3">
      <x:c r="A3" s="18" t="str">
        <x:v>Date</x:v>
      </x:c>
      <x:c r="B3" s="19" t="str">
        <x:v>GMV (JPY M)</x:v>
      </x:c>
      <x:c r="C3" s="19" t="str">
        <x:v>Gross (JPY M)</x:v>
      </x:c>
      <x:c r="D3" s="19" t="str">
        <x:v>Refunds (JPY M)</x:v>
      </x:c>
      <x:c r="E3" s="20" t="str">
        <x:v>Load status</x:v>
      </x:c>
    </x:row>
    <x:row r="4">
      <x:c r="A4" s="25" t="str">
        <x:v>2026-07-07</x:v>
      </x:c>
      <x:c r="B4" s="26" t="n">
        <x:v>10.8</x:v>
      </x:c>
      <x:c r="C4" s="26" t="n">
        <x:v>11.05</x:v>
      </x:c>
      <x:c r="D4" s="26" t="n">
        <x:v>0.25</x:v>
      </x:c>
      <x:c r="E4" t="str">
        <x:v>validated</x:v>
      </x:c>
    </x:row>
    <x:row r="5">
      <x:c r="A5" s="25" t="str">
        <x:v>2026-07-08</x:v>
      </x:c>
      <x:c r="B5" s="26" t="n">
        <x:v>11.2</x:v>
      </x:c>
      <x:c r="C5" s="26" t="n">
        <x:v>11.45</x:v>
      </x:c>
      <x:c r="D5" s="26" t="n">
        <x:v>0.25</x:v>
      </x:c>
      <x:c r="E5" t="str">
        <x:v>validated</x:v>
      </x:c>
    </x:row>
    <x:row r="6">
      <x:c r="A6" s="25" t="str">
        <x:v>2026-07-09</x:v>
      </x:c>
      <x:c r="B6" s="26" t="n">
        <x:v>11.5</x:v>
      </x:c>
      <x:c r="C6" s="26" t="n">
        <x:v>11.75</x:v>
      </x:c>
      <x:c r="D6" s="26" t="n">
        <x:v>0.25</x:v>
      </x:c>
      <x:c r="E6" t="str">
        <x:v>validated</x:v>
      </x:c>
    </x:row>
    <x:row r="7">
      <x:c r="A7" s="25" t="str">
        <x:v>2026-07-10</x:v>
      </x:c>
      <x:c r="B7" s="26" t="n">
        <x:v>12.1</x:v>
      </x:c>
      <x:c r="C7" s="26" t="n">
        <x:v>12.35</x:v>
      </x:c>
      <x:c r="D7" s="26" t="n">
        <x:v>0.25</x:v>
      </x:c>
      <x:c r="E7" t="str">
        <x:v>validated</x:v>
      </x:c>
    </x:row>
    <x:row r="8">
      <x:c r="A8" s="25" t="str">
        <x:v>2026-07-11</x:v>
      </x:c>
      <x:c r="B8" s="26" t="n">
        <x:v>12.4</x:v>
      </x:c>
      <x:c r="C8" s="26" t="n">
        <x:v>12.7</x:v>
      </x:c>
      <x:c r="D8" s="26" t="n">
        <x:v>0.3</x:v>
      </x:c>
      <x:c r="E8" t="str">
        <x:v>validated</x:v>
      </x:c>
    </x:row>
    <x:row r="9">
      <x:c r="A9" s="25" t="str">
        <x:v>2026-07-12</x:v>
      </x:c>
      <x:c r="B9" s="26" t="n">
        <x:v>13</x:v>
      </x:c>
      <x:c r="C9" s="26" t="n">
        <x:v>13.3</x:v>
      </x:c>
      <x:c r="D9" s="26" t="n">
        <x:v>0.3</x:v>
      </x:c>
      <x:c r="E9" t="str">
        <x:v>validated</x:v>
      </x:c>
    </x:row>
    <x:row r="10">
      <x:c r="A10" s="25" t="str">
        <x:v>2026-07-13</x:v>
      </x:c>
      <x:c r="B10" s="26" t="n">
        <x:v>13.2</x:v>
      </x:c>
      <x:c r="C10" s="26" t="n">
        <x:v>13.4</x:v>
      </x:c>
      <x:c r="D10" s="26" t="n">
        <x:v>0.2</x:v>
      </x:c>
      <x:c r="E10" t="str">
        <x:v>validated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Assumptions &amp; Definition</x:v>
      </x:c>
      <x:c r="B1" s="4"/>
      <x:c r="C1" s="4"/>
      <x:c r="D1" s="4"/>
    </x:row>
    <x:row r="3">
      <x:c r="A3" s="18" t="str">
        <x:v>Input</x:v>
      </x:c>
      <x:c r="B3" s="20" t="str">
        <x:v>Value</x:v>
      </x:c>
    </x:row>
    <x:row r="4">
      <x:c r="A4" t="str">
        <x:v>Gross merchandise value (JPY M)</x:v>
      </x:c>
      <x:c r="B4" s="29" t="n">
        <x:v>86</x:v>
      </x:c>
    </x:row>
    <x:row r="5">
      <x:c r="A5" t="str">
        <x:v>Recognized refunds (JPY M)</x:v>
      </x:c>
      <x:c r="B5" s="29" t="n">
        <x:v>1.8</x:v>
      </x:c>
    </x:row>
    <x:row r="6">
      <x:c r="A6" t="str">
        <x:v>Plan GMV (JPY M)</x:v>
      </x:c>
      <x:c r="B6" s="29" t="n">
        <x:v>80</x:v>
      </x:c>
    </x:row>
    <x:row r="7">
      <x:c r="A7" t="str">
        <x:v>Prior GMV (JPY M)</x:v>
      </x:c>
      <x:c r="B7" s="29" t="n">
        <x:v>78.6</x:v>
      </x:c>
    </x:row>
    <x:row r="8">
      <x:c r="A8" t="str">
        <x:v>Refresh cutoff</x:v>
      </x:c>
      <x:c r="B8" s="28" t="str">
        <x:v>2026-07-13 23:59 JST</x:v>
      </x:c>
    </x:row>
    <x:row r="10">
      <x:c r="A10" s="6" t="str">
        <x:v>Definition note</x:v>
      </x:c>
      <x:c r="B10" s="7" t="str">
        <x:v>MTR-09 = completed order-line merchandise value, tax excluded, net of recognized refunds, JPY</x:v>
      </x:c>
      <x:c r="C10" s="7" t="str"/>
      <x:c r="D10" s="7" t="str"/>
    </x:row>
    <x:row r="11">
      <x:c r="A11" s="6" t="str">
        <x:v>Scope</x:v>
      </x:c>
      <x:c r="B11" s="7" t="str">
        <x:v>Synthetic S2 working copy — no live endpoints or real PII</x:v>
      </x:c>
      <x:c r="C11" s="7" t="str"/>
      <x:c r="D11" s="7" t="str"/>
    </x:row>
    <x:row r="12">
      <x:c r="A12" s="6" t="str">
        <x:v>QA control</x:v>
      </x:c>
      <x:c r="B12" s="7" t="str">
        <x:v>QA performed at 2026-07-14 06:00 JST</x:v>
      </x:c>
      <x:c r="C12" s="7" t="str"/>
      <x:c r="D12" s="7" t="str"/>
    </x:row>
    <x:row r="13">
      <x:c r="A13" s="6" t="str">
        <x:v>Sign convention</x:v>
      </x:c>
      <x:c r="B13" s="7" t="str">
        <x:v>Refunds entered as positive deductions</x:v>
      </x:c>
      <x:c r="C13" s="7" t="str"/>
      <x:c r="D13" s="7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Checks | GMV Review</x:v>
      </x:c>
      <x:c r="B1" s="4"/>
      <x:c r="C1" s="4"/>
      <x:c r="D1" s="4"/>
      <x:c r="E1" s="4"/>
      <x:c r="F1" s="4"/>
      <x:c r="G1" s="4"/>
    </x:row>
    <x:row r="3">
      <x:c r="A3" s="18" t="str">
        <x:v>Check</x:v>
      </x:c>
      <x:c r="B3" s="19" t="str">
        <x:v>Actual</x:v>
      </x:c>
      <x:c r="C3" s="19" t="str">
        <x:v>Expected</x:v>
      </x:c>
      <x:c r="D3" s="19" t="str">
        <x:v>Difference</x:v>
      </x:c>
      <x:c r="E3" s="19" t="str">
        <x:v>Tolerance</x:v>
      </x:c>
      <x:c r="F3" s="19" t="str">
        <x:v>Status</x:v>
      </x:c>
      <x:c r="G3" s="20" t="str">
        <x:v>Where to fix</x:v>
      </x:c>
    </x:row>
    <x:row r="4">
      <x:c r="A4" t="str">
        <x:v>Daily GMV ties MTR-09</x:v>
      </x:c>
      <x:c r="B4" s="22" t="n">
        <x:f>SUM('Raw Daily'!B4:B10)</x:f>
        <x:v>84.2</x:v>
      </x:c>
      <x:c r="C4" s="22" t="n">
        <x:f>'Review Summary'!B14</x:f>
        <x:v>84.2</x:v>
      </x:c>
      <x:c r="D4" s="22" t="n">
        <x:f>B4-C4</x:f>
        <x:v>0</x:v>
      </x:c>
      <x:c r="E4" s="22" t="n">
        <x:v>0</x:v>
      </x:c>
      <x:c r="F4" s="21" t="str">
        <x:f>IF(ABS(D4)&lt;=E4,"OK","FAIL")</x:f>
        <x:v>OK</x:v>
      </x:c>
      <x:c r="G4" t="str">
        <x:v>Raw Daily</x:v>
      </x:c>
    </x:row>
    <x:row r="5">
      <x:c r="A5" t="str">
        <x:v>Gross less refunds</x:v>
      </x:c>
      <x:c r="B5" s="22" t="n">
        <x:f>'Assumptions'!B4-'Assumptions'!B5</x:f>
        <x:v>84.2</x:v>
      </x:c>
      <x:c r="C5" s="22" t="n">
        <x:f>'Review Summary'!B14</x:f>
        <x:v>84.2</x:v>
      </x:c>
      <x:c r="D5" s="22" t="n">
        <x:f>B5-C5</x:f>
        <x:v>0</x:v>
      </x:c>
      <x:c r="E5" s="22" t="n">
        <x:v>0</x:v>
      </x:c>
      <x:c r="F5" s="21" t="str">
        <x:f>IF(ABS(D5)&lt;=E5,"OK","FAIL")</x:f>
        <x:v>OK</x:v>
      </x:c>
      <x:c r="G5" t="str">
        <x:v>Assumptions</x:v>
      </x:c>
    </x:row>
    <x:row r="6">
      <x:c r="A6" t="str">
        <x:v>Plan variance retained</x:v>
      </x:c>
      <x:c r="B6" s="22" t="n">
        <x:f>'Review Summary'!B14-'Review Summary'!B15</x:f>
        <x:v>4.200000000000003</x:v>
      </x:c>
      <x:c r="C6" s="22" t="n">
        <x:f>'Review Summary'!D15</x:f>
        <x:v>4.200000000000003</x:v>
      </x:c>
      <x:c r="D6" s="22" t="n">
        <x:f>B6-C6</x:f>
        <x:v>0</x:v>
      </x:c>
      <x:c r="E6" s="22" t="n">
        <x:v>0</x:v>
      </x:c>
      <x:c r="F6" s="21" t="str">
        <x:f>IF(ABS(D6)&lt;=E6,"OK","FAIL")</x:f>
        <x:v>OK</x:v>
      </x:c>
      <x:c r="G6" t="str">
        <x:v>Review Summary</x:v>
      </x:c>
    </x:row>
    <x:row r="7">
      <x:c r="A7" t="str">
        <x:v>Refresh cutoff documented</x:v>
      </x:c>
      <x:c r="B7" s="21" t="n">
        <x:f>1</x:f>
        <x:v>1</x:v>
      </x:c>
      <x:c r="C7" s="21" t="n">
        <x:f>1</x:f>
        <x:v>1</x:v>
      </x:c>
      <x:c r="D7" s="21" t="n">
        <x:f>B7-C7</x:f>
        <x:v>0</x:v>
      </x:c>
      <x:c r="E7" s="21" t="n">
        <x:v>0</x:v>
      </x:c>
      <x:c r="F7" s="21" t="str">
        <x:f>IF(ABS(D7)&lt;=E7,"OK","FAIL")</x:f>
        <x:v>OK</x:v>
      </x:c>
      <x:c r="G7" t="str">
        <x:v>Assumptions</x:v>
      </x:c>
    </x:row>
    <x:row r="8">
      <x:c r="A8" t="str">
        <x:v>Definition documented</x:v>
      </x:c>
      <x:c r="B8" s="21" t="n">
        <x:f>1</x:f>
        <x:v>1</x:v>
      </x:c>
      <x:c r="C8" s="21" t="n">
        <x:f>1</x:f>
        <x:v>1</x:v>
      </x:c>
      <x:c r="D8" s="21" t="n">
        <x:f>B8-C8</x:f>
        <x:v>0</x:v>
      </x:c>
      <x:c r="E8" s="21" t="n">
        <x:v>0</x:v>
      </x:c>
      <x:c r="F8" s="21" t="str">
        <x:f>IF(ABS(D8)&lt;=E8,"OK","FAIL")</x:f>
        <x:v>OK</x:v>
      </x:c>
      <x:c r="G8" t="str">
        <x:v>Assumptions</x:v>
      </x:c>
    </x:row>
    <x:row r="10">
      <x:c r="A10" s="31" t="str">
        <x:v>MODEL STATUS</x:v>
      </x:c>
      <x:c r="B10" s="31" t="str">
        <x:f>IF(COUNTIF(F4:F8,"FAIL")=0,"PASS","FAIL")</x:f>
        <x:v>PASS</x:v>
      </x:c>
    </x:row>
    <x:row r="11">
      <x:c r="A11" t="str">
        <x:v>QA timestamp</x:v>
      </x:c>
      <x:c r="B11" t="str">
        <x:v>2026-07-14 06:00 JST</x:v>
      </x:c>
    </x:row>
  </x:sheetData>
  <x:mergeCells>
    <x:mergeCell ref="A1:G1"/>
  </x:mergeCells>
  <x:pageMargins left="0.7" right="0.7" top="0.75" bottom="0.75" header="0.3" footer="0.3"/>
</x:worksheet>
</file>