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34c258546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" sheetId="1" r:id="R69e4fe63f38a4bd5"/>
    <x:sheet xmlns:r="http://schemas.openxmlformats.org/officeDocument/2006/relationships" name="Raw Regions" sheetId="2" r:id="Re0a2b56ec8f14cdf"/>
    <x:sheet xmlns:r="http://schemas.openxmlformats.org/officeDocument/2006/relationships" name="Assumptions" sheetId="3" r:id="R26dbb682002e439e"/>
    <x:sheet xmlns:r="http://schemas.openxmlformats.org/officeDocument/2006/relationships" name="Checks" sheetId="4" r:id="R05a7ecdabacb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double">
        <x:color rgb="FF54823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4" xfId="0" applyNumberFormat="1" applyFont="1" applyFill="1" applyBorder="1"/>
    <x:xf numFmtId="200" fontId="6" fillId="5" borderId="4" xfId="0" applyNumberFormat="1" applyFont="1" applyFill="1" applyBorder="1"/>
    <x:xf numFmtId="201" fontId="6" fillId="5" borderId="4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0" fontId="7" fillId="6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42191dbf64eae" /><Relationship Type="http://schemas.openxmlformats.org/officeDocument/2006/relationships/theme" Target="/xl/theme/theme1.xml" Id="Rf987ede2c33c4dbf" /><Relationship Type="http://schemas.openxmlformats.org/officeDocument/2006/relationships/sharedStrings" Target="/xl/sharedStrings.xml" Id="R865b01a8e5284b60" /><Relationship Type="http://schemas.openxmlformats.org/officeDocument/2006/relationships/worksheet" Target="/xl/worksheets/sheet1.xml" Id="R69e4fe63f38a4bd5" /><Relationship Type="http://schemas.openxmlformats.org/officeDocument/2006/relationships/worksheet" Target="/xl/worksheets/sheet2.xml" Id="Re0a2b56ec8f14cdf" /><Relationship Type="http://schemas.openxmlformats.org/officeDocument/2006/relationships/worksheet" Target="/xl/worksheets/sheet3.xml" Id="R26dbb682002e439e" /><Relationship Type="http://schemas.openxmlformats.org/officeDocument/2006/relationships/worksheet" Target="/xl/worksheets/sheet4.xml" Id="R05a7ecdabacb46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MTR-09 Regional Bridge | Working Copy</x:v>
      </x:c>
      <x:c r="B1" s="4"/>
      <x:c r="C1" s="4"/>
      <x:c r="D1" s="4"/>
      <x:c r="E1" s="4"/>
      <x:c r="F1" s="4"/>
      <x:c r="G1" s="4"/>
    </x:row>
    <x:row r="3">
      <x:c r="A3" s="6" t="str">
        <x:v>Metric</x:v>
      </x:c>
      <x:c r="B3" t="str">
        <x:v>MTR-09 GMV (JPY M)</x:v>
      </x:c>
    </x:row>
    <x:row r="4">
      <x:c r="A4" s="6" t="str">
        <x:v>Definition</x:v>
      </x:c>
      <x:c r="B4" t="str">
        <x:v>Completed order-line merchandise value, tax excluded, net of recognized refunds</x:v>
      </x:c>
    </x:row>
    <x:row r="5">
      <x:c r="A5" s="6" t="str">
        <x:v>Refresh</x:v>
      </x:c>
      <x:c r="B5" t="str">
        <x:v>2026-07-13 23:59 JST</x:v>
      </x:c>
    </x:row>
    <x:row r="6">
      <x:c r="A6" s="6" t="str">
        <x:v>QA</x:v>
      </x:c>
      <x:c r="B6" t="str">
        <x:v>2026-07-14 06:00 JST</x:v>
      </x:c>
    </x:row>
    <x:row r="8">
      <x:c r="A8" s="9" t="str">
        <x:v>Regional bridge</x:v>
      </x:c>
      <x:c r="B8" s="9"/>
      <x:c r="C8" s="9"/>
      <x:c r="D8" s="9"/>
      <x:c r="E8" s="9"/>
      <x:c r="F8" s="9"/>
      <x:c r="G8" s="9"/>
      <x:c r="H8" s="9"/>
    </x:row>
    <x:row r="9">
      <x:c r="A9" s="17" t="str">
        <x:v>Region</x:v>
      </x:c>
      <x:c r="B9" s="18" t="str">
        <x:v>GMV</x:v>
      </x:c>
      <x:c r="C9" s="18" t="str">
        <x:v>Share of GMV</x:v>
      </x:c>
      <x:c r="D9" s="18" t="str">
        <x:v>Prior GMV</x:v>
      </x:c>
      <x:c r="E9" s="18" t="str">
        <x:v>Variance</x:v>
      </x:c>
      <x:c r="F9" s="18" t="str">
        <x:v>Variance %</x:v>
      </x:c>
      <x:c r="G9" s="19" t="str">
        <x:v>Review flag</x:v>
      </x:c>
    </x:row>
    <x:row r="10">
      <x:c r="A10" s="20" t="str">
        <x:f>'Raw Regions'!A4</x:f>
        <x:v>East</x:v>
      </x:c>
      <x:c r="B10" s="21" t="n">
        <x:f>'Raw Regions'!B4</x:f>
        <x:v>26.4</x:v>
      </x:c>
      <x:c r="C10" s="22" t="n">
        <x:f>B10/$B$14</x:f>
        <x:v>0.3135391923990498</x:v>
      </x:c>
      <x:c r="D10" s="21" t="n">
        <x:f>'Raw Regions'!C4</x:f>
        <x:v>24.2</x:v>
      </x:c>
      <x:c r="E10" s="21" t="n">
        <x:f>B10-D10</x:f>
        <x:v>2.1999999999999993</x:v>
      </x:c>
      <x:c r="F10" s="22" t="n">
        <x:f>E10/D10</x:f>
        <x:v>0.09090909090909088</x:v>
      </x:c>
      <x:c r="G10" s="20" t="str">
        <x:f>IF(ABS(F10)&gt;=0.1,"REVIEW","OK")</x:f>
        <x:v>OK</x:v>
      </x:c>
    </x:row>
    <x:row r="11">
      <x:c r="A11" s="20" t="str">
        <x:f>'Raw Regions'!A5</x:f>
        <x:v>West</x:v>
      </x:c>
      <x:c r="B11" s="21" t="n">
        <x:f>'Raw Regions'!B5</x:f>
        <x:v>22.8</x:v>
      </x:c>
      <x:c r="C11" s="22" t="n">
        <x:f>B11/$B$14</x:f>
        <x:v>0.2707838479809976</x:v>
      </x:c>
      <x:c r="D11" s="21" t="n">
        <x:f>'Raw Regions'!C5</x:f>
        <x:v>21.5</x:v>
      </x:c>
      <x:c r="E11" s="21" t="n">
        <x:f>B11-D11</x:f>
        <x:v>1.3000000000000007</x:v>
      </x:c>
      <x:c r="F11" s="22" t="n">
        <x:f>E11/D11</x:f>
        <x:v>0.0604651162790698</x:v>
      </x:c>
      <x:c r="G11" s="20" t="str">
        <x:f>IF(ABS(F11)&gt;=0.1,"REVIEW","OK")</x:f>
        <x:v>OK</x:v>
      </x:c>
    </x:row>
    <x:row r="12">
      <x:c r="A12" s="20" t="str">
        <x:f>'Raw Regions'!A6</x:f>
        <x:v>Central</x:v>
      </x:c>
      <x:c r="B12" s="21" t="n">
        <x:f>'Raw Regions'!B6</x:f>
        <x:v>18.6</x:v>
      </x:c>
      <x:c r="C12" s="22" t="n">
        <x:f>B12/$B$14</x:f>
        <x:v>0.22090261282660328</x:v>
      </x:c>
      <x:c r="D12" s="21" t="n">
        <x:f>'Raw Regions'!C6</x:f>
        <x:v>17.8</x:v>
      </x:c>
      <x:c r="E12" s="21" t="n">
        <x:f>B12-D12</x:f>
        <x:v>0.8000000000000007</x:v>
      </x:c>
      <x:c r="F12" s="22" t="n">
        <x:f>E12/D12</x:f>
        <x:v>0.04494382022471914</x:v>
      </x:c>
      <x:c r="G12" s="20" t="str">
        <x:f>IF(ABS(F12)&gt;=0.1,"REVIEW","OK")</x:f>
        <x:v>OK</x:v>
      </x:c>
    </x:row>
    <x:row r="13">
      <x:c r="A13" s="20" t="str">
        <x:f>'Raw Regions'!A7</x:f>
        <x:v>North</x:v>
      </x:c>
      <x:c r="B13" s="21" t="n">
        <x:f>'Raw Regions'!B7</x:f>
        <x:v>16.4</x:v>
      </x:c>
      <x:c r="C13" s="22" t="n">
        <x:f>B13/$B$14</x:f>
        <x:v>0.19477434679334912</x:v>
      </x:c>
      <x:c r="D13" s="21" t="n">
        <x:f>'Raw Regions'!C7</x:f>
        <x:v>15.1</x:v>
      </x:c>
      <x:c r="E13" s="21" t="n">
        <x:f>B13-D13</x:f>
        <x:v>1.299999999999999</x:v>
      </x:c>
      <x:c r="F13" s="22" t="n">
        <x:f>E13/D13</x:f>
        <x:v>0.086092715231788</x:v>
      </x:c>
      <x:c r="G13" s="20" t="str">
        <x:f>IF(ABS(F13)&gt;=0.1,"REVIEW","OK")</x:f>
        <x:v>OK</x:v>
      </x:c>
    </x:row>
    <x:row r="14">
      <x:c r="A14" s="29" t="str">
        <x:v>Total</x:v>
      </x:c>
      <x:c r="B14" s="30" t="n">
        <x:f>SUM(B10:B13)</x:f>
        <x:v>84.20000000000002</x:v>
      </x:c>
      <x:c r="C14" s="31" t="n">
        <x:f>SUM(C10:C13)</x:f>
        <x:v>0.9999999999999999</x:v>
      </x:c>
      <x:c r="D14" s="30" t="n">
        <x:f>SUM(D10:D13)</x:f>
        <x:v>78.6</x:v>
      </x:c>
      <x:c r="E14" s="30" t="n">
        <x:f>SUM(E10:E13)</x:f>
        <x:v>5.6</x:v>
      </x:c>
      <x:c r="F14" s="31" t="n">
        <x:f>E14/D14</x:f>
        <x:v>0.07124681933842239</x:v>
      </x:c>
      <x:c r="G14" s="29" t="str"/>
    </x:row>
    <x:row r="17">
      <x:c r="A17" s="9" t="str">
        <x:v>Analyst notes</x:v>
      </x:c>
      <x:c r="B17" s="9"/>
      <x:c r="C17" s="9"/>
      <x:c r="D17" s="9"/>
      <x:c r="E17" s="9"/>
      <x:c r="F17" s="9"/>
      <x:c r="G17" s="9"/>
      <x:c r="H17" s="9"/>
    </x:row>
    <x:row r="18">
      <x:c r="A18" s="6" t="str">
        <x:v>East</x:v>
      </x:c>
      <x:c r="B18" t="str">
        <x:v>Largest region at 26.4M; investigate volume/mix contribution.</x:v>
      </x:c>
      <x:c r="C18" t="str"/>
      <x:c r="D18" t="str"/>
      <x:c r="E18" t="str"/>
      <x:c r="F18" t="str"/>
      <x:c r="G18" t="str"/>
    </x:row>
    <x:row r="19">
      <x:c r="A19" s="6" t="str">
        <x:v>North</x:v>
      </x:c>
      <x:c r="B19" t="str">
        <x:v>16.4M; retain bridge against prior in recurring pack.</x:v>
      </x:c>
      <x:c r="C19" t="str"/>
      <x:c r="D19" t="str"/>
      <x:c r="E19" t="str"/>
      <x:c r="F19" t="str"/>
      <x:c r="G19" t="str"/>
    </x:row>
    <x:row r="20">
      <x:c r="A20" s="6" t="str">
        <x:v>Reconciliation</x:v>
      </x:c>
      <x:c r="B20" t="str">
        <x:v>Regional total must equal headline MTR-09 GMV of 84.2M.</x:v>
      </x:c>
      <x:c r="C20" t="str"/>
      <x:c r="D20" t="str"/>
      <x:c r="E20" t="str"/>
      <x:c r="F20" t="str"/>
      <x:c r="G20" t="str"/>
    </x:row>
  </x:sheetData>
  <x:mergeCells>
    <x:mergeCell ref="A1:G1"/>
    <x:mergeCell ref="A8:H8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Raw Regional Inputs | Synthetic S2</x:v>
      </x:c>
      <x:c r="B1" s="4"/>
      <x:c r="C1" s="4"/>
      <x:c r="D1" s="4"/>
      <x:c r="E1" s="4"/>
    </x:row>
    <x:row r="3">
      <x:c r="A3" s="17" t="str">
        <x:v>Region</x:v>
      </x:c>
      <x:c r="B3" s="18" t="str">
        <x:v>Current GMV (JPY M)</x:v>
      </x:c>
      <x:c r="C3" s="18" t="str">
        <x:v>Prior GMV (JPY M)</x:v>
      </x:c>
      <x:c r="D3" s="18" t="str">
        <x:v>Refresh status</x:v>
      </x:c>
      <x:c r="E3" s="19" t="str">
        <x:v>Owner</x:v>
      </x:c>
    </x:row>
    <x:row r="4">
      <x:c r="A4" t="str">
        <x:v>East</x:v>
      </x:c>
      <x:c r="B4" s="32" t="n">
        <x:v>26.4</x:v>
      </x:c>
      <x:c r="C4" s="32" t="n">
        <x:v>24.2</x:v>
      </x:c>
      <x:c r="D4" t="str">
        <x:v>validated</x:v>
      </x:c>
      <x:c r="E4" t="str">
        <x:v>BI</x:v>
      </x:c>
    </x:row>
    <x:row r="5">
      <x:c r="A5" t="str">
        <x:v>West</x:v>
      </x:c>
      <x:c r="B5" s="32" t="n">
        <x:v>22.8</x:v>
      </x:c>
      <x:c r="C5" s="32" t="n">
        <x:v>21.5</x:v>
      </x:c>
      <x:c r="D5" t="str">
        <x:v>validated</x:v>
      </x:c>
      <x:c r="E5" t="str">
        <x:v>BI</x:v>
      </x:c>
    </x:row>
    <x:row r="6">
      <x:c r="A6" t="str">
        <x:v>Central</x:v>
      </x:c>
      <x:c r="B6" s="32" t="n">
        <x:v>18.6</x:v>
      </x:c>
      <x:c r="C6" s="32" t="n">
        <x:v>17.8</x:v>
      </x:c>
      <x:c r="D6" t="str">
        <x:v>validated</x:v>
      </x:c>
      <x:c r="E6" t="str">
        <x:v>BI</x:v>
      </x:c>
    </x:row>
    <x:row r="7">
      <x:c r="A7" t="str">
        <x:v>North</x:v>
      </x:c>
      <x:c r="B7" s="32" t="n">
        <x:v>16.4</x:v>
      </x:c>
      <x:c r="C7" s="32" t="n">
        <x:v>15.1</x:v>
      </x:c>
      <x:c r="D7" t="str">
        <x:v>validated</x:v>
      </x:c>
      <x:c r="E7" t="str">
        <x:v>BI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Assumptions &amp; Reconciliation</x:v>
      </x:c>
      <x:c r="B1" s="4"/>
      <x:c r="C1" s="4"/>
      <x:c r="D1" s="4"/>
    </x:row>
    <x:row r="3">
      <x:c r="A3" s="17" t="str">
        <x:v>Input</x:v>
      </x:c>
      <x:c r="B3" s="19" t="str">
        <x:v>Value</x:v>
      </x:c>
    </x:row>
    <x:row r="4">
      <x:c r="A4" t="str">
        <x:v>Headline MTR-09 GMV (JPY M)</x:v>
      </x:c>
      <x:c r="B4" s="35" t="n">
        <x:v>84.2</x:v>
      </x:c>
    </x:row>
    <x:row r="5">
      <x:c r="A5" t="str">
        <x:v>Refresh cutoff</x:v>
      </x:c>
      <x:c r="B5" s="34" t="str">
        <x:v>2026-07-13 23:59 JST</x:v>
      </x:c>
    </x:row>
    <x:row r="6">
      <x:c r="A6" t="str">
        <x:v>Metric definition</x:v>
      </x:c>
      <x:c r="B6" s="34" t="str">
        <x:v>MTR-09 = completed order-line merchandise value, tax excluded, net of recognized refunds, JPY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Checks | Region Bridge</x:v>
      </x:c>
      <x:c r="B1" s="4"/>
      <x:c r="C1" s="4"/>
      <x:c r="D1" s="4"/>
      <x:c r="E1" s="4"/>
      <x:c r="F1" s="4"/>
      <x:c r="G1" s="4"/>
    </x:row>
    <x:row r="3">
      <x:c r="A3" s="17" t="str">
        <x:v>Check</x:v>
      </x:c>
      <x:c r="B3" s="18" t="str">
        <x:v>Actual</x:v>
      </x:c>
      <x:c r="C3" s="18" t="str">
        <x:v>Expected</x:v>
      </x:c>
      <x:c r="D3" s="18" t="str">
        <x:v>Difference</x:v>
      </x:c>
      <x:c r="E3" s="18" t="str">
        <x:v>Tolerance</x:v>
      </x:c>
      <x:c r="F3" s="18" t="str">
        <x:v>Status</x:v>
      </x:c>
      <x:c r="G3" s="19" t="str">
        <x:v>Where to fix</x:v>
      </x:c>
    </x:row>
    <x:row r="4">
      <x:c r="A4" t="str">
        <x:v>Regions tie headline</x:v>
      </x:c>
      <x:c r="B4" s="20" t="n">
        <x:f>SUM('Raw Regions'!B4:B7)</x:f>
        <x:v>84.20000000000002</x:v>
      </x:c>
      <x:c r="C4" s="20" t="n">
        <x:f>'Assumptions'!B4</x:f>
        <x:v>84.2</x:v>
      </x:c>
      <x:c r="D4" s="20" t="n">
        <x:f>B4-C4</x:f>
        <x:v>1.4210854715202004e-14</x:v>
      </x:c>
      <x:c r="E4" s="20" t="n">
        <x:v>0</x:v>
      </x:c>
      <x:c r="F4" s="20" t="str">
        <x:f>IF(ABS(D4)&lt;=E4,"OK","FAIL")</x:f>
        <x:v>OK</x:v>
      </x:c>
      <x:c r="G4" t="str">
        <x:v>Raw Regions</x:v>
      </x:c>
    </x:row>
    <x:row r="5">
      <x:c r="A5" t="str">
        <x:v>Four regions loaded</x:v>
      </x:c>
      <x:c r="B5" s="20" t="n">
        <x:f>COUNTA('Raw Regions'!A4:A7)</x:f>
        <x:v>4</x:v>
      </x:c>
      <x:c r="C5" s="20" t="n">
        <x:f>4</x:f>
        <x:v>4</x:v>
      </x:c>
      <x:c r="D5" s="20" t="n">
        <x:f>B5-C5</x:f>
        <x:v>0</x:v>
      </x:c>
      <x:c r="E5" s="20" t="n">
        <x:v>0</x:v>
      </x:c>
      <x:c r="F5" s="20" t="str">
        <x:f>IF(ABS(D5)&lt;=E5,"OK","FAIL")</x:f>
        <x:v>OK</x:v>
      </x:c>
      <x:c r="G5" t="str">
        <x:v>Raw Regions</x:v>
      </x:c>
    </x:row>
    <x:row r="6">
      <x:c r="A6" t="str">
        <x:v>All shares sum to 100%</x:v>
      </x:c>
      <x:c r="B6" s="20" t="n">
        <x:f>SUM('Bridge'!C10:C13)</x:f>
        <x:v>0.9999999999999999</x:v>
      </x:c>
      <x:c r="C6" s="20" t="n">
        <x:f>1</x:f>
        <x:v>1</x:v>
      </x:c>
      <x:c r="D6" s="20" t="n">
        <x:f>B6-C6</x:f>
        <x:v>-1.1102230246251565e-16</x:v>
      </x:c>
      <x:c r="E6" s="20" t="n">
        <x:v>0</x:v>
      </x:c>
      <x:c r="F6" s="20" t="str">
        <x:f>IF(ABS(D6)&lt;=E6,"OK","FAIL")</x:f>
        <x:v>OK</x:v>
      </x:c>
      <x:c r="G6" t="str">
        <x:v>Bridge</x:v>
      </x:c>
    </x:row>
    <x:row r="7">
      <x:c r="A7" t="str">
        <x:v>Refresh documented</x:v>
      </x:c>
      <x:c r="B7" s="20" t="n">
        <x:f>1</x:f>
        <x:v>1</x:v>
      </x:c>
      <x:c r="C7" s="20" t="n">
        <x:f>1</x:f>
        <x:v>1</x:v>
      </x:c>
      <x:c r="D7" s="20" t="n">
        <x:f>B7-C7</x:f>
        <x:v>0</x:v>
      </x:c>
      <x:c r="E7" s="20" t="n">
        <x:v>0</x:v>
      </x:c>
      <x:c r="F7" s="20" t="str">
        <x:f>IF(ABS(D7)&lt;=E7,"OK","FAIL")</x:f>
        <x:v>OK</x:v>
      </x:c>
      <x:c r="G7" t="str">
        <x:v>Assumptions</x:v>
      </x:c>
    </x:row>
    <x:row r="9">
      <x:c r="A9" s="37" t="str">
        <x:v>MODEL STATUS</x:v>
      </x:c>
      <x:c r="B9" s="37" t="str">
        <x:f>IF(COUNTIF(F4:F7,"FAIL")=0,"PASS","FAIL")</x:f>
        <x:v>PASS</x:v>
      </x:c>
    </x:row>
  </x:sheetData>
  <x:mergeCells>
    <x:mergeCell ref="A1:G1"/>
  </x:mergeCells>
  <x:pageMargins left="0.7" right="0.7" top="0.75" bottom="0.75" header="0.3" footer="0.3"/>
</x:worksheet>
</file>