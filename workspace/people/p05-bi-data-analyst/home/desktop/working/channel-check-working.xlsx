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6b025dc85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 Review" sheetId="1" r:id="Rd49eef3978874005"/>
    <x:sheet xmlns:r="http://schemas.openxmlformats.org/officeDocument/2006/relationships" name="Raw Channels" sheetId="2" r:id="R96b39649262f49fb"/>
    <x:sheet xmlns:r="http://schemas.openxmlformats.org/officeDocument/2006/relationships" name="Assumptions" sheetId="3" r:id="R3d3ada4734fa4476"/>
    <x:sheet xmlns:r="http://schemas.openxmlformats.org/officeDocument/2006/relationships" name="Checks" sheetId="4" r:id="R4bd69e1fbd48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double">
        <x:color rgb="FF548235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4" xfId="0" applyNumberFormat="1" applyFont="1" applyFill="1" applyBorder="1"/>
    <x:xf numFmtId="200" fontId="6" fillId="5" borderId="4" xfId="0" applyNumberFormat="1" applyFont="1" applyFill="1" applyBorder="1"/>
    <x:xf numFmtId="201" fontId="6" fillId="5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0" fontId="7" fillId="6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44ba876a246e1" /><Relationship Type="http://schemas.openxmlformats.org/officeDocument/2006/relationships/theme" Target="/xl/theme/theme1.xml" Id="R22fd308c7dad4a60" /><Relationship Type="http://schemas.openxmlformats.org/officeDocument/2006/relationships/sharedStrings" Target="/xl/sharedStrings.xml" Id="Reb31b772a03d4579" /><Relationship Type="http://schemas.openxmlformats.org/officeDocument/2006/relationships/worksheet" Target="/xl/worksheets/sheet1.xml" Id="Rd49eef3978874005" /><Relationship Type="http://schemas.openxmlformats.org/officeDocument/2006/relationships/worksheet" Target="/xl/worksheets/sheet2.xml" Id="R96b39649262f49fb" /><Relationship Type="http://schemas.openxmlformats.org/officeDocument/2006/relationships/worksheet" Target="/xl/worksheets/sheet3.xml" Id="R3d3ada4734fa4476" /><Relationship Type="http://schemas.openxmlformats.org/officeDocument/2006/relationships/worksheet" Target="/xl/worksheets/sheet4.xml" Id="R4bd69e1fbd48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MTR-09 Channel Check | Working Copy</x:v>
      </x:c>
      <x:c r="B1" s="4"/>
      <x:c r="C1" s="4"/>
      <x:c r="D1" s="4"/>
      <x:c r="E1" s="4"/>
      <x:c r="F1" s="4"/>
      <x:c r="G1" s="4"/>
    </x:row>
    <x:row r="3">
      <x:c r="A3" s="6" t="str">
        <x:v>Metric</x:v>
      </x:c>
      <x:c r="B3" t="str">
        <x:v>MTR-09 GMV (JPY M)</x:v>
      </x:c>
    </x:row>
    <x:row r="4">
      <x:c r="A4" s="6" t="str">
        <x:v>Definition</x:v>
      </x:c>
      <x:c r="B4" t="str">
        <x:v>Completed order-line merchandise value, tax excluded, net of recognized refunds</x:v>
      </x:c>
    </x:row>
    <x:row r="5">
      <x:c r="A5" s="6" t="str">
        <x:v>Refresh</x:v>
      </x:c>
      <x:c r="B5" t="str">
        <x:v>2026-07-13 23:59 JST</x:v>
      </x:c>
    </x:row>
    <x:row r="6">
      <x:c r="A6" s="6" t="str">
        <x:v>QA</x:v>
      </x:c>
      <x:c r="B6" t="str">
        <x:v>2026-07-14 06:00 JST</x:v>
      </x:c>
    </x:row>
    <x:row r="8">
      <x:c r="A8" s="9" t="str">
        <x:v>Channel mix check</x:v>
      </x:c>
      <x:c r="B8" s="9"/>
      <x:c r="C8" s="9"/>
      <x:c r="D8" s="9"/>
      <x:c r="E8" s="9"/>
      <x:c r="F8" s="9"/>
      <x:c r="G8" s="9"/>
      <x:c r="H8" s="9"/>
    </x:row>
    <x:row r="9">
      <x:c r="A9" s="17" t="str">
        <x:v>Channel</x:v>
      </x:c>
      <x:c r="B9" s="18" t="str">
        <x:v>GMV</x:v>
      </x:c>
      <x:c r="C9" s="18" t="str">
        <x:v>Share</x:v>
      </x:c>
      <x:c r="D9" s="18" t="str">
        <x:v>Daily avg.</x:v>
      </x:c>
      <x:c r="E9" s="18" t="str">
        <x:v>Plan proxy</x:v>
      </x:c>
      <x:c r="F9" s="18" t="str">
        <x:v>Variance</x:v>
      </x:c>
      <x:c r="G9" s="19" t="str">
        <x:v>Disposition</x:v>
      </x:c>
    </x:row>
    <x:row r="10">
      <x:c r="A10" s="20" t="str">
        <x:f>'Raw Channels'!A4</x:f>
        <x:v>Online</x:v>
      </x:c>
      <x:c r="B10" s="21" t="n">
        <x:f>'Raw Channels'!B4</x:f>
        <x:v>46.3</x:v>
      </x:c>
      <x:c r="C10" s="22" t="n">
        <x:f>B10/$B$12</x:f>
        <x:v>0.5498812351543944</x:v>
      </x:c>
      <x:c r="D10" s="21" t="n">
        <x:f>B10/7</x:f>
        <x:v>6.614285714285714</x:v>
      </x:c>
      <x:c r="E10" s="21" t="n">
        <x:f>B10*('Assumptions'!B5/'Assumptions'!B4)</x:f>
        <x:v>43.99049881235154</x:v>
      </x:c>
      <x:c r="F10" s="21" t="n">
        <x:f>B10-E10</x:f>
        <x:v>2.3095011876484577</x:v>
      </x:c>
      <x:c r="G10" s="20" t="str">
        <x:f>IF(ABS(F10)&gt;=1,"REVIEW","OK")</x:f>
        <x:v>REVIEW</x:v>
      </x:c>
    </x:row>
    <x:row r="11">
      <x:c r="A11" s="20" t="str">
        <x:f>'Raw Channels'!A5</x:f>
        <x:v>Stores</x:v>
      </x:c>
      <x:c r="B11" s="21" t="n">
        <x:f>'Raw Channels'!B5</x:f>
        <x:v>37.9</x:v>
      </x:c>
      <x:c r="C11" s="22" t="n">
        <x:f>B11/$B$12</x:f>
        <x:v>0.45011876484560576</x:v>
      </x:c>
      <x:c r="D11" s="21" t="n">
        <x:f>B11/7</x:f>
        <x:v>5.414285714285714</x:v>
      </x:c>
      <x:c r="E11" s="21" t="n">
        <x:f>B11*('Assumptions'!B5/'Assumptions'!B4)</x:f>
        <x:v>36.00950118764845</x:v>
      </x:c>
      <x:c r="F11" s="21" t="n">
        <x:f>B11-E11</x:f>
        <x:v>1.8904988123515452</x:v>
      </x:c>
      <x:c r="G11" s="20" t="str">
        <x:f>IF(ABS(F11)&gt;=1,"REVIEW","OK")</x:f>
        <x:v>REVIEW</x:v>
      </x:c>
    </x:row>
    <x:row r="12">
      <x:c r="A12" s="29" t="str">
        <x:v>Total</x:v>
      </x:c>
      <x:c r="B12" s="30" t="n">
        <x:f>SUM(B10:B11)</x:f>
        <x:v>84.19999999999999</x:v>
      </x:c>
      <x:c r="C12" s="31" t="n">
        <x:f>SUM(C10:C11)</x:f>
        <x:v>1</x:v>
      </x:c>
      <x:c r="D12" s="30" t="n">
        <x:f>SUM(D10:D11)</x:f>
        <x:v>12.028571428571428</x:v>
      </x:c>
      <x:c r="E12" s="30" t="n">
        <x:f>SUM(E10:E11)</x:f>
        <x:v>80</x:v>
      </x:c>
      <x:c r="F12" s="30" t="n">
        <x:f>SUM(F10:F11)</x:f>
        <x:v>4.200000000000003</x:v>
      </x:c>
      <x:c r="G12" s="29" t="str"/>
    </x:row>
    <x:row r="15">
      <x:c r="A15" s="9" t="str">
        <x:v>Working prompts</x:v>
      </x:c>
      <x:c r="B15" s="9"/>
      <x:c r="C15" s="9"/>
      <x:c r="D15" s="9"/>
      <x:c r="E15" s="9"/>
      <x:c r="F15" s="9"/>
      <x:c r="G15" s="9"/>
      <x:c r="H15" s="9"/>
    </x:row>
    <x:row r="16">
      <x:c r="A16" s="6" t="str">
        <x:v>Prompt</x:v>
      </x:c>
      <x:c r="B16" s="6" t="str">
        <x:v>Response / action</x:v>
      </x:c>
      <x:c r="C16" s="6" t="str"/>
      <x:c r="D16" s="6" t="str"/>
      <x:c r="E16" s="6" t="str"/>
      <x:c r="F16" s="6" t="str"/>
      <x:c r="G16" s="6" t="str"/>
    </x:row>
    <x:row r="17">
      <x:c r="A17" t="str">
        <x:v>Online</x:v>
      </x:c>
      <x:c r="B17" s="32" t="str">
        <x:v>46.3M (55.0% mix); reconcile returns timing with refund review.</x:v>
      </x:c>
      <x:c r="C17" s="32" t="str"/>
      <x:c r="D17" s="32" t="str"/>
      <x:c r="E17" s="32" t="str"/>
      <x:c r="F17" s="32" t="str"/>
      <x:c r="G17" s="32" t="str"/>
    </x:row>
    <x:row r="18">
      <x:c r="A18" t="str">
        <x:v>Stores</x:v>
      </x:c>
      <x:c r="B18" s="32" t="str">
        <x:v>37.9M (45.0% mix); compare completion cutoff to channel close.</x:v>
      </x:c>
      <x:c r="C18" s="32" t="str"/>
      <x:c r="D18" s="32" t="str"/>
      <x:c r="E18" s="32" t="str"/>
      <x:c r="F18" s="32" t="str"/>
      <x:c r="G18" s="32" t="str"/>
    </x:row>
    <x:row r="19">
      <x:c r="A19" t="str">
        <x:v>Plan</x:v>
      </x:c>
      <x:c r="B19" s="32" t="str">
        <x:v>Pro-rate plan only as a working diagnostic; authoritative plan allocation requires planning owner.</x:v>
      </x:c>
      <x:c r="C19" s="32" t="str"/>
      <x:c r="D19" s="32" t="str"/>
      <x:c r="E19" s="32" t="str"/>
      <x:c r="F19" s="32" t="str"/>
      <x:c r="G19" s="32" t="str"/>
    </x:row>
  </x:sheetData>
  <x:mergeCells>
    <x:mergeCell ref="A1:G1"/>
    <x:mergeCell ref="A8:H8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Raw Channel Inputs | Synthetic S2</x:v>
      </x:c>
      <x:c r="B1" s="4"/>
      <x:c r="C1" s="4"/>
      <x:c r="D1" s="4"/>
      <x:c r="E1" s="4"/>
    </x:row>
    <x:row r="3">
      <x:c r="A3" s="17" t="str">
        <x:v>Channel</x:v>
      </x:c>
      <x:c r="B3" s="18" t="str">
        <x:v>GMV (JPY M)</x:v>
      </x:c>
      <x:c r="C3" s="18" t="str">
        <x:v>Gross (JPY M)</x:v>
      </x:c>
      <x:c r="D3" s="18" t="str">
        <x:v>Recognized refunds (JPY M)</x:v>
      </x:c>
      <x:c r="E3" s="19" t="str">
        <x:v>Refresh status</x:v>
      </x:c>
    </x:row>
    <x:row r="4">
      <x:c r="A4" t="str">
        <x:v>Online</x:v>
      </x:c>
      <x:c r="B4" s="33" t="n">
        <x:v>46.3</x:v>
      </x:c>
      <x:c r="C4" s="33" t="n">
        <x:v>47.3</x:v>
      </x:c>
      <x:c r="D4" s="33" t="n">
        <x:v>1</x:v>
      </x:c>
      <x:c r="E4" t="str">
        <x:v>validated</x:v>
      </x:c>
    </x:row>
    <x:row r="5">
      <x:c r="A5" t="str">
        <x:v>Stores</x:v>
      </x:c>
      <x:c r="B5" s="33" t="n">
        <x:v>37.9</x:v>
      </x:c>
      <x:c r="C5" s="33" t="n">
        <x:v>38.7</x:v>
      </x:c>
      <x:c r="D5" s="33" t="n">
        <x:v>0.8</x:v>
      </x:c>
      <x:c r="E5" t="str">
        <x:v>validated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Assumptions</x:v>
      </x:c>
      <x:c r="B1" s="4"/>
      <x:c r="C1" s="4"/>
      <x:c r="D1" s="4"/>
    </x:row>
    <x:row r="3">
      <x:c r="A3" s="17" t="str">
        <x:v>Input</x:v>
      </x:c>
      <x:c r="B3" s="19" t="str">
        <x:v>Value</x:v>
      </x:c>
    </x:row>
    <x:row r="4">
      <x:c r="A4" t="str">
        <x:v>Headline MTR-09 GMV (JPY M)</x:v>
      </x:c>
      <x:c r="B4" s="36" t="n">
        <x:v>84.2</x:v>
      </x:c>
    </x:row>
    <x:row r="5">
      <x:c r="A5" t="str">
        <x:v>Plan GMV (JPY M)</x:v>
      </x:c>
      <x:c r="B5" s="36" t="n">
        <x:v>80</x:v>
      </x:c>
    </x:row>
    <x:row r="6">
      <x:c r="A6" t="str">
        <x:v>Prior GMV (JPY M)</x:v>
      </x:c>
      <x:c r="B6" s="36" t="n">
        <x:v>78.6</x:v>
      </x:c>
    </x:row>
    <x:row r="7">
      <x:c r="A7" t="str">
        <x:v>Review cutoff</x:v>
      </x:c>
      <x:c r="B7" s="35" t="str">
        <x:v>2026-07-13 23:59 JST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Checks | Channel Review</x:v>
      </x:c>
      <x:c r="B1" s="4"/>
      <x:c r="C1" s="4"/>
      <x:c r="D1" s="4"/>
      <x:c r="E1" s="4"/>
      <x:c r="F1" s="4"/>
      <x:c r="G1" s="4"/>
    </x:row>
    <x:row r="3">
      <x:c r="A3" s="17" t="str">
        <x:v>Check</x:v>
      </x:c>
      <x:c r="B3" s="18" t="str">
        <x:v>Actual</x:v>
      </x:c>
      <x:c r="C3" s="18" t="str">
        <x:v>Expected</x:v>
      </x:c>
      <x:c r="D3" s="18" t="str">
        <x:v>Difference</x:v>
      </x:c>
      <x:c r="E3" s="18" t="str">
        <x:v>Tolerance</x:v>
      </x:c>
      <x:c r="F3" s="18" t="str">
        <x:v>Status</x:v>
      </x:c>
      <x:c r="G3" s="19" t="str">
        <x:v>Where to fix</x:v>
      </x:c>
    </x:row>
    <x:row r="4">
      <x:c r="A4" t="str">
        <x:v>Channels tie headline</x:v>
      </x:c>
      <x:c r="B4" s="20" t="n">
        <x:f>SUM('Raw Channels'!B4:B5)</x:f>
        <x:v>84.19999999999999</x:v>
      </x:c>
      <x:c r="C4" s="20" t="n">
        <x:f>'Assumptions'!B4</x:f>
        <x:v>84.2</x:v>
      </x:c>
      <x:c r="D4" s="20" t="n">
        <x:f>B4-C4</x:f>
        <x:v>-1.4210854715202004e-14</x:v>
      </x:c>
      <x:c r="E4" s="20" t="n">
        <x:v>0</x:v>
      </x:c>
      <x:c r="F4" s="20" t="str">
        <x:f>IF(ABS(D4)&lt;=E4,"OK","FAIL")</x:f>
        <x:v>OK</x:v>
      </x:c>
      <x:c r="G4" t="str">
        <x:v>Raw Channels</x:v>
      </x:c>
    </x:row>
    <x:row r="5">
      <x:c r="A5" t="str">
        <x:v>Gross less refunds</x:v>
      </x:c>
      <x:c r="B5" s="20" t="n">
        <x:f>SUM('Raw Channels'!C4:C5)-SUM('Raw Channels'!D4:D5)</x:f>
        <x:v>84.2</x:v>
      </x:c>
      <x:c r="C5" s="20" t="n">
        <x:f>'Assumptions'!B4</x:f>
        <x:v>84.2</x:v>
      </x:c>
      <x:c r="D5" s="20" t="n">
        <x:f>B5-C5</x:f>
        <x:v>0</x:v>
      </x:c>
      <x:c r="E5" s="20" t="n">
        <x:v>0</x:v>
      </x:c>
      <x:c r="F5" s="20" t="str">
        <x:f>IF(ABS(D5)&lt;=E5,"OK","FAIL")</x:f>
        <x:v>OK</x:v>
      </x:c>
      <x:c r="G5" t="str">
        <x:v>Raw Channels</x:v>
      </x:c>
    </x:row>
    <x:row r="6">
      <x:c r="A6" t="str">
        <x:v>Two channels loaded</x:v>
      </x:c>
      <x:c r="B6" s="20" t="n">
        <x:f>COUNTA('Raw Channels'!A4:A5)</x:f>
        <x:v>2</x:v>
      </x:c>
      <x:c r="C6" s="20" t="n">
        <x:f>2</x:f>
        <x:v>2</x:v>
      </x:c>
      <x:c r="D6" s="20" t="n">
        <x:f>B6-C6</x:f>
        <x:v>0</x:v>
      </x:c>
      <x:c r="E6" s="20" t="n">
        <x:v>0</x:v>
      </x:c>
      <x:c r="F6" s="20" t="str">
        <x:f>IF(ABS(D6)&lt;=E6,"OK","FAIL")</x:f>
        <x:v>OK</x:v>
      </x:c>
      <x:c r="G6" t="str">
        <x:v>Raw Channels</x:v>
      </x:c>
    </x:row>
    <x:row r="7">
      <x:c r="A7" t="str">
        <x:v>Channel mix sums 100%</x:v>
      </x:c>
      <x:c r="B7" s="20" t="n">
        <x:f>SUM('Channel Review'!C10:C11)</x:f>
        <x:v>1</x:v>
      </x:c>
      <x:c r="C7" s="20" t="n">
        <x:f>1</x:f>
        <x:v>1</x:v>
      </x:c>
      <x:c r="D7" s="20" t="n">
        <x:f>B7-C7</x:f>
        <x:v>0</x:v>
      </x:c>
      <x:c r="E7" s="20" t="n">
        <x:v>0</x:v>
      </x:c>
      <x:c r="F7" s="20" t="str">
        <x:f>IF(ABS(D7)&lt;=E7,"OK","FAIL")</x:f>
        <x:v>OK</x:v>
      </x:c>
      <x:c r="G7" t="str">
        <x:v>Channel Review</x:v>
      </x:c>
    </x:row>
    <x:row r="8">
      <x:c r="A8" t="str">
        <x:v>Metric definition recorded</x:v>
      </x:c>
      <x:c r="B8" s="20" t="n">
        <x:f>1</x:f>
        <x:v>1</x:v>
      </x:c>
      <x:c r="C8" s="20" t="n">
        <x:f>1</x:f>
        <x:v>1</x:v>
      </x:c>
      <x:c r="D8" s="20" t="n">
        <x:f>B8-C8</x:f>
        <x:v>0</x:v>
      </x:c>
      <x:c r="E8" s="20" t="n">
        <x:v>0</x:v>
      </x:c>
      <x:c r="F8" s="20" t="str">
        <x:f>IF(ABS(D8)&lt;=E8,"OK","FAIL")</x:f>
        <x:v>OK</x:v>
      </x:c>
      <x:c r="G8" t="str">
        <x:v>Assumptions</x:v>
      </x:c>
    </x:row>
    <x:row r="10">
      <x:c r="A10" s="38" t="str">
        <x:v>MODEL STATUS</x:v>
      </x:c>
      <x:c r="B10" s="38" t="str">
        <x:f>IF(COUNTIF(F4:F8,"FAIL")=0,"PASS","FAIL")</x:f>
        <x:v>PASS</x:v>
      </x:c>
    </x:row>
  </x:sheetData>
  <x:mergeCells>
    <x:mergeCell ref="A1:G1"/>
  </x:mergeCells>
  <x:pageMargins left="0.7" right="0.7" top="0.75" bottom="0.75" header="0.3" footer="0.3"/>
</x:worksheet>
</file>