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fc2dfe09a846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fbcd381811f4766"/>
    <x:sheet xmlns:r="http://schemas.openxmlformats.org/officeDocument/2006/relationships" name="Definitions" sheetId="2" r:id="R0171da2b81cc4a17"/>
    <x:sheet xmlns:r="http://schemas.openxmlformats.org/officeDocument/2006/relationships" name="Checks" sheetId="3" r:id="R883ae053c5ac4b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¥#,##0"/>
    <x:numFmt numFmtId="201" formatCode="0.0%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475569"/>
      <x:name val="Carlito"/>
    </x:font>
    <x:font>
      <x:b/>
      <x:sz val="11"/>
      <x:color rgb="FF1F4D78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F2F4F7"/>
      </x:patternFill>
    </x:fill>
    <x:fill>
      <x:patternFill patternType="solid">
        <x:fgColor rgb="FFE8EEF5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left"/>
    </x:xf>
    <x:xf numFmtId="0" fontId="3" fillId="4" borderId="1" xfId="0" applyNumberFormat="1" applyFont="1" applyFill="1" applyBorder="1" applyAlignment="1">
      <x:alignment horizontal="center"/>
    </x:xf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004eee11ee4b1f" /><Relationship Type="http://schemas.openxmlformats.org/officeDocument/2006/relationships/theme" Target="/xl/theme/theme1.xml" Id="R05e4ffa7846b408a" /><Relationship Type="http://schemas.openxmlformats.org/officeDocument/2006/relationships/sharedStrings" Target="/xl/sharedStrings.xml" Id="Rd694cd666b944d3e" /><Relationship Type="http://schemas.openxmlformats.org/officeDocument/2006/relationships/worksheet" Target="/xl/worksheets/sheet1.xml" Id="Rdfbcd381811f4766" /><Relationship Type="http://schemas.openxmlformats.org/officeDocument/2006/relationships/worksheet" Target="/xl/worksheets/sheet2.xml" Id="R0171da2b81cc4a17" /><Relationship Type="http://schemas.openxmlformats.org/officeDocument/2006/relationships/worksheet" Target="/xl/worksheets/sheet3.xml" Id="R883ae053c5ac4b9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0" hidden="0" customWidth="1"/>
    <x:col min="3" max="3" width="16" hidden="0" customWidth="1"/>
    <x:col min="4" max="4" width="24" hidden="0" customWidth="1"/>
    <x:col min="5" max="5" width="24" hidden="0" customWidth="1"/>
    <x:col min="6" max="6" width="24" hidden="0" customWidth="1"/>
    <x:col min="7" max="7" width="16" hidden="0" customWidth="1"/>
    <x:col min="8" max="8" width="16" hidden="0" customWidth="1"/>
  </x:cols>
  <x:sheetData>
    <x:row r="1" ht="30" customHeight="1">
      <x:c r="A1" s="4" t="str">
        <x:v>MTR-09 Data Dictionary Workbook</x:v>
      </x:c>
    </x:row>
    <x:row r="2">
      <x:c r="A2" s="6" t="str">
        <x:v>Mosaic Retail Analytics | FY26 Q3 | As of 2026-07-13 | metric MTR-09 | GMV ¥84.2M</x:v>
      </x:c>
    </x:row>
    <x:row r="4">
      <x:c r="A4" s="9" t="str">
        <x:v>Metric</x:v>
      </x:c>
      <x:c r="B4" s="10" t="str">
        <x:v>Gross Merchandise Value (GMV)</x:v>
      </x:c>
      <x:c r="D4" s="13" t="str">
        <x:v>Publishing rules</x:v>
      </x:c>
    </x:row>
    <x:row r="5">
      <x:c r="A5" s="9" t="str">
        <x:v>Metric ID</x:v>
      </x:c>
      <x:c r="B5" s="10" t="str">
        <x:v>MTR-09</x:v>
      </x:c>
      <x:c r="D5" s="14" t="str">
        <x:v>Rule</x:v>
      </x:c>
      <x:c r="E5" s="14" t="str">
        <x:v>Decision</x:v>
      </x:c>
      <x:c r="F5" s="14" t="str">
        <x:v>Owner</x:v>
      </x:c>
    </x:row>
    <x:row r="6">
      <x:c r="A6" s="9" t="str">
        <x:v>Calculated GMV (JPY)</x:v>
      </x:c>
      <x:c r="B6" s="11" t="n">
        <x:v>84200000</x:v>
      </x:c>
      <x:c r="D6" s="10" t="str">
        <x:v>Completeness</x:v>
      </x:c>
      <x:c r="E6" s="10" t="str">
        <x:v>≥ 99.5%</x:v>
      </x:c>
      <x:c r="F6" s="10" t="str">
        <x:v>Warehouse Engineering</x:v>
      </x:c>
    </x:row>
    <x:row r="7">
      <x:c r="A7" s="9" t="str">
        <x:v>Grain</x:v>
      </x:c>
      <x:c r="B7" s="10" t="str">
        <x:v>Completed order line</x:v>
      </x:c>
      <x:c r="D7" s="10" t="str">
        <x:v>Freshness</x:v>
      </x:c>
      <x:c r="E7" s="10" t="str">
        <x:v>08:00 JST</x:v>
      </x:c>
      <x:c r="F7" s="10" t="str">
        <x:v>Data Platform</x:v>
      </x:c>
    </x:row>
    <x:row r="8">
      <x:c r="A8" s="9" t="str">
        <x:v>Owner</x:v>
      </x:c>
      <x:c r="B8" s="10" t="str">
        <x:v>BI Metrics Steward</x:v>
      </x:c>
      <x:c r="D8" s="10" t="str">
        <x:v>Reconciliation</x:v>
      </x:c>
      <x:c r="E8" s="10" t="str">
        <x:v>±0.5%</x:v>
      </x:c>
      <x:c r="F8" s="10" t="str">
        <x:v>Finance Operations</x:v>
      </x:c>
    </x:row>
    <x:row r="9">
      <x:c r="A9" s="9" t="str">
        <x:v>Refresh</x:v>
      </x:c>
      <x:c r="B9" s="10" t="str">
        <x:v>Daily by 08:00 JST</x:v>
      </x:c>
    </x:row>
  </x:sheetData>
  <x:mergeCells>
    <x:mergeCell ref="A1:H1"/>
    <x:mergeCell ref="A2:H2"/>
    <x:mergeCell ref="D4:F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1" hidden="0" customWidth="1"/>
    <x:col min="3" max="3" width="14" hidden="0" customWidth="1"/>
    <x:col min="4" max="4" width="14" hidden="0" customWidth="1"/>
    <x:col min="5" max="5" width="23" hidden="0" customWidth="1"/>
    <x:col min="6" max="6" width="23" hidden="0" customWidth="1"/>
    <x:col min="7" max="7" width="17" hidden="0" customWidth="1"/>
    <x:col min="8" max="8" width="17" hidden="0" customWidth="1"/>
  </x:cols>
  <x:sheetData>
    <x:row r="1" ht="30" customHeight="1">
      <x:c r="A1" s="4" t="str">
        <x:v>MTR-09 Definitions and fields</x:v>
      </x:c>
    </x:row>
    <x:row r="2">
      <x:c r="A2" s="6" t="str">
        <x:v>Mosaic Retail Analytics | FY26 Q3 | As of 2026-07-13 | metric MTR-09 | GMV ¥84.2M</x:v>
      </x:c>
    </x:row>
    <x:row r="4">
      <x:c r="A4" s="14" t="str">
        <x:v>Field</x:v>
      </x:c>
      <x:c r="B4" s="14" t="str">
        <x:v>Business definition</x:v>
      </x:c>
      <x:c r="C4" s="14" t="str">
        <x:v>Type</x:v>
      </x:c>
      <x:c r="D4" s="14" t="str">
        <x:v>Required</x:v>
      </x:c>
      <x:c r="E4" s="14" t="str">
        <x:v>Example</x:v>
      </x:c>
      <x:c r="F4" s="14" t="str">
        <x:v>Source</x:v>
      </x:c>
    </x:row>
    <x:row r="5">
      <x:c r="A5" s="10" t="str">
        <x:v>order_line_id</x:v>
      </x:c>
      <x:c r="B5" s="10" t="str">
        <x:v>Unique completed order-line key</x:v>
      </x:c>
      <x:c r="C5" s="10" t="str">
        <x:v>text</x:v>
      </x:c>
      <x:c r="D5" s="10" t="str">
        <x:v>Yes</x:v>
      </x:c>
      <x:c r="E5" s="10" t="str">
        <x:v>OL-20481</x:v>
      </x:c>
      <x:c r="F5" s="10" t="str">
        <x:v>warehouse.order_line</x:v>
      </x:c>
    </x:row>
    <x:row r="6">
      <x:c r="A6" s="10" t="str">
        <x:v>net_line_value_jpy</x:v>
      </x:c>
      <x:c r="B6" s="10" t="str">
        <x:v>Gross value less discount/refund</x:v>
      </x:c>
      <x:c r="C6" s="10" t="str">
        <x:v>number</x:v>
      </x:c>
      <x:c r="D6" s="10" t="str">
        <x:v>Yes</x:v>
      </x:c>
      <x:c r="E6" s="11" t="n">
        <x:v>84200000</x:v>
      </x:c>
      <x:c r="F6" s="10" t="str">
        <x:v>warehouse.order_line</x:v>
      </x:c>
    </x:row>
    <x:row r="7">
      <x:c r="A7" s="10" t="str">
        <x:v>channel</x:v>
      </x:c>
      <x:c r="B7" s="10" t="str">
        <x:v>Customer purchase channel</x:v>
      </x:c>
      <x:c r="C7" s="10" t="str">
        <x:v>text</x:v>
      </x:c>
      <x:c r="D7" s="10" t="str">
        <x:v>Yes</x:v>
      </x:c>
      <x:c r="E7" s="10" t="str">
        <x:v>Marketplace</x:v>
      </x:c>
      <x:c r="F7" s="10" t="str">
        <x:v>warehouse.channel</x:v>
      </x:c>
    </x:row>
    <x:row r="8">
      <x:c r="A8" s="10" t="str">
        <x:v>region</x:v>
      </x:c>
      <x:c r="B8" s="10" t="str">
        <x:v>Commercial reporting region</x:v>
      </x:c>
      <x:c r="C8" s="10" t="str">
        <x:v>text</x:v>
      </x:c>
      <x:c r="D8" s="10" t="str">
        <x:v>Yes</x:v>
      </x:c>
      <x:c r="E8" s="10" t="str">
        <x:v>Kanto</x:v>
      </x:c>
      <x:c r="F8" s="10" t="str">
        <x:v>warehouse.region</x:v>
      </x:c>
    </x:row>
    <x:row r="9">
      <x:c r="A9" s="10" t="str">
        <x:v>fulfillment_status</x:v>
      </x:c>
      <x:c r="B9" s="10" t="str">
        <x:v>Lifecycle status</x:v>
      </x:c>
      <x:c r="C9" s="10" t="str">
        <x:v>text</x:v>
      </x:c>
      <x:c r="D9" s="10" t="str">
        <x:v>Yes</x:v>
      </x:c>
      <x:c r="E9" s="10" t="str">
        <x:v>completed</x:v>
      </x:c>
      <x:c r="F9" s="10" t="str">
        <x:v>warehouse.fulfillment</x:v>
      </x:c>
    </x:row>
    <x:row r="10">
      <x:c r="A10" s="10" t="str">
        <x:v>metric_date</x:v>
      </x:c>
      <x:c r="B10" s="10" t="str">
        <x:v>Business date</x:v>
      </x:c>
      <x:c r="C10" s="10" t="str">
        <x:v>date</x:v>
      </x:c>
      <x:c r="D10" s="10" t="str">
        <x:v>Yes</x:v>
      </x:c>
      <x:c r="E10" s="10" t="str">
        <x:v>2026-07-13</x:v>
      </x:c>
      <x:c r="F10" s="10" t="str">
        <x:v>calendar.date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7" hidden="0" customWidth="1"/>
    <x:col min="3" max="3" width="17" hidden="0" customWidth="1"/>
    <x:col min="4" max="4" width="17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4" t="str">
        <x:v>MTR-09 Quality checks</x:v>
      </x:c>
    </x:row>
    <x:row r="2">
      <x:c r="A2" s="6" t="str">
        <x:v>Mosaic Retail Analytics | FY26 Q3 | As of 2026-07-13 | metric MTR-09 | GMV ¥84.2M</x:v>
      </x:c>
    </x:row>
    <x:row r="4">
      <x:c r="A4" s="14" t="str">
        <x:v>Check</x:v>
      </x:c>
      <x:c r="B4" s="14" t="str">
        <x:v>Actual</x:v>
      </x:c>
      <x:c r="C4" s="14" t="str">
        <x:v>Threshold</x:v>
      </x:c>
      <x:c r="D4" s="14" t="str">
        <x:v>Status</x:v>
      </x:c>
    </x:row>
    <x:row r="5">
      <x:c r="A5" s="10" t="str">
        <x:v>Completeness</x:v>
      </x:c>
      <x:c r="B5" s="15" t="n">
        <x:v>0.998</x:v>
      </x:c>
      <x:c r="C5" s="15" t="n">
        <x:v>0.995</x:v>
      </x:c>
      <x:c r="D5" s="10" t="str">
        <x:f>IF(B5&gt;=C5,"PASS","FAIL")</x:f>
        <x:v>PASS</x:v>
      </x:c>
    </x:row>
    <x:row r="6">
      <x:c r="A6" s="10" t="str">
        <x:v>Freshness (minutes)</x:v>
      </x:c>
      <x:c r="B6" s="10" t="n">
        <x:v>15</x:v>
      </x:c>
      <x:c r="C6" s="10" t="n">
        <x:v>60</x:v>
      </x:c>
      <x:c r="D6" s="10" t="str">
        <x:f>IF(B6&lt;=C6,"PASS","FAIL")</x:f>
        <x:v>PASS</x:v>
      </x:c>
    </x:row>
    <x:row r="7">
      <x:c r="A7" s="10" t="str">
        <x:v>Reconciliation variance</x:v>
      </x:c>
      <x:c r="B7" s="15" t="n">
        <x:v>0.003</x:v>
      </x:c>
      <x:c r="C7" s="15" t="n">
        <x:v>0.005</x:v>
      </x:c>
      <x:c r="D7" s="10" t="str">
        <x:f>IF(B7&lt;=C7,"PASS","FAIL")</x:f>
        <x:v>PASS</x:v>
      </x:c>
    </x:row>
    <x:row r="8">
      <x:c r="A8" s="10" t="str">
        <x:v>Duplicate keys</x:v>
      </x:c>
      <x:c r="B8" s="10" t="n">
        <x:v>0</x:v>
      </x:c>
      <x:c r="C8" s="10" t="n">
        <x:v>0</x:v>
      </x:c>
      <x:c r="D8" s="10" t="str">
        <x:f>IF(B8=C8,"PASS","FAIL")</x:f>
        <x:v>PASS</x:v>
      </x:c>
    </x:row>
  </x:sheetData>
  <x:mergeCells>
    <x:mergeCell ref="A1:H1"/>
    <x:mergeCell ref="A2:H2"/>
  </x:mergeCells>
  <x:pageMargins left="0.7" right="0.7" top="0.75" bottom="0.75" header="0.3" footer="0.3"/>
</x:worksheet>
</file>