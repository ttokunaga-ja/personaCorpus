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3b6d3c240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ae6982ed0f4850"/>
    <x:sheet xmlns:r="http://schemas.openxmlformats.org/officeDocument/2006/relationships" name="Definitions" sheetId="2" r:id="Rd5a64bfa27c84bf3"/>
    <x:sheet xmlns:r="http://schemas.openxmlformats.org/officeDocument/2006/relationships" name="Checks" sheetId="3" r:id="R2544937878f2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¥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5ec84a5864682" /><Relationship Type="http://schemas.openxmlformats.org/officeDocument/2006/relationships/theme" Target="/xl/theme/theme1.xml" Id="R08e22f0524bc425d" /><Relationship Type="http://schemas.openxmlformats.org/officeDocument/2006/relationships/sharedStrings" Target="/xl/sharedStrings.xml" Id="R1230342bf82849f6" /><Relationship Type="http://schemas.openxmlformats.org/officeDocument/2006/relationships/worksheet" Target="/xl/worksheets/sheet1.xml" Id="R48ae6982ed0f4850" /><Relationship Type="http://schemas.openxmlformats.org/officeDocument/2006/relationships/worksheet" Target="/xl/worksheets/sheet2.xml" Id="Rd5a64bfa27c84bf3" /><Relationship Type="http://schemas.openxmlformats.org/officeDocument/2006/relationships/worksheet" Target="/xl/worksheets/sheet3.xml" Id="R2544937878f248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MTR-09 Field Coverage Audit</x:v>
      </x:c>
    </x:row>
    <x:row r="2">
      <x:c r="A2" s="6" t="str">
        <x:v>Mosaic Retail Analytics | FY26 Q3 | As of 2026-07-13 | metric MTR-09 | GMV ¥84.2M</x:v>
      </x:c>
    </x:row>
    <x:row r="4">
      <x:c r="A4" s="11" t="str">
        <x:v>Measure</x:v>
      </x:c>
      <x:c r="B4" s="11" t="str">
        <x:v>Count</x:v>
      </x:c>
      <x:c r="C4" s="11" t="str">
        <x:v>Formula</x:v>
      </x:c>
    </x:row>
    <x:row r="5">
      <x:c r="A5" s="12" t="str">
        <x:v>Required fields</x:v>
      </x:c>
      <x:c r="B5" s="12" t="n">
        <x:v>6</x:v>
      </x:c>
      <x:c r="C5" s="12" t="str">
        <x:v>Definition contract</x:v>
      </x:c>
    </x:row>
    <x:row r="6">
      <x:c r="A6" s="12" t="str">
        <x:v>Mapped fields</x:v>
      </x:c>
      <x:c r="B6" s="12" t="n">
        <x:v>6</x:v>
      </x:c>
      <x:c r="C6" s="12" t="str">
        <x:v>Warehouse mapping</x:v>
      </x:c>
    </x:row>
    <x:row r="7">
      <x:c r="A7" s="12" t="str">
        <x:v>Coverage rate</x:v>
      </x:c>
      <x:c r="B7" s="13" t="n">
        <x:f>B6/B5</x:f>
        <x:v>1</x:v>
      </x:c>
      <x:c r="C7" s="12" t="str">
        <x:v>Mapped / required</x:v>
      </x:c>
    </x:row>
    <x:row r="8">
      <x:c r="A8" s="12" t="str">
        <x:v>Open issues</x:v>
      </x:c>
      <x:c r="B8" s="12" t="n">
        <x:v>0</x:v>
      </x:c>
      <x:c r="C8" s="12" t="str">
        <x:v>Steward 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15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 ht="30" customHeight="1">
      <x:c r="A1" s="4" t="str">
        <x:v>Field Coverage Detail</x:v>
      </x:c>
    </x:row>
    <x:row r="2">
      <x:c r="A2" s="6" t="str">
        <x:v>Mosaic Retail Analytics | FY26 Q3 | As of 2026-07-13 | metric MTR-09 | GMV ¥84.2M</x:v>
      </x:c>
    </x:row>
    <x:row r="4">
      <x:c r="A4" s="11" t="str">
        <x:v>Field</x:v>
      </x:c>
      <x:c r="B4" s="11" t="str">
        <x:v>Contract required</x:v>
      </x:c>
      <x:c r="C4" s="11" t="str">
        <x:v>Warehouse mapped</x:v>
      </x:c>
      <x:c r="D4" s="11" t="str">
        <x:v>Nullable</x:v>
      </x:c>
      <x:c r="E4" s="11" t="str">
        <x:v>Owner</x:v>
      </x:c>
      <x:c r="F4" s="11" t="str">
        <x:v>Last reviewed</x:v>
      </x:c>
      <x:c r="G4" s="11" t="str">
        <x:v>Status</x:v>
      </x:c>
    </x:row>
    <x:row r="5">
      <x:c r="A5" s="12" t="str">
        <x:v>order_line_id</x:v>
      </x:c>
      <x:c r="B5" s="12" t="str">
        <x:v>Yes</x:v>
      </x:c>
      <x:c r="C5" s="12" t="str">
        <x:v>Yes</x:v>
      </x:c>
      <x:c r="D5" s="12" t="str">
        <x:v>No</x:v>
      </x:c>
      <x:c r="E5" s="12" t="str">
        <x:v>Data Platform</x:v>
      </x:c>
      <x:c r="F5" s="12" t="str">
        <x:v>2026-07-13</x:v>
      </x:c>
      <x:c r="G5" s="12" t="str">
        <x:f>IF(AND(B5="Yes",C5="Yes"),"Covered","Gap")</x:f>
        <x:v>Covered</x:v>
      </x:c>
    </x:row>
    <x:row r="6">
      <x:c r="A6" s="12" t="str">
        <x:v>net_line_value_jpy</x:v>
      </x:c>
      <x:c r="B6" s="12" t="str">
        <x:v>Yes</x:v>
      </x:c>
      <x:c r="C6" s="12" t="str">
        <x:v>Yes</x:v>
      </x:c>
      <x:c r="D6" s="12" t="str">
        <x:v>No</x:v>
      </x:c>
      <x:c r="E6" s="12" t="str">
        <x:v>BI Metrics</x:v>
      </x:c>
      <x:c r="F6" s="12" t="str">
        <x:v>2026-07-13</x:v>
      </x:c>
      <x:c r="G6" s="12" t="str">
        <x:f>IF(AND(B6="Yes",C6="Yes"),"Covered","Gap")</x:f>
        <x:v>Covered</x:v>
      </x:c>
    </x:row>
    <x:row r="7">
      <x:c r="A7" s="12" t="str">
        <x:v>channel</x:v>
      </x:c>
      <x:c r="B7" s="12" t="str">
        <x:v>Yes</x:v>
      </x:c>
      <x:c r="C7" s="12" t="str">
        <x:v>Yes</x:v>
      </x:c>
      <x:c r="D7" s="12" t="str">
        <x:v>No</x:v>
      </x:c>
      <x:c r="E7" s="12" t="str">
        <x:v>Commerce Ops</x:v>
      </x:c>
      <x:c r="F7" s="12" t="str">
        <x:v>2026-07-13</x:v>
      </x:c>
      <x:c r="G7" s="12" t="str">
        <x:f>IF(AND(B7="Yes",C7="Yes"),"Covered","Gap")</x:f>
        <x:v>Covered</x:v>
      </x:c>
    </x:row>
    <x:row r="8">
      <x:c r="A8" s="12" t="str">
        <x:v>region</x:v>
      </x:c>
      <x:c r="B8" s="12" t="str">
        <x:v>Yes</x:v>
      </x:c>
      <x:c r="C8" s="12" t="str">
        <x:v>Yes</x:v>
      </x:c>
      <x:c r="D8" s="12" t="str">
        <x:v>No</x:v>
      </x:c>
      <x:c r="E8" s="12" t="str">
        <x:v>Commerce Ops</x:v>
      </x:c>
      <x:c r="F8" s="12" t="str">
        <x:v>2026-07-13</x:v>
      </x:c>
      <x:c r="G8" s="12" t="str">
        <x:f>IF(AND(B8="Yes",C8="Yes"),"Covered","Gap")</x:f>
        <x:v>Covered</x:v>
      </x:c>
    </x:row>
    <x:row r="9">
      <x:c r="A9" s="12" t="str">
        <x:v>fulfillment_status</x:v>
      </x:c>
      <x:c r="B9" s="12" t="str">
        <x:v>Yes</x:v>
      </x:c>
      <x:c r="C9" s="12" t="str">
        <x:v>Yes</x:v>
      </x:c>
      <x:c r="D9" s="12" t="str">
        <x:v>No</x:v>
      </x:c>
      <x:c r="E9" s="12" t="str">
        <x:v>Warehouse</x:v>
      </x:c>
      <x:c r="F9" s="12" t="str">
        <x:v>2026-07-13</x:v>
      </x:c>
      <x:c r="G9" s="12" t="str">
        <x:f>IF(AND(B9="Yes",C9="Yes"),"Covered","Gap")</x:f>
        <x:v>Covered</x:v>
      </x:c>
    </x:row>
    <x:row r="10">
      <x:c r="A10" s="12" t="str">
        <x:v>metric_date</x:v>
      </x:c>
      <x:c r="B10" s="12" t="str">
        <x:v>Yes</x:v>
      </x:c>
      <x:c r="C10" s="12" t="str">
        <x:v>Yes</x:v>
      </x:c>
      <x:c r="D10" s="12" t="str">
        <x:v>No</x:v>
      </x:c>
      <x:c r="E10" s="12" t="str">
        <x:v>BI Metrics</x:v>
      </x:c>
      <x:c r="F10" s="12" t="str">
        <x:v>2026-07-13</x:v>
      </x:c>
      <x:c r="G10" s="12" t="str">
        <x:f>IF(AND(B10="Yes",C10="Yes"),"Covered","Gap")</x:f>
        <x:v>Covered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Audit Controls</x:v>
      </x:c>
    </x:row>
    <x:row r="2">
      <x:c r="A2" s="6" t="str">
        <x:v>Mosaic Retail Analytics | FY26 Q3 | As of 2026-07-13 | metric MTR-09 | GMV ¥84.2M</x:v>
      </x:c>
    </x:row>
    <x:row r="4">
      <x:c r="A4" s="11" t="str">
        <x:v>Control</x:v>
      </x:c>
      <x:c r="B4" s="11" t="str">
        <x:v>Result</x:v>
      </x:c>
      <x:c r="C4" s="11" t="str">
        <x:v>Status</x:v>
      </x:c>
    </x:row>
    <x:row r="5">
      <x:c r="A5" s="12" t="str">
        <x:v>Required fields without mapping</x:v>
      </x:c>
      <x:c r="B5" s="12" t="n">
        <x:v>0</x:v>
      </x:c>
      <x:c r="C5" s="12" t="str">
        <x:f>IF(B5=0,"PASS","FAIL")</x:f>
        <x:v>PASS</x:v>
      </x:c>
    </x:row>
    <x:row r="6">
      <x:c r="A6" s="12" t="str">
        <x:v>Fields with stale review</x:v>
      </x:c>
      <x:c r="B6" s="12" t="n">
        <x:v>0</x:v>
      </x:c>
      <x:c r="C6" s="12" t="str">
        <x:f>IF(B6=0,"PASS","FAIL")</x:f>
        <x:v>PASS</x:v>
      </x:c>
    </x:row>
    <x:row r="7">
      <x:c r="A7" s="12" t="str">
        <x:v>metric MTR-09 calculated GMV</x:v>
      </x:c>
      <x:c r="B7" s="15" t="n">
        <x:v>84200000</x:v>
      </x:c>
      <x:c r="C7" s="12" t="str">
        <x:f>IF(B7=84200000,"PASS","FAIL")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