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93a1afbc1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25fac0e1e14f01"/>
    <x:sheet xmlns:r="http://schemas.openxmlformats.org/officeDocument/2006/relationships" name="Raw Sales Import" sheetId="2" r:id="Rfaa41d83337a4704"/>
    <x:sheet xmlns:r="http://schemas.openxmlformats.org/officeDocument/2006/relationships" name="Raw Product Import" sheetId="3" r:id="R123d2f7a1a694f05"/>
    <x:sheet xmlns:r="http://schemas.openxmlformats.org/officeDocument/2006/relationships" name="Weekly Review Import" sheetId="4" r:id="R96b48ff15ad647d7"/>
    <x:sheet xmlns:r="http://schemas.openxmlformats.org/officeDocument/2006/relationships" name="Monthly Review Import" sheetId="5" r:id="R26f4541b427d491a"/>
    <x:sheet xmlns:r="http://schemas.openxmlformats.org/officeDocument/2006/relationships" name="Reconciliation" sheetId="6" r:id="R9bd8bbc49285464c"/>
    <x:sheet xmlns:r="http://schemas.openxmlformats.org/officeDocument/2006/relationships" name="Checks" sheetId="7" r:id="R6bb2ace61014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5546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1F7"/>
      </x:patternFill>
    </x:fill>
    <x:fill>
      <x:patternFill patternType="solid">
        <x:fgColor rgb="FF16324F"/>
      </x:patternFill>
    </x:fill>
  </x:fills>
  <x:borders count="4">
    <x:border/>
    <x:border>
      <x:left style="thin">
        <x:color rgb="FF8FA8BD"/>
      </x:left>
      <x:top style="thin">
        <x:color rgb="FF8FA8BD"/>
      </x:top>
      <x:bottom style="thin">
        <x:color rgb="FF8FA8BD"/>
      </x:bottom>
    </x:border>
    <x:border>
      <x:top style="thin">
        <x:color rgb="FF8FA8BD"/>
      </x:top>
      <x:bottom style="thin">
        <x:color rgb="FF8FA8BD"/>
      </x:bottom>
    </x:border>
    <x:border>
      <x:right style="thin">
        <x:color rgb="FF8FA8BD"/>
      </x:right>
      <x:top style="thin">
        <x:color rgb="FF8FA8BD"/>
      </x:top>
      <x:bottom style="thin">
        <x:color rgb="FF8FA8BD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a3945f2114af3" /><Relationship Type="http://schemas.openxmlformats.org/officeDocument/2006/relationships/theme" Target="/xl/theme/theme1.xml" Id="R471197e1fe6c4a90" /><Relationship Type="http://schemas.openxmlformats.org/officeDocument/2006/relationships/sharedStrings" Target="/xl/sharedStrings.xml" Id="Rca5e355001a64f2e" /><Relationship Type="http://schemas.openxmlformats.org/officeDocument/2006/relationships/worksheet" Target="/xl/worksheets/sheet1.xml" Id="Rdd25fac0e1e14f01" /><Relationship Type="http://schemas.openxmlformats.org/officeDocument/2006/relationships/worksheet" Target="/xl/worksheets/sheet2.xml" Id="Rfaa41d83337a4704" /><Relationship Type="http://schemas.openxmlformats.org/officeDocument/2006/relationships/worksheet" Target="/xl/worksheets/sheet3.xml" Id="R123d2f7a1a694f05" /><Relationship Type="http://schemas.openxmlformats.org/officeDocument/2006/relationships/worksheet" Target="/xl/worksheets/sheet4.xml" Id="R96b48ff15ad647d7" /><Relationship Type="http://schemas.openxmlformats.org/officeDocument/2006/relationships/worksheet" Target="/xl/worksheets/sheet5.xml" Id="R26f4541b427d491a" /><Relationship Type="http://schemas.openxmlformats.org/officeDocument/2006/relationships/worksheet" Target="/xl/worksheets/sheet6.xml" Id="R9bd8bbc49285464c" /><Relationship Type="http://schemas.openxmlformats.org/officeDocument/2006/relationships/worksheet" Target="/xl/worksheets/sheet7.xml" Id="R6bb2ace6101447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7" hidden="0" customWidth="1"/>
    <x:col min="5" max="5" width="18" hidden="0" customWidth="1"/>
    <x:col min="6" max="6" width="17" hidden="0" customWidth="1"/>
    <x:col min="7" max="7" width="24" hidden="0" customWidth="1"/>
    <x:col min="8" max="8" width="48" hidden="0" customWidth="1"/>
  </x:cols>
  <x:sheetData>
    <x:row r="1" ht="28" customHeight="1">
      <x:c r="A1" s="3" t="str">
        <x:v>Dashboard Export Bundle — MTR-09</x:v>
      </x:c>
    </x:row>
    <x:row r="2" ht="30" customHeight="1">
      <x:c r="A2" s="6" t="str">
        <x:v>2026-07-07 to 2026-07-13 JST | Generated 2026-07-13T23:59:00+09:00 | Fictional S2 data only</x:v>
      </x:c>
    </x:row>
    <x:row r="4">
      <x:c r="A4" s="12" t="str">
        <x:v>KPI</x:v>
      </x:c>
      <x:c r="B4" s="13" t="str">
        <x:v>MTR-09 Net</x:v>
      </x:c>
      <x:c r="C4" s="13" t="str">
        <x:v>Plan</x:v>
      </x:c>
      <x:c r="D4" s="13" t="str">
        <x:v>Plan Var.</x:v>
      </x:c>
      <x:c r="E4" s="13" t="str">
        <x:v>Prior</x:v>
      </x:c>
      <x:c r="F4" s="13" t="str">
        <x:v>Prior Var.</x:v>
      </x:c>
      <x:c r="G4" s="13" t="str">
        <x:v>Refresh</x:v>
      </x:c>
      <x:c r="H4" s="14" t="str">
        <x:v>Status</x:v>
      </x:c>
    </x:row>
    <x:row r="5">
      <x:c r="A5" t="str">
        <x:v>Net merchandise value</x:v>
      </x:c>
      <x:c r="B5" s="15" t="n">
        <x:f>'Monthly Review Import'!B7</x:f>
        <x:v>84200000</x:v>
      </x:c>
      <x:c r="C5" s="15" t="n">
        <x:f>'Monthly Review Import'!B8</x:f>
        <x:v>80000000</x:v>
      </x:c>
      <x:c r="D5" s="15" t="n">
        <x:f>B5-C5</x:f>
        <x:v>4200000</x:v>
      </x:c>
      <x:c r="E5" s="15" t="n">
        <x:f>'Monthly Review Import'!B9</x:f>
        <x:v>78600000</x:v>
      </x:c>
      <x:c r="F5" s="15" t="n">
        <x:f>B5-E5</x:f>
        <x:v>5600000</x:v>
      </x:c>
      <x:c r="G5" t="str">
        <x:v>2026-07-13 23:59 JST</x:v>
      </x:c>
      <x:c r="H5" t="str">
        <x:f>IF(AND(D5&gt;=0,F5&gt;=0),"ON TRACK","REVIEW")</x:f>
        <x:v>ON TRACK</x:v>
      </x:c>
    </x:row>
    <x:row r="8">
      <x:c r="A8" s="12" t="str">
        <x:v>Daily trend</x:v>
      </x:c>
      <x:c r="B8" s="13" t="str">
        <x:v>Actual JPY</x:v>
      </x:c>
      <x:c r="C8" s="13" t="str">
        <x:v>Plan run-rate JPY</x:v>
      </x:c>
      <x:c r="D8" s="14" t="str">
        <x:v>Variance JPY</x:v>
      </x:c>
      <x:c r="F8" s="12" t="str">
        <x:v>Channel</x:v>
      </x:c>
      <x:c r="G8" s="13" t="str">
        <x:v>Net JPY</x:v>
      </x:c>
      <x:c r="H8" s="14" t="str">
        <x:v>Share</x:v>
      </x:c>
    </x:row>
    <x:row r="9">
      <x:c r="A9" t="str">
        <x:v>2026-07-07</x:v>
      </x:c>
      <x:c r="B9" s="15" t="n">
        <x:v>10800000</x:v>
      </x:c>
      <x:c r="C9" s="15" t="n">
        <x:v>11428571.42857143</x:v>
      </x:c>
      <x:c r="D9" s="15" t="n">
        <x:f>B9-C9</x:f>
        <x:v>-628571.4285714291</x:v>
      </x:c>
      <x:c r="F9" t="str">
        <x:v>Online</x:v>
      </x:c>
      <x:c r="G9" s="15" t="n">
        <x:v>46300000</x:v>
      </x:c>
      <x:c r="H9" s="16" t="n">
        <x:f>G9/$G$11</x:f>
        <x:v>0.5498812351543944</x:v>
      </x:c>
    </x:row>
    <x:row r="10">
      <x:c r="A10" t="str">
        <x:v>2026-07-08</x:v>
      </x:c>
      <x:c r="B10" s="15" t="n">
        <x:v>11200000</x:v>
      </x:c>
      <x:c r="C10" s="15" t="n">
        <x:v>11428571.42857143</x:v>
      </x:c>
      <x:c r="D10" s="15" t="n">
        <x:f>B10-C10</x:f>
        <x:v>-228571.4285714291</x:v>
      </x:c>
      <x:c r="F10" t="str">
        <x:v>Stores</x:v>
      </x:c>
      <x:c r="G10" s="15" t="n">
        <x:v>37900000</x:v>
      </x:c>
      <x:c r="H10" s="16" t="n">
        <x:f>G10/$G$11</x:f>
        <x:v>0.4501187648456057</x:v>
      </x:c>
    </x:row>
    <x:row r="11">
      <x:c r="A11" t="str">
        <x:v>2026-07-09</x:v>
      </x:c>
      <x:c r="B11" s="15" t="n">
        <x:v>11500000</x:v>
      </x:c>
      <x:c r="C11" s="15" t="n">
        <x:v>11428571.42857143</x:v>
      </x:c>
      <x:c r="D11" s="15" t="n">
        <x:f>B11-C11</x:f>
        <x:v>71428.5714285709</x:v>
      </x:c>
      <x:c r="F11" t="str">
        <x:v>Total</x:v>
      </x:c>
      <x:c r="G11" s="15" t="n">
        <x:v>84200000</x:v>
      </x:c>
      <x:c r="H11" s="16" t="n">
        <x:f>G11/$G$11</x:f>
        <x:v>1</x:v>
      </x:c>
    </x:row>
    <x:row r="12">
      <x:c r="A12" t="str">
        <x:v>2026-07-10</x:v>
      </x:c>
      <x:c r="B12" s="15" t="n">
        <x:v>12100000</x:v>
      </x:c>
      <x:c r="C12" s="15" t="n">
        <x:v>11428571.42857143</x:v>
      </x:c>
      <x:c r="D12" s="15" t="n">
        <x:f>B12-C12</x:f>
        <x:v>671428.5714285709</x:v>
      </x:c>
    </x:row>
    <x:row r="13">
      <x:c r="A13" t="str">
        <x:v>2026-07-11</x:v>
      </x:c>
      <x:c r="B13" s="15" t="n">
        <x:v>12400000</x:v>
      </x:c>
      <x:c r="C13" s="15" t="n">
        <x:v>11428571.42857143</x:v>
      </x:c>
      <x:c r="D13" s="15" t="n">
        <x:f>B13-C13</x:f>
        <x:v>971428.5714285709</x:v>
      </x:c>
    </x:row>
    <x:row r="14">
      <x:c r="A14" t="str">
        <x:v>2026-07-12</x:v>
      </x:c>
      <x:c r="B14" s="15" t="n">
        <x:v>13000000</x:v>
      </x:c>
      <x:c r="C14" s="15" t="n">
        <x:v>11428571.42857143</x:v>
      </x:c>
      <x:c r="D14" s="15" t="n">
        <x:f>B14-C14</x:f>
        <x:v>1571428.571428571</x:v>
      </x:c>
      <x:c r="F14" s="12" t="str">
        <x:v>Note</x:v>
      </x:c>
      <x:c r="G14" s="13" t="str">
        <x:v>Value</x:v>
      </x:c>
      <x:c r="H14" s="14" t="str">
        <x:v>Definition</x:v>
      </x:c>
    </x:row>
    <x:row r="15">
      <x:c r="A15" t="str">
        <x:v>2026-07-13</x:v>
      </x:c>
      <x:c r="B15" s="15" t="n">
        <x:v>13200000</x:v>
      </x:c>
      <x:c r="C15" s="15" t="n">
        <x:v>11428571.42857143</x:v>
      </x:c>
      <x:c r="D15" s="15" t="n">
        <x:f>B15-C15</x:f>
        <x:v>1771428.571428571</x:v>
      </x:c>
      <x:c r="F15" t="str">
        <x:v>Aggregation level</x:v>
      </x:c>
      <x:c r="G15" t="str">
        <x:v>Completed order-line</x:v>
      </x:c>
      <x:c r="H15" s="17" t="str">
        <x:v>No customer records</x:v>
      </x:c>
    </x:row>
    <x:row r="16">
      <x:c r="F16" t="str">
        <x:v>Metric definition</x:v>
      </x:c>
      <x:c r="G16" t="str">
        <x:v>MTR-09</x:v>
      </x:c>
      <x:c r="H16" s="17" t="str">
        <x:v>MTR-09 completed order-line merchandise value, tax excluded, net recognized refunds, JPY</x:v>
      </x:c>
    </x:row>
    <x:row r="17">
      <x:c r="F17" t="str">
        <x:v>Source schema</x:v>
      </x:c>
      <x:c r="G17" t="str">
        <x:v>Dashboard downloads</x:v>
      </x:c>
      <x:c r="H17" s="17" t="str">
        <x:v>Sales, product, weekly, monthly exports</x:v>
      </x:c>
    </x:row>
  </x:sheetData>
  <x:mergeCells>
    <x:mergeCell ref="A1:H1"/>
    <x:mergeCell ref="A2:H2"/>
  </x:mergeCells>
  <x:conditionalFormatting sqref="B9:B15">
    <x:cfRule type="dataBar" priority="1">
      <x:dataBar>
        <x:cfvo type="min"/>
        <x:cfvo type="max"/>
        <x:color rgb="FF2E86AB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FF2E86AB"/>
            </x14:dataBar>
          </x14:cfRule>
          <xm:sqref>B9:B15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25" hidden="0" customWidth="1"/>
    <x:col min="5" max="5" width="30" hidden="0" customWidth="1"/>
    <x:col min="6" max="6" width="16" hidden="0" customWidth="1"/>
  </x:cols>
  <x:sheetData>
    <x:row r="1" ht="28" customHeight="1">
      <x:c r="A1" s="3" t="str">
        <x:v>Raw Sales Import</x:v>
      </x:c>
    </x:row>
    <x:row r="2" ht="30" customHeight="1">
      <x:c r="A2" s="6" t="str">
        <x:v>Source schema: sales-dashboard-download.csv | Aggregation: channel / region / category | Generated 2026-07-13T23:59:00+09:00</x:v>
      </x:c>
    </x:row>
    <x:row r="4">
      <x:c r="A4" s="12" t="str">
        <x:v>Channel</x:v>
      </x:c>
      <x:c r="B4" s="13" t="str">
        <x:v>Region</x:v>
      </x:c>
      <x:c r="C4" s="13" t="str">
        <x:v>Category</x:v>
      </x:c>
      <x:c r="D4" s="13" t="str">
        <x:v>Net merchandise value JPY</x:v>
      </x:c>
      <x:c r="E4" s="13" t="str">
        <x:v>Period</x:v>
      </x:c>
      <x:c r="F4" s="14" t="str">
        <x:v>Metric definition</x:v>
      </x:c>
    </x:row>
    <x:row r="5">
      <x:c r="A5" t="str">
        <x:v>Online</x:v>
      </x:c>
      <x:c r="B5" t="str">
        <x:v>East</x:v>
      </x:c>
      <x:c r="C5" t="str">
        <x:v>Home</x:v>
      </x:c>
      <x:c r="D5" s="15" t="n">
        <x:v>4500000</x:v>
      </x:c>
      <x:c r="E5" t="str">
        <x:v>2026-07-07 to 2026-07-13 JST</x:v>
      </x:c>
      <x:c r="F5" t="str">
        <x:v>MTR-09</x:v>
      </x:c>
    </x:row>
    <x:row r="6">
      <x:c r="A6" t="str">
        <x:v>Stores</x:v>
      </x:c>
      <x:c r="B6" t="str">
        <x:v>East</x:v>
      </x:c>
      <x:c r="C6" t="str">
        <x:v>Home</x:v>
      </x:c>
      <x:c r="D6" s="15" t="n">
        <x:v>3500000</x:v>
      </x:c>
      <x:c r="E6" t="str">
        <x:v>2026-07-07 to 2026-07-13 JST</x:v>
      </x:c>
      <x:c r="F6" t="str">
        <x:v>MTR-09</x:v>
      </x:c>
    </x:row>
    <x:row r="7">
      <x:c r="A7" t="str">
        <x:v>Online</x:v>
      </x:c>
      <x:c r="B7" t="str">
        <x:v>East</x:v>
      </x:c>
      <x:c r="C7" t="str">
        <x:v>Electronics</x:v>
      </x:c>
      <x:c r="D7" s="15" t="n">
        <x:v>4000000</x:v>
      </x:c>
      <x:c r="E7" t="str">
        <x:v>2026-07-07 to 2026-07-13 JST</x:v>
      </x:c>
      <x:c r="F7" t="str">
        <x:v>MTR-09</x:v>
      </x:c>
    </x:row>
    <x:row r="8">
      <x:c r="A8" t="str">
        <x:v>Stores</x:v>
      </x:c>
      <x:c r="B8" t="str">
        <x:v>East</x:v>
      </x:c>
      <x:c r="C8" t="str">
        <x:v>Electronics</x:v>
      </x:c>
      <x:c r="D8" s="15" t="n">
        <x:v>3200000</x:v>
      </x:c>
      <x:c r="E8" t="str">
        <x:v>2026-07-07 to 2026-07-13 JST</x:v>
      </x:c>
      <x:c r="F8" t="str">
        <x:v>MTR-09</x:v>
      </x:c>
    </x:row>
    <x:row r="9">
      <x:c r="A9" t="str">
        <x:v>Online</x:v>
      </x:c>
      <x:c r="B9" t="str">
        <x:v>East</x:v>
      </x:c>
      <x:c r="C9" t="str">
        <x:v>Apparel</x:v>
      </x:c>
      <x:c r="D9" s="15" t="n">
        <x:v>3000000</x:v>
      </x:c>
      <x:c r="E9" t="str">
        <x:v>2026-07-07 to 2026-07-13 JST</x:v>
      </x:c>
      <x:c r="F9" t="str">
        <x:v>MTR-09</x:v>
      </x:c>
    </x:row>
    <x:row r="10">
      <x:c r="A10" t="str">
        <x:v>Stores</x:v>
      </x:c>
      <x:c r="B10" t="str">
        <x:v>East</x:v>
      </x:c>
      <x:c r="C10" t="str">
        <x:v>Apparel</x:v>
      </x:c>
      <x:c r="D10" s="15" t="n">
        <x:v>2000000</x:v>
      </x:c>
      <x:c r="E10" t="str">
        <x:v>2026-07-07 to 2026-07-13 JST</x:v>
      </x:c>
      <x:c r="F10" t="str">
        <x:v>MTR-09</x:v>
      </x:c>
    </x:row>
    <x:row r="11">
      <x:c r="A11" t="str">
        <x:v>Online</x:v>
      </x:c>
      <x:c r="B11" t="str">
        <x:v>East</x:v>
      </x:c>
      <x:c r="C11" t="str">
        <x:v>Beauty</x:v>
      </x:c>
      <x:c r="D11" s="15" t="n">
        <x:v>1300000</x:v>
      </x:c>
      <x:c r="E11" t="str">
        <x:v>2026-07-07 to 2026-07-13 JST</x:v>
      </x:c>
      <x:c r="F11" t="str">
        <x:v>MTR-09</x:v>
      </x:c>
    </x:row>
    <x:row r="12">
      <x:c r="A12" t="str">
        <x:v>Stores</x:v>
      </x:c>
      <x:c r="B12" t="str">
        <x:v>East</x:v>
      </x:c>
      <x:c r="C12" t="str">
        <x:v>Beauty</x:v>
      </x:c>
      <x:c r="D12" s="15" t="n">
        <x:v>2000000</x:v>
      </x:c>
      <x:c r="E12" t="str">
        <x:v>2026-07-07 to 2026-07-13 JST</x:v>
      </x:c>
      <x:c r="F12" t="str">
        <x:v>MTR-09</x:v>
      </x:c>
    </x:row>
    <x:row r="13">
      <x:c r="A13" t="str">
        <x:v>Online</x:v>
      </x:c>
      <x:c r="B13" t="str">
        <x:v>East</x:v>
      </x:c>
      <x:c r="C13" t="str">
        <x:v>Other</x:v>
      </x:c>
      <x:c r="D13" s="15" t="n">
        <x:v>1900000</x:v>
      </x:c>
      <x:c r="E13" t="str">
        <x:v>2026-07-07 to 2026-07-13 JST</x:v>
      </x:c>
      <x:c r="F13" t="str">
        <x:v>MTR-09</x:v>
      </x:c>
    </x:row>
    <x:row r="14">
      <x:c r="A14" t="str">
        <x:v>Stores</x:v>
      </x:c>
      <x:c r="B14" t="str">
        <x:v>East</x:v>
      </x:c>
      <x:c r="C14" t="str">
        <x:v>Other</x:v>
      </x:c>
      <x:c r="D14" s="15" t="n">
        <x:v>1000000</x:v>
      </x:c>
      <x:c r="E14" t="str">
        <x:v>2026-07-07 to 2026-07-13 JST</x:v>
      </x:c>
      <x:c r="F14" t="str">
        <x:v>MTR-09</x:v>
      </x:c>
    </x:row>
    <x:row r="15">
      <x:c r="A15" t="str">
        <x:v>Online</x:v>
      </x:c>
      <x:c r="B15" t="str">
        <x:v>West</x:v>
      </x:c>
      <x:c r="C15" t="str">
        <x:v>Home</x:v>
      </x:c>
      <x:c r="D15" s="15" t="n">
        <x:v>3500000</x:v>
      </x:c>
      <x:c r="E15" t="str">
        <x:v>2026-07-07 to 2026-07-13 JST</x:v>
      </x:c>
      <x:c r="F15" t="str">
        <x:v>MTR-09</x:v>
      </x:c>
    </x:row>
    <x:row r="16">
      <x:c r="A16" t="str">
        <x:v>Stores</x:v>
      </x:c>
      <x:c r="B16" t="str">
        <x:v>West</x:v>
      </x:c>
      <x:c r="C16" t="str">
        <x:v>Home</x:v>
      </x:c>
      <x:c r="D16" s="15" t="n">
        <x:v>2500000</x:v>
      </x:c>
      <x:c r="E16" t="str">
        <x:v>2026-07-07 to 2026-07-13 JST</x:v>
      </x:c>
      <x:c r="F16" t="str">
        <x:v>MTR-09</x:v>
      </x:c>
    </x:row>
    <x:row r="17">
      <x:c r="A17" t="str">
        <x:v>Online</x:v>
      </x:c>
      <x:c r="B17" t="str">
        <x:v>West</x:v>
      </x:c>
      <x:c r="C17" t="str">
        <x:v>Electronics</x:v>
      </x:c>
      <x:c r="D17" s="15" t="n">
        <x:v>2700000</x:v>
      </x:c>
      <x:c r="E17" t="str">
        <x:v>2026-07-07 to 2026-07-13 JST</x:v>
      </x:c>
      <x:c r="F17" t="str">
        <x:v>MTR-09</x:v>
      </x:c>
    </x:row>
    <x:row r="18">
      <x:c r="A18" t="str">
        <x:v>Stores</x:v>
      </x:c>
      <x:c r="B18" t="str">
        <x:v>West</x:v>
      </x:c>
      <x:c r="C18" t="str">
        <x:v>Electronics</x:v>
      </x:c>
      <x:c r="D18" s="15" t="n">
        <x:v>2600000</x:v>
      </x:c>
      <x:c r="E18" t="str">
        <x:v>2026-07-07 to 2026-07-13 JST</x:v>
      </x:c>
      <x:c r="F18" t="str">
        <x:v>MTR-09</x:v>
      </x:c>
    </x:row>
    <x:row r="19">
      <x:c r="A19" t="str">
        <x:v>Online</x:v>
      </x:c>
      <x:c r="B19" t="str">
        <x:v>West</x:v>
      </x:c>
      <x:c r="C19" t="str">
        <x:v>Apparel</x:v>
      </x:c>
      <x:c r="D19" s="15" t="n">
        <x:v>3600000</x:v>
      </x:c>
      <x:c r="E19" t="str">
        <x:v>2026-07-07 to 2026-07-13 JST</x:v>
      </x:c>
      <x:c r="F19" t="str">
        <x:v>MTR-09</x:v>
      </x:c>
    </x:row>
    <x:row r="20">
      <x:c r="A20" t="str">
        <x:v>Stores</x:v>
      </x:c>
      <x:c r="B20" t="str">
        <x:v>West</x:v>
      </x:c>
      <x:c r="C20" t="str">
        <x:v>Apparel</x:v>
      </x:c>
      <x:c r="D20" s="15" t="n">
        <x:v>3000000</x:v>
      </x:c>
      <x:c r="E20" t="str">
        <x:v>2026-07-07 to 2026-07-13 JST</x:v>
      </x:c>
      <x:c r="F20" t="str">
        <x:v>MTR-09</x:v>
      </x:c>
    </x:row>
    <x:row r="21">
      <x:c r="A21" t="str">
        <x:v>Online</x:v>
      </x:c>
      <x:c r="B21" t="str">
        <x:v>West</x:v>
      </x:c>
      <x:c r="C21" t="str">
        <x:v>Beauty</x:v>
      </x:c>
      <x:c r="D21" s="15" t="n">
        <x:v>1300000</x:v>
      </x:c>
      <x:c r="E21" t="str">
        <x:v>2026-07-07 to 2026-07-13 JST</x:v>
      </x:c>
      <x:c r="F21" t="str">
        <x:v>MTR-09</x:v>
      </x:c>
    </x:row>
    <x:row r="22">
      <x:c r="A22" t="str">
        <x:v>Stores</x:v>
      </x:c>
      <x:c r="B22" t="str">
        <x:v>West</x:v>
      </x:c>
      <x:c r="C22" t="str">
        <x:v>Beauty</x:v>
      </x:c>
      <x:c r="D22" s="15" t="n">
        <x:v>1600000</x:v>
      </x:c>
      <x:c r="E22" t="str">
        <x:v>2026-07-07 to 2026-07-13 JST</x:v>
      </x:c>
      <x:c r="F22" t="str">
        <x:v>MTR-09</x:v>
      </x:c>
    </x:row>
    <x:row r="23">
      <x:c r="A23" t="str">
        <x:v>Online</x:v>
      </x:c>
      <x:c r="B23" t="str">
        <x:v>West</x:v>
      </x:c>
      <x:c r="C23" t="str">
        <x:v>Other</x:v>
      </x:c>
      <x:c r="D23" s="15" t="n">
        <x:v>1400000</x:v>
      </x:c>
      <x:c r="E23" t="str">
        <x:v>2026-07-07 to 2026-07-13 JST</x:v>
      </x:c>
      <x:c r="F23" t="str">
        <x:v>MTR-09</x:v>
      </x:c>
    </x:row>
    <x:row r="24">
      <x:c r="A24" t="str">
        <x:v>Stores</x:v>
      </x:c>
      <x:c r="B24" t="str">
        <x:v>West</x:v>
      </x:c>
      <x:c r="C24" t="str">
        <x:v>Other</x:v>
      </x:c>
      <x:c r="D24" s="15" t="n">
        <x:v>600000</x:v>
      </x:c>
      <x:c r="E24" t="str">
        <x:v>2026-07-07 to 2026-07-13 JST</x:v>
      </x:c>
      <x:c r="F24" t="str">
        <x:v>MTR-09</x:v>
      </x:c>
    </x:row>
    <x:row r="25">
      <x:c r="A25" t="str">
        <x:v>Online</x:v>
      </x:c>
      <x:c r="B25" t="str">
        <x:v>Central</x:v>
      </x:c>
      <x:c r="C25" t="str">
        <x:v>Home</x:v>
      </x:c>
      <x:c r="D25" s="15" t="n">
        <x:v>2400000</x:v>
      </x:c>
      <x:c r="E25" t="str">
        <x:v>2026-07-07 to 2026-07-13 JST</x:v>
      </x:c>
      <x:c r="F25" t="str">
        <x:v>MTR-09</x:v>
      </x:c>
    </x:row>
    <x:row r="26">
      <x:c r="A26" t="str">
        <x:v>Stores</x:v>
      </x:c>
      <x:c r="B26" t="str">
        <x:v>Central</x:v>
      </x:c>
      <x:c r="C26" t="str">
        <x:v>Home</x:v>
      </x:c>
      <x:c r="D26" s="15" t="n">
        <x:v>2600000</x:v>
      </x:c>
      <x:c r="E26" t="str">
        <x:v>2026-07-07 to 2026-07-13 JST</x:v>
      </x:c>
      <x:c r="F26" t="str">
        <x:v>MTR-09</x:v>
      </x:c>
    </x:row>
    <x:row r="27">
      <x:c r="A27" t="str">
        <x:v>Online</x:v>
      </x:c>
      <x:c r="B27" t="str">
        <x:v>Central</x:v>
      </x:c>
      <x:c r="C27" t="str">
        <x:v>Electronics</x:v>
      </x:c>
      <x:c r="D27" s="15" t="n">
        <x:v>3100000</x:v>
      </x:c>
      <x:c r="E27" t="str">
        <x:v>2026-07-07 to 2026-07-13 JST</x:v>
      </x:c>
      <x:c r="F27" t="str">
        <x:v>MTR-09</x:v>
      </x:c>
    </x:row>
    <x:row r="28">
      <x:c r="A28" t="str">
        <x:v>Stores</x:v>
      </x:c>
      <x:c r="B28" t="str">
        <x:v>Central</x:v>
      </x:c>
      <x:c r="C28" t="str">
        <x:v>Electronics</x:v>
      </x:c>
      <x:c r="D28" s="15" t="n">
        <x:v>2000000</x:v>
      </x:c>
      <x:c r="E28" t="str">
        <x:v>2026-07-07 to 2026-07-13 JST</x:v>
      </x:c>
      <x:c r="F28" t="str">
        <x:v>MTR-09</x:v>
      </x:c>
    </x:row>
    <x:row r="29">
      <x:c r="A29" t="str">
        <x:v>Online</x:v>
      </x:c>
      <x:c r="B29" t="str">
        <x:v>Central</x:v>
      </x:c>
      <x:c r="C29" t="str">
        <x:v>Apparel</x:v>
      </x:c>
      <x:c r="D29" s="15" t="n">
        <x:v>2800000</x:v>
      </x:c>
      <x:c r="E29" t="str">
        <x:v>2026-07-07 to 2026-07-13 JST</x:v>
      </x:c>
      <x:c r="F29" t="str">
        <x:v>MTR-09</x:v>
      </x:c>
    </x:row>
    <x:row r="30">
      <x:c r="A30" t="str">
        <x:v>Stores</x:v>
      </x:c>
      <x:c r="B30" t="str">
        <x:v>Central</x:v>
      </x:c>
      <x:c r="C30" t="str">
        <x:v>Apparel</x:v>
      </x:c>
      <x:c r="D30" s="15" t="n">
        <x:v>1700000</x:v>
      </x:c>
      <x:c r="E30" t="str">
        <x:v>2026-07-07 to 2026-07-13 JST</x:v>
      </x:c>
      <x:c r="F30" t="str">
        <x:v>MTR-09</x:v>
      </x:c>
    </x:row>
    <x:row r="31">
      <x:c r="A31" t="str">
        <x:v>Online</x:v>
      </x:c>
      <x:c r="B31" t="str">
        <x:v>Central</x:v>
      </x:c>
      <x:c r="C31" t="str">
        <x:v>Beauty</x:v>
      </x:c>
      <x:c r="D31" s="15" t="n">
        <x:v>1200000</x:v>
      </x:c>
      <x:c r="E31" t="str">
        <x:v>2026-07-07 to 2026-07-13 JST</x:v>
      </x:c>
      <x:c r="F31" t="str">
        <x:v>MTR-09</x:v>
      </x:c>
    </x:row>
    <x:row r="32">
      <x:c r="A32" t="str">
        <x:v>Stores</x:v>
      </x:c>
      <x:c r="B32" t="str">
        <x:v>Central</x:v>
      </x:c>
      <x:c r="C32" t="str">
        <x:v>Beauty</x:v>
      </x:c>
      <x:c r="D32" s="15" t="n">
        <x:v>1400000</x:v>
      </x:c>
      <x:c r="E32" t="str">
        <x:v>2026-07-07 to 2026-07-13 JST</x:v>
      </x:c>
      <x:c r="F32" t="str">
        <x:v>MTR-09</x:v>
      </x:c>
    </x:row>
    <x:row r="33">
      <x:c r="A33" t="str">
        <x:v>Online</x:v>
      </x:c>
      <x:c r="B33" t="str">
        <x:v>Central</x:v>
      </x:c>
      <x:c r="C33" t="str">
        <x:v>Other</x:v>
      </x:c>
      <x:c r="D33" s="15" t="n">
        <x:v>900000</x:v>
      </x:c>
      <x:c r="E33" t="str">
        <x:v>2026-07-07 to 2026-07-13 JST</x:v>
      </x:c>
      <x:c r="F33" t="str">
        <x:v>MTR-09</x:v>
      </x:c>
    </x:row>
    <x:row r="34">
      <x:c r="A34" t="str">
        <x:v>Stores</x:v>
      </x:c>
      <x:c r="B34" t="str">
        <x:v>Central</x:v>
      </x:c>
      <x:c r="C34" t="str">
        <x:v>Other</x:v>
      </x:c>
      <x:c r="D34" s="15" t="n">
        <x:v>500000</x:v>
      </x:c>
      <x:c r="E34" t="str">
        <x:v>2026-07-07 to 2026-07-13 JST</x:v>
      </x:c>
      <x:c r="F34" t="str">
        <x:v>MTR-09</x:v>
      </x:c>
    </x:row>
    <x:row r="35">
      <x:c r="A35" t="str">
        <x:v>Online</x:v>
      </x:c>
      <x:c r="B35" t="str">
        <x:v>North</x:v>
      </x:c>
      <x:c r="C35" t="str">
        <x:v>Home</x:v>
      </x:c>
      <x:c r="D35" s="15" t="n">
        <x:v>2800000</x:v>
      </x:c>
      <x:c r="E35" t="str">
        <x:v>2026-07-07 to 2026-07-13 JST</x:v>
      </x:c>
      <x:c r="F35" t="str">
        <x:v>MTR-09</x:v>
      </x:c>
    </x:row>
    <x:row r="36">
      <x:c r="A36" t="str">
        <x:v>Stores</x:v>
      </x:c>
      <x:c r="B36" t="str">
        <x:v>North</x:v>
      </x:c>
      <x:c r="C36" t="str">
        <x:v>Home</x:v>
      </x:c>
      <x:c r="D36" s="15" t="n">
        <x:v>3000000</x:v>
      </x:c>
      <x:c r="E36" t="str">
        <x:v>2026-07-07 to 2026-07-13 JST</x:v>
      </x:c>
      <x:c r="F36" t="str">
        <x:v>MTR-09</x:v>
      </x:c>
    </x:row>
    <x:row r="37">
      <x:c r="A37" t="str">
        <x:v>Online</x:v>
      </x:c>
      <x:c r="B37" t="str">
        <x:v>North</x:v>
      </x:c>
      <x:c r="C37" t="str">
        <x:v>Electronics</x:v>
      </x:c>
      <x:c r="D37" s="15" t="n">
        <x:v>2300000</x:v>
      </x:c>
      <x:c r="E37" t="str">
        <x:v>2026-07-07 to 2026-07-13 JST</x:v>
      </x:c>
      <x:c r="F37" t="str">
        <x:v>MTR-09</x:v>
      </x:c>
    </x:row>
    <x:row r="38">
      <x:c r="A38" t="str">
        <x:v>Stores</x:v>
      </x:c>
      <x:c r="B38" t="str">
        <x:v>North</x:v>
      </x:c>
      <x:c r="C38" t="str">
        <x:v>Electronics</x:v>
      </x:c>
      <x:c r="D38" s="15" t="n">
        <x:v>2200000</x:v>
      </x:c>
      <x:c r="E38" t="str">
        <x:v>2026-07-07 to 2026-07-13 JST</x:v>
      </x:c>
      <x:c r="F38" t="str">
        <x:v>MTR-09</x:v>
      </x:c>
    </x:row>
    <x:row r="39">
      <x:c r="A39" t="str">
        <x:v>Online</x:v>
      </x:c>
      <x:c r="B39" t="str">
        <x:v>North</x:v>
      </x:c>
      <x:c r="C39" t="str">
        <x:v>Apparel</x:v>
      </x:c>
      <x:c r="D39" s="15" t="n">
        <x:v>1900000</x:v>
      </x:c>
      <x:c r="E39" t="str">
        <x:v>2026-07-07 to 2026-07-13 JST</x:v>
      </x:c>
      <x:c r="F39" t="str">
        <x:v>MTR-09</x:v>
      </x:c>
    </x:row>
    <x:row r="40">
      <x:c r="A40" t="str">
        <x:v>Stores</x:v>
      </x:c>
      <x:c r="B40" t="str">
        <x:v>North</x:v>
      </x:c>
      <x:c r="C40" t="str">
        <x:v>Apparel</x:v>
      </x:c>
      <x:c r="D40" s="15" t="n">
        <x:v>1300000</x:v>
      </x:c>
      <x:c r="E40" t="str">
        <x:v>2026-07-07 to 2026-07-13 JST</x:v>
      </x:c>
      <x:c r="F40" t="str">
        <x:v>MTR-09</x:v>
      </x:c>
    </x:row>
    <x:row r="41">
      <x:c r="A41" t="str">
        <x:v>Online</x:v>
      </x:c>
      <x:c r="B41" t="str">
        <x:v>North</x:v>
      </x:c>
      <x:c r="C41" t="str">
        <x:v>Beauty</x:v>
      </x:c>
      <x:c r="D41" s="15" t="n">
        <x:v>900000</x:v>
      </x:c>
      <x:c r="E41" t="str">
        <x:v>2026-07-07 to 2026-07-13 JST</x:v>
      </x:c>
      <x:c r="F41" t="str">
        <x:v>MTR-09</x:v>
      </x:c>
    </x:row>
    <x:row r="42">
      <x:c r="A42" t="str">
        <x:v>Stores</x:v>
      </x:c>
      <x:c r="B42" t="str">
        <x:v>North</x:v>
      </x:c>
      <x:c r="C42" t="str">
        <x:v>Beauty</x:v>
      </x:c>
      <x:c r="D42" s="15" t="n">
        <x:v>1000000</x:v>
      </x:c>
      <x:c r="E42" t="str">
        <x:v>2026-07-07 to 2026-07-13 JST</x:v>
      </x:c>
      <x:c r="F42" t="str">
        <x:v>MTR-09</x:v>
      </x:c>
    </x:row>
    <x:row r="43">
      <x:c r="A43" t="str">
        <x:v>Online</x:v>
      </x:c>
      <x:c r="B43" t="str">
        <x:v>North</x:v>
      </x:c>
      <x:c r="C43" t="str">
        <x:v>Other</x:v>
      </x:c>
      <x:c r="D43" s="15" t="n">
        <x:v>800000</x:v>
      </x:c>
      <x:c r="E43" t="str">
        <x:v>2026-07-07 to 2026-07-13 JST</x:v>
      </x:c>
      <x:c r="F43" t="str">
        <x:v>MTR-09</x:v>
      </x:c>
    </x:row>
    <x:row r="44">
      <x:c r="A44" t="str">
        <x:v>Stores</x:v>
      </x:c>
      <x:c r="B44" t="str">
        <x:v>North</x:v>
      </x:c>
      <x:c r="C44" t="str">
        <x:v>Other</x:v>
      </x:c>
      <x:c r="D44" s="15" t="n">
        <x:v>200000</x:v>
      </x:c>
      <x:c r="E44" t="str">
        <x:v>2026-07-07 to 2026-07-13 JST</x:v>
      </x:c>
      <x:c r="F44" t="str">
        <x:v>MTR-09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2" hidden="0" customWidth="1"/>
    <x:col min="4" max="4" width="12" hidden="0" customWidth="1"/>
    <x:col min="5" max="5" width="25" hidden="0" customWidth="1"/>
    <x:col min="6" max="6" width="30" hidden="0" customWidth="1"/>
    <x:col min="7" max="7" width="16" hidden="0" customWidth="1"/>
  </x:cols>
  <x:sheetData>
    <x:row r="1" ht="28" customHeight="1">
      <x:c r="A1" s="3" t="str">
        <x:v>Raw Product Import</x:v>
      </x:c>
    </x:row>
    <x:row r="2" ht="30" customHeight="1">
      <x:c r="A2" s="6" t="str">
        <x:v>Source schema: product-dashboard-download.csv | Aggregation: category | Generated 2026-07-13T23:59:00+09:00</x:v>
      </x:c>
    </x:row>
    <x:row r="4">
      <x:c r="A4" s="12" t="str">
        <x:v>Category</x:v>
      </x:c>
      <x:c r="B4" s="13" t="str">
        <x:v>Net merchandise value JPY</x:v>
      </x:c>
      <x:c r="C4" s="13" t="str">
        <x:v>Share %</x:v>
      </x:c>
      <x:c r="D4" s="13" t="str">
        <x:v>Units</x:v>
      </x:c>
      <x:c r="E4" s="13" t="str">
        <x:v>Avg. order value JPY</x:v>
      </x:c>
      <x:c r="F4" s="13" t="str">
        <x:v>Period</x:v>
      </x:c>
      <x:c r="G4" s="14" t="str">
        <x:v>Metric definition</x:v>
      </x:c>
    </x:row>
    <x:row r="5">
      <x:c r="A5" t="str">
        <x:v>Home</x:v>
      </x:c>
      <x:c r="B5" s="15" t="n">
        <x:v>24800000</x:v>
      </x:c>
      <x:c r="C5" s="16" t="n">
        <x:f>B5/$B$10</x:f>
        <x:v>0.29453681710213775</x:v>
      </x:c>
      <x:c r="D5" t="n">
        <x:v>24100</x:v>
      </x:c>
      <x:c r="E5" t="n">
        <x:v>1030</x:v>
      </x:c>
      <x:c r="F5" t="str">
        <x:v>2026-07-07 to 2026-07-13 JST</x:v>
      </x:c>
      <x:c r="G5" t="str">
        <x:v>MTR-09</x:v>
      </x:c>
    </x:row>
    <x:row r="6">
      <x:c r="A6" t="str">
        <x:v>Electronics</x:v>
      </x:c>
      <x:c r="B6" s="15" t="n">
        <x:v>22100000</x:v>
      </x:c>
      <x:c r="C6" s="16" t="n">
        <x:f>B6/$B$10</x:f>
        <x:v>0.26247030878859856</x:v>
      </x:c>
      <x:c r="D6" t="n">
        <x:v>10600</x:v>
      </x:c>
      <x:c r="E6" t="n">
        <x:v>2085</x:v>
      </x:c>
      <x:c r="F6" t="str">
        <x:v>2026-07-07 to 2026-07-13 JST</x:v>
      </x:c>
      <x:c r="G6" t="str">
        <x:v>MTR-09</x:v>
      </x:c>
    </x:row>
    <x:row r="7">
      <x:c r="A7" t="str">
        <x:v>Apparel</x:v>
      </x:c>
      <x:c r="B7" s="15" t="n">
        <x:v>19300000</x:v>
      </x:c>
      <x:c r="C7" s="16" t="n">
        <x:f>B7/$B$10</x:f>
        <x:v>0.22921615201900236</x:v>
      </x:c>
      <x:c r="D7" t="n">
        <x:v>18400</x:v>
      </x:c>
      <x:c r="E7" t="n">
        <x:v>1049</x:v>
      </x:c>
      <x:c r="F7" t="str">
        <x:v>2026-07-07 to 2026-07-13 JST</x:v>
      </x:c>
      <x:c r="G7" t="str">
        <x:v>MTR-09</x:v>
      </x:c>
    </x:row>
    <x:row r="8">
      <x:c r="A8" t="str">
        <x:v>Beauty</x:v>
      </x:c>
      <x:c r="B8" s="15" t="n">
        <x:v>10700000</x:v>
      </x:c>
      <x:c r="C8" s="16" t="n">
        <x:f>B8/$B$10</x:f>
        <x:v>0.12707838479809977</x:v>
      </x:c>
      <x:c r="D8" t="n">
        <x:v>15200</x:v>
      </x:c>
      <x:c r="E8" t="n">
        <x:v>704</x:v>
      </x:c>
      <x:c r="F8" t="str">
        <x:v>2026-07-07 to 2026-07-13 JST</x:v>
      </x:c>
      <x:c r="G8" t="str">
        <x:v>MTR-09</x:v>
      </x:c>
    </x:row>
    <x:row r="9">
      <x:c r="A9" t="str">
        <x:v>Other</x:v>
      </x:c>
      <x:c r="B9" s="15" t="n">
        <x:v>7300000</x:v>
      </x:c>
      <x:c r="C9" s="16" t="n">
        <x:f>B9/$B$10</x:f>
        <x:v>0.08669833729216152</x:v>
      </x:c>
      <x:c r="D9" t="n">
        <x:v>8900</x:v>
      </x:c>
      <x:c r="E9" t="n">
        <x:v>820</x:v>
      </x:c>
      <x:c r="F9" t="str">
        <x:v>2026-07-07 to 2026-07-13 JST</x:v>
      </x:c>
      <x:c r="G9" t="str">
        <x:v>MTR-09</x:v>
      </x:c>
    </x:row>
    <x:row r="10">
      <x:c r="A10" t="str">
        <x:v>Total</x:v>
      </x:c>
      <x:c r="B10" s="15" t="n">
        <x:v>84200000</x:v>
      </x:c>
      <x:c r="C10" s="16" t="n">
        <x:f>B10/$B$10</x:f>
        <x:v>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6" hidden="0" customWidth="1"/>
    <x:col min="4" max="4" width="25" hidden="0" customWidth="1"/>
    <x:col min="5" max="5" width="15" hidden="0" customWidth="1"/>
    <x:col min="6" max="6" width="30" hidden="0" customWidth="1"/>
    <x:col min="7" max="7" width="24" hidden="0" customWidth="1"/>
  </x:cols>
  <x:sheetData>
    <x:row r="1" ht="28" customHeight="1">
      <x:c r="A1" s="3" t="str">
        <x:v>Weekly Review Import</x:v>
      </x:c>
    </x:row>
    <x:row r="2" ht="30" customHeight="1">
      <x:c r="A2" s="6" t="str">
        <x:v>Source schema: weekly-review-download.tsv | Aggregation: daily completed order-lines | Generated 2026-07-13T23:59:00+09:00</x:v>
      </x:c>
    </x:row>
    <x:row r="4">
      <x:c r="A4" s="12" t="str">
        <x:v>Date</x:v>
      </x:c>
      <x:c r="B4" s="13" t="str">
        <x:v>Net merchandise value JPY</x:v>
      </x:c>
      <x:c r="C4" s="13" t="str">
        <x:v>Gross merchandise value JPY</x:v>
      </x:c>
      <x:c r="D4" s="13" t="str">
        <x:v>Recognized refunds JPY</x:v>
      </x:c>
      <x:c r="E4" s="13" t="str">
        <x:v>Channel focus</x:v>
      </x:c>
      <x:c r="F4" s="13" t="str">
        <x:v>Period</x:v>
      </x:c>
      <x:c r="G4" s="14" t="str">
        <x:v>Refresh timestamp</x:v>
      </x:c>
    </x:row>
    <x:row r="5">
      <x:c r="A5" t="str">
        <x:v>2026-07-07</x:v>
      </x:c>
      <x:c r="B5" s="15" t="n">
        <x:v>10800000</x:v>
      </x:c>
      <x:c r="C5" s="15" t="n">
        <x:v>11000000</x:v>
      </x:c>
      <x:c r="D5" s="15" t="n">
        <x:v>-200000</x:v>
      </x:c>
      <x:c r="E5" t="str">
        <x:v>Online</x:v>
      </x:c>
      <x:c r="F5" t="str">
        <x:v>2026-07-07 to 2026-07-13 JST</x:v>
      </x:c>
      <x:c r="G5" t="str">
        <x:v>2026-07-13 23:59 JST</x:v>
      </x:c>
    </x:row>
    <x:row r="6">
      <x:c r="A6" t="str">
        <x:v>2026-07-08</x:v>
      </x:c>
      <x:c r="B6" s="15" t="n">
        <x:v>11200000</x:v>
      </x:c>
      <x:c r="C6" s="15" t="n">
        <x:v>11400000</x:v>
      </x:c>
      <x:c r="D6" s="15" t="n">
        <x:v>-200000</x:v>
      </x:c>
      <x:c r="E6" t="str">
        <x:v>Online</x:v>
      </x:c>
      <x:c r="F6" t="str">
        <x:v>2026-07-07 to 2026-07-13 JST</x:v>
      </x:c>
      <x:c r="G6" t="str">
        <x:v>2026-07-13 23:59 JST</x:v>
      </x:c>
    </x:row>
    <x:row r="7">
      <x:c r="A7" t="str">
        <x:v>2026-07-09</x:v>
      </x:c>
      <x:c r="B7" s="15" t="n">
        <x:v>11500000</x:v>
      </x:c>
      <x:c r="C7" s="15" t="n">
        <x:v>11750000</x:v>
      </x:c>
      <x:c r="D7" s="15" t="n">
        <x:v>-250000</x:v>
      </x:c>
      <x:c r="E7" t="str">
        <x:v>Online</x:v>
      </x:c>
      <x:c r="F7" t="str">
        <x:v>2026-07-07 to 2026-07-13 JST</x:v>
      </x:c>
      <x:c r="G7" t="str">
        <x:v>2026-07-13 23:59 JST</x:v>
      </x:c>
    </x:row>
    <x:row r="8">
      <x:c r="A8" t="str">
        <x:v>2026-07-10</x:v>
      </x:c>
      <x:c r="B8" s="15" t="n">
        <x:v>12100000</x:v>
      </x:c>
      <x:c r="C8" s="15" t="n">
        <x:v>12350000</x:v>
      </x:c>
      <x:c r="D8" s="15" t="n">
        <x:v>-250000</x:v>
      </x:c>
      <x:c r="E8" t="str">
        <x:v>Online</x:v>
      </x:c>
      <x:c r="F8" t="str">
        <x:v>2026-07-07 to 2026-07-13 JST</x:v>
      </x:c>
      <x:c r="G8" t="str">
        <x:v>2026-07-13 23:59 JST</x:v>
      </x:c>
    </x:row>
    <x:row r="9">
      <x:c r="A9" t="str">
        <x:v>2026-07-11</x:v>
      </x:c>
      <x:c r="B9" s="15" t="n">
        <x:v>12400000</x:v>
      </x:c>
      <x:c r="C9" s="15" t="n">
        <x:v>12700000</x:v>
      </x:c>
      <x:c r="D9" s="15" t="n">
        <x:v>-300000</x:v>
      </x:c>
      <x:c r="E9" t="str">
        <x:v>Stores</x:v>
      </x:c>
      <x:c r="F9" t="str">
        <x:v>2026-07-07 to 2026-07-13 JST</x:v>
      </x:c>
      <x:c r="G9" t="str">
        <x:v>2026-07-13 23:59 JST</x:v>
      </x:c>
    </x:row>
    <x:row r="10">
      <x:c r="A10" t="str">
        <x:v>2026-07-12</x:v>
      </x:c>
      <x:c r="B10" s="15" t="n">
        <x:v>13000000</x:v>
      </x:c>
      <x:c r="C10" s="15" t="n">
        <x:v>13300000</x:v>
      </x:c>
      <x:c r="D10" s="15" t="n">
        <x:v>-300000</x:v>
      </x:c>
      <x:c r="E10" t="str">
        <x:v>Stores</x:v>
      </x:c>
      <x:c r="F10" t="str">
        <x:v>2026-07-07 to 2026-07-13 JST</x:v>
      </x:c>
      <x:c r="G10" t="str">
        <x:v>2026-07-13 23:59 JST</x:v>
      </x:c>
    </x:row>
    <x:row r="11">
      <x:c r="A11" t="str">
        <x:v>2026-07-13</x:v>
      </x:c>
      <x:c r="B11" s="15" t="n">
        <x:v>13200000</x:v>
      </x:c>
      <x:c r="C11" s="15" t="n">
        <x:v>13500000</x:v>
      </x:c>
      <x:c r="D11" s="15" t="n">
        <x:v>-300000</x:v>
      </x:c>
      <x:c r="E11" t="str">
        <x:v>Stores</x:v>
      </x:c>
      <x:c r="F11" t="str">
        <x:v>2026-07-07 to 2026-07-13 JST</x:v>
      </x:c>
      <x:c r="G11" t="str">
        <x:v>2026-07-13 23:59 JST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2" hidden="0" customWidth="1"/>
    <x:col min="4" max="4" width="30" hidden="0" customWidth="1"/>
    <x:col min="5" max="5" width="30" hidden="0" customWidth="1"/>
    <x:col min="6" max="6" width="56" hidden="0" customWidth="1"/>
  </x:cols>
  <x:sheetData>
    <x:row r="1" ht="28" customHeight="1">
      <x:c r="A1" s="3" t="str">
        <x:v>Monthly Review Import</x:v>
      </x:c>
    </x:row>
    <x:row r="2" ht="30" customHeight="1">
      <x:c r="A2" s="6" t="str">
        <x:v>Source schema: monthly-review-download.csv | Aggregation: completed order-line metric rollup | Generated 2026-07-13T23:59:00+09:00</x:v>
      </x:c>
    </x:row>
    <x:row r="4">
      <x:c r="A4" s="12" t="str">
        <x:v>Metric</x:v>
      </x:c>
      <x:c r="B4" s="13" t="str">
        <x:v>Value</x:v>
      </x:c>
      <x:c r="C4" s="13" t="str">
        <x:v>Unit</x:v>
      </x:c>
      <x:c r="D4" s="13" t="str">
        <x:v>Period</x:v>
      </x:c>
      <x:c r="E4" s="13" t="str">
        <x:v>Source schema</x:v>
      </x:c>
      <x:c r="F4" s="14" t="str">
        <x:v>Definition / note</x:v>
      </x:c>
    </x:row>
    <x:row r="5">
      <x:c r="A5" t="str">
        <x:v>Gross merchandise value</x:v>
      </x:c>
      <x:c r="B5" s="15" t="n">
        <x:v>86000000</x:v>
      </x:c>
      <x:c r="C5" t="str">
        <x:v>JPY</x:v>
      </x:c>
      <x:c r="D5" t="str">
        <x:v>2026-07-07 to 2026-07-13 JST</x:v>
      </x:c>
      <x:c r="E5" t="str">
        <x:v>monthly-review-download.csv</x:v>
      </x:c>
      <x:c r="F5" t="str">
        <x:v>Completed order-line merchandise value before recognized refunds</x:v>
      </x:c>
    </x:row>
    <x:row r="6">
      <x:c r="A6" t="str">
        <x:v>Recognized refunds</x:v>
      </x:c>
      <x:c r="B6" s="15" t="n">
        <x:v>-1800000</x:v>
      </x:c>
      <x:c r="C6" t="str">
        <x:v>JPY</x:v>
      </x:c>
      <x:c r="D6" t="str">
        <x:v>2026-07-07 to 2026-07-13 JST</x:v>
      </x:c>
      <x:c r="E6" t="str">
        <x:v>monthly-review-download.csv</x:v>
      </x:c>
      <x:c r="F6" t="str">
        <x:v>Net recognized refunds</x:v>
      </x:c>
    </x:row>
    <x:row r="7">
      <x:c r="A7" t="str">
        <x:v>MTR-09 net merchandise value</x:v>
      </x:c>
      <x:c r="B7" s="15" t="n">
        <x:v>84200000</x:v>
      </x:c>
      <x:c r="C7" t="str">
        <x:v>JPY</x:v>
      </x:c>
      <x:c r="D7" t="str">
        <x:v>2026-07-07 to 2026-07-13 JST</x:v>
      </x:c>
      <x:c r="E7" t="str">
        <x:v>monthly-review-download.csv</x:v>
      </x:c>
      <x:c r="F7" t="str">
        <x:v>MTR-09 completed order-line merchandise value, tax excluded, net recognized refunds, JPY</x:v>
      </x:c>
    </x:row>
    <x:row r="8">
      <x:c r="A8" t="str">
        <x:v>Plan</x:v>
      </x:c>
      <x:c r="B8" s="15" t="n">
        <x:v>80000000</x:v>
      </x:c>
      <x:c r="C8" t="str">
        <x:v>JPY</x:v>
      </x:c>
      <x:c r="D8" t="str">
        <x:v>2026-07-07 to 2026-07-13 JST</x:v>
      </x:c>
      <x:c r="E8" t="str">
        <x:v>monthly-review-download.csv</x:v>
      </x:c>
      <x:c r="F8" t="str">
        <x:v>Approved operating plan</x:v>
      </x:c>
    </x:row>
    <x:row r="9">
      <x:c r="A9" t="str">
        <x:v>Prior comparable period</x:v>
      </x:c>
      <x:c r="B9" s="15" t="n">
        <x:v>78600000</x:v>
      </x:c>
      <x:c r="C9" t="str">
        <x:v>JPY</x:v>
      </x:c>
      <x:c r="D9" t="str">
        <x:v>2026-07-07 to 2026-07-13 JST</x:v>
      </x:c>
      <x:c r="E9" t="str">
        <x:v>monthly-review-download.csv</x:v>
      </x:c>
      <x:c r="F9" t="str">
        <x:v>Prior-period comparison baseline</x:v>
      </x:c>
    </x:row>
    <x:row r="10">
      <x:c r="A10" t="str">
        <x:v>Plan variance</x:v>
      </x:c>
      <x:c r="B10" s="15" t="n">
        <x:v>4200000</x:v>
      </x:c>
      <x:c r="C10" t="str">
        <x:v>JPY</x:v>
      </x:c>
      <x:c r="D10" t="str">
        <x:v>2026-07-07 to 2026-07-13 JST</x:v>
      </x:c>
      <x:c r="E10" t="str">
        <x:v>monthly-review-download.csv</x:v>
      </x:c>
      <x:c r="F10" t="str">
        <x:v>MTR-09 less plan</x:v>
      </x:c>
    </x:row>
    <x:row r="11">
      <x:c r="A11" t="str">
        <x:v>Prior-period variance</x:v>
      </x:c>
      <x:c r="B11" s="15" t="n">
        <x:v>5600000</x:v>
      </x:c>
      <x:c r="C11" t="str">
        <x:v>JPY</x:v>
      </x:c>
      <x:c r="D11" t="str">
        <x:v>2026-07-07 to 2026-07-13 JST</x:v>
      </x:c>
      <x:c r="E11" t="str">
        <x:v>monthly-review-download.csv</x:v>
      </x:c>
      <x:c r="F11" t="str">
        <x:v>MTR-09 less prior comparable period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20" hidden="0" customWidth="1"/>
    <x:col min="5" max="5" width="16" hidden="0" customWidth="1"/>
  </x:cols>
  <x:sheetData>
    <x:row r="1" ht="28" customHeight="1">
      <x:c r="A1" s="3" t="str">
        <x:v>Reconciliation</x:v>
      </x:c>
    </x:row>
    <x:row r="2" ht="30" customHeight="1">
      <x:c r="A2" s="6" t="str">
        <x:v>Cross-export reconciliation: all values should tie to MTR-09 net merchandise value.</x:v>
      </x:c>
    </x:row>
    <x:row r="4">
      <x:c r="A4" s="12" t="str">
        <x:v>Reconciliation check</x:v>
      </x:c>
      <x:c r="B4" s="13" t="str">
        <x:v>Sales / source</x:v>
      </x:c>
      <x:c r="C4" s="13" t="str">
        <x:v>Product / source</x:v>
      </x:c>
      <x:c r="D4" s="13" t="str">
        <x:v>MTR-09 target</x:v>
      </x:c>
      <x:c r="E4" s="14" t="str">
        <x:v>Delta</x:v>
      </x:c>
    </x:row>
    <x:row r="5">
      <x:c r="A5" t="str">
        <x:v>Net total</x:v>
      </x:c>
      <x:c r="B5" s="15" t="n">
        <x:f>SUM('Raw Sales Import'!D5:D44)</x:f>
        <x:v>84200000</x:v>
      </x:c>
      <x:c r="C5" s="15" t="n">
        <x:f>'Raw Product Import'!B10</x:f>
        <x:v>84200000</x:v>
      </x:c>
      <x:c r="D5" s="15" t="n">
        <x:f>'Monthly Review Import'!B7</x:f>
        <x:v>84200000</x:v>
      </x:c>
      <x:c r="E5" s="15" t="n">
        <x:f>B5-D5</x:f>
        <x:v>0</x:v>
      </x:c>
    </x:row>
    <x:row r="6">
      <x:c r="A6" t="str">
        <x:v>Daily sum</x:v>
      </x:c>
      <x:c r="B6" s="15" t="n">
        <x:f>SUM('Weekly Review Import'!B5:B11)</x:f>
        <x:v>84200000</x:v>
      </x:c>
      <x:c r="C6" s="15"/>
      <x:c r="D6" s="15" t="n">
        <x:f>'Monthly Review Import'!B7</x:f>
        <x:v>84200000</x:v>
      </x:c>
      <x:c r="E6" s="15" t="n">
        <x:f>B6-D6</x:f>
        <x:v>0</x:v>
      </x:c>
    </x:row>
    <x:row r="7">
      <x:c r="A7" t="str">
        <x:v>Category total</x:v>
      </x:c>
      <x:c r="B7" s="15" t="n">
        <x:f>SUM('Raw Product Import'!B5:B9)</x:f>
        <x:v>84200000</x:v>
      </x:c>
      <x:c r="C7" s="15"/>
      <x:c r="D7" s="15" t="n">
        <x:f>'Monthly Review Import'!B7</x:f>
        <x:v>84200000</x:v>
      </x:c>
      <x:c r="E7" s="15" t="n">
        <x:f>B7-D7</x:f>
        <x:v>0</x:v>
      </x:c>
    </x:row>
    <x:row r="8">
      <x:c r="A8" t="str">
        <x:v>Gross less refunds</x:v>
      </x:c>
      <x:c r="B8" s="15" t="n">
        <x:f>'Monthly Review Import'!B5+'Monthly Review Import'!B6</x:f>
        <x:v>84200000</x:v>
      </x:c>
      <x:c r="C8" s="15"/>
      <x:c r="D8" s="15" t="n">
        <x:f>'Monthly Review Import'!B7</x:f>
        <x:v>84200000</x:v>
      </x:c>
      <x:c r="E8" s="15" t="n">
        <x:f>B8-D8</x:f>
        <x:v>0</x:v>
      </x:c>
    </x:row>
  </x:sheetData>
  <x:mergeCells>
    <x:mergeCell ref="A1:E1"/>
    <x:mergeCell ref="A2:E2"/>
  </x:mergeCells>
  <x:conditionalFormatting sqref="E5:E8">
    <x:cfRule type="cellIs" dxfId="0" priority="1" operator="equal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28" hidden="0" customWidth="1"/>
    <x:col min="5" max="5" width="40" hidden="0" customWidth="1"/>
  </x:cols>
  <x:sheetData>
    <x:row r="1" ht="28" customHeight="1">
      <x:c r="A1" s="3" t="str">
        <x:v>Checks</x:v>
      </x:c>
    </x:row>
    <x:row r="2" ht="30" customHeight="1">
      <x:c r="A2" s="6" t="str">
        <x:v>Controls are formula-driven; PASS requires every delta to be zero.</x:v>
      </x:c>
    </x:row>
    <x:row r="4">
      <x:c r="A4" s="12" t="str">
        <x:v>Check</x:v>
      </x:c>
      <x:c r="B4" s="13" t="str">
        <x:v>Result</x:v>
      </x:c>
      <x:c r="C4" s="13" t="str">
        <x:v>Delta</x:v>
      </x:c>
      <x:c r="D4" s="13" t="str">
        <x:v>Where to fix</x:v>
      </x:c>
      <x:c r="E4" s="14" t="str">
        <x:v>Notes</x:v>
      </x:c>
    </x:row>
    <x:row r="5">
      <x:c r="A5" t="str">
        <x:v>Sales total ties MTR-09</x:v>
      </x:c>
      <x:c r="B5" t="str">
        <x:f>IF(Reconciliation!E5=0,"PASS","FAIL")</x:f>
        <x:v>PASS</x:v>
      </x:c>
      <x:c r="C5" s="15" t="n">
        <x:f>Reconciliation!E5</x:f>
        <x:v>0</x:v>
      </x:c>
      <x:c r="D5" t="str">
        <x:v>Raw Sales Import</x:v>
      </x:c>
      <x:c r="E5" t="str">
        <x:v>Expected zero</x:v>
      </x:c>
    </x:row>
    <x:row r="6">
      <x:c r="A6" t="str">
        <x:v>Product total ties MTR-09</x:v>
      </x:c>
      <x:c r="B6" t="str">
        <x:f>IF(Reconciliation!E7=0,"PASS","FAIL")</x:f>
        <x:v>PASS</x:v>
      </x:c>
      <x:c r="C6" s="15" t="n">
        <x:f>Reconciliation!E7</x:f>
        <x:v>0</x:v>
      </x:c>
      <x:c r="D6" t="str">
        <x:v>Raw Product Import</x:v>
      </x:c>
      <x:c r="E6" t="str">
        <x:v>Expected zero</x:v>
      </x:c>
    </x:row>
    <x:row r="7">
      <x:c r="A7" t="str">
        <x:v>Daily total ties MTR-09</x:v>
      </x:c>
      <x:c r="B7" t="str">
        <x:f>IF(Reconciliation!E6=0,"PASS","FAIL")</x:f>
        <x:v>PASS</x:v>
      </x:c>
      <x:c r="C7" s="15" t="n">
        <x:f>Reconciliation!E6</x:f>
        <x:v>0</x:v>
      </x:c>
      <x:c r="D7" t="str">
        <x:v>Weekly Review Import</x:v>
      </x:c>
      <x:c r="E7" t="str">
        <x:v>Expected zero</x:v>
      </x:c>
    </x:row>
    <x:row r="8">
      <x:c r="A8" t="str">
        <x:v>Gross less refunds ties MTR-09</x:v>
      </x:c>
      <x:c r="B8" t="str">
        <x:f>IF(Reconciliation!E8=0,"PASS","FAIL")</x:f>
        <x:v>PASS</x:v>
      </x:c>
      <x:c r="C8" s="15" t="n">
        <x:f>Reconciliation!E8</x:f>
        <x:v>0</x:v>
      </x:c>
      <x:c r="D8" t="str">
        <x:v>Monthly Review Import</x:v>
      </x:c>
      <x:c r="E8" t="str">
        <x:v>Expected zero</x:v>
      </x:c>
    </x:row>
    <x:row r="9">
      <x:c r="A9" t="str">
        <x:v>Formula error scan</x:v>
      </x:c>
      <x:c r="B9" t="str">
        <x:v>PASS</x:v>
      </x:c>
      <x:c r="D9" t="str">
        <x:v>Workbook formulas</x:v>
      </x:c>
      <x:c r="E9" t="str">
        <x:v>No formula errors found during export QA</x:v>
      </x:c>
    </x:row>
    <x:row r="11">
      <x:c r="A11" s="18" t="str">
        <x:v>MODEL STATUS</x:v>
      </x:c>
      <x:c r="B11" s="18" t="str">
        <x:f>IF(COUNTIF(B5:B9,"FAIL")=0,"PASS","FAIL")</x:f>
        <x:v>PASS</x:v>
      </x:c>
    </x:row>
  </x:sheetData>
  <x:mergeCells>
    <x:mergeCell ref="A1:E1"/>
    <x:mergeCell ref="A2:E2"/>
  </x:mergeCells>
  <x:conditionalFormatting sqref="B5:B9">
    <x:cfRule type="containsText" dxfId="1" priority="1" operator="containsText" text="PASS"/>
    <x:cfRule type="containsText" dxfId="2" priority="2" operator="containsText" text="FAIL"/>
  </x:conditionalFormatting>
  <x:pageMargins left="0.7" right="0.7" top="0.75" bottom="0.75" header="0.3" footer="0.3"/>
</x:worksheet>
</file>