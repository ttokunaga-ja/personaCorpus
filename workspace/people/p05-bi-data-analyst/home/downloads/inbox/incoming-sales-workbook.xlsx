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7dd57032b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" sheetId="1" r:id="R5a64b1384d36424e"/>
    <x:sheet xmlns:r="http://schemas.openxmlformats.org/officeDocument/2006/relationships" name="Raw_Data" sheetId="2" r:id="R16a756c3043744ac"/>
    <x:sheet xmlns:r="http://schemas.openxmlformats.org/officeDocument/2006/relationships" name="Checks" sheetId="3" r:id="R0e01a27c61a4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"/>
  </x:numFmts>
  <x:fonts count="10">
    <x:font>
      <x:sz val="11"/>
      <x:name val="Carlito"/>
    </x:font>
    <x:font>
      <x:sz val="10"/>
      <x:color rgb="FF1F2937"/>
      <x:name val="Aptos"/>
    </x:font>
    <x:font>
      <x:b/>
      <x:sz val="14"/>
      <x:color rgb="FFFFFFFF"/>
      <x:name val="Aptos"/>
    </x:font>
    <x:font>
      <x:b/>
      <x:sz val="14"/>
      <x:color rgb="FFFFFFFF"/>
      <x:name val="Carlito"/>
    </x:font>
    <x:font>
      <x:b/>
      <x:sz val="10"/>
      <x:color rgb="FF17365D"/>
      <x:name val="Aptos"/>
    </x:font>
    <x:font>
      <x:b/>
      <x:sz val="16"/>
      <x:color rgb="FFFFFFFF"/>
      <x:name val="Aptos"/>
    </x:font>
    <x:font>
      <x:i/>
      <x:sz val="10"/>
      <x:color rgb="FF365F91"/>
      <x:name val="Aptos"/>
    </x:font>
    <x:font>
      <x:b/>
      <x:sz val="10"/>
      <x:color rgb="FF274E13"/>
      <x:name val="Aptos"/>
    </x:font>
    <x:font>
      <x:b/>
      <x:sz val="12"/>
      <x:color rgb="FF1F2937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F3F8EE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2" borderId="0" xfId="0" applyNumberFormat="1" applyFont="1" applyFill="1" applyBorder="1"/>
    <x:xf numFmtId="0" fontId="9" fillId="7" borderId="0" xfId="0" applyNumberFormat="1" applyFont="1" applyFill="1" applyBorder="1"/>
    <x:xf numFmtId="0" fontId="7" fillId="7" borderId="0" xfId="0" applyNumberFormat="1" applyFont="1" applyFill="1" applyBorder="1"/>
    <x:xf numFmtId="200" fontId="1" fillId="0" borderId="0" xfId="0" applyNumberFormat="1" applyFont="1" applyFill="1" applyBorder="1"/>
    <x:xf numFmtId="200" fontId="8" fillId="6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1a869a954435f" /><Relationship Type="http://schemas.openxmlformats.org/officeDocument/2006/relationships/theme" Target="/xl/theme/theme1.xml" Id="R6715e5fa99254842" /><Relationship Type="http://schemas.openxmlformats.org/officeDocument/2006/relationships/sharedStrings" Target="/xl/sharedStrings.xml" Id="R842a5f1bf793467f" /><Relationship Type="http://schemas.openxmlformats.org/officeDocument/2006/relationships/worksheet" Target="/xl/worksheets/sheet1.xml" Id="R5a64b1384d36424e" /><Relationship Type="http://schemas.openxmlformats.org/officeDocument/2006/relationships/worksheet" Target="/xl/worksheets/sheet2.xml" Id="R16a756c3043744ac" /><Relationship Type="http://schemas.openxmlformats.org/officeDocument/2006/relationships/worksheet" Target="/xl/worksheets/sheet3.xml" Id="R0e01a27c61a443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.11000061035156" hidden="0" customWidth="1"/>
    <x:col min="2" max="2" width="9.4399995803833" hidden="0" customWidth="1"/>
    <x:col min="3" max="3" width="8.4399995803833" hidden="0" customWidth="1"/>
    <x:col min="4" max="4" width="9.4399995803833" hidden="0" customWidth="1"/>
    <x:col min="5" max="5" width="8.329999923706055" hidden="0" customWidth="1"/>
    <x:col min="6" max="6" width="8.329999923706055" hidden="0" customWidth="1"/>
    <x:col min="7" max="7" width="8.329999923706055" hidden="0" customWidth="1"/>
    <x:col min="8" max="8" width="8.329999923706055" hidden="0" customWidth="1"/>
  </x:cols>
  <x:sheetData>
    <x:row r="1" ht="19.200000762939453" hidden="0" customHeight="1">
      <x:c r="A1" s="11" t="str">
        <x:v>Mosaic Retail Analytics — MTR-09 GMV Profile</x:v>
      </x:c>
      <x:c r="B1" s="11"/>
      <x:c r="C1" s="11"/>
      <x:c r="D1" s="11"/>
      <x:c r="E1" s="11"/>
      <x:c r="F1" s="11"/>
      <x:c r="G1" s="11"/>
      <x:c r="H1" s="11"/>
    </x:row>
    <x:row r="2" ht="15" hidden="0" customHeight="1">
      <x:c r="A2" s="13" t="str">
        <x:v>S2 | Warehouse refreshed through 2026-07-13 23:59 JST | QA completed 2026-07-14 06:00 JST</x:v>
      </x:c>
      <x:c r="B2" s="13"/>
      <x:c r="C2" s="13"/>
      <x:c r="D2" s="13"/>
      <x:c r="E2" s="13"/>
      <x:c r="F2" s="13"/>
      <x:c r="G2" s="13"/>
      <x:c r="H2" s="13"/>
    </x:row>
    <x:row r="3" ht="15" hidden="0" customHeight="1">
      <x:c r="A3" s="1"/>
      <x:c r="B3" s="1"/>
      <x:c r="C3" s="1"/>
      <x:c r="D3" s="1"/>
      <x:c r="E3" s="1"/>
      <x:c r="F3" s="1"/>
      <x:c r="G3" s="1"/>
      <x:c r="H3" s="1"/>
    </x:row>
    <x:row r="4" ht="15" hidden="0" customHeight="1">
      <x:c r="A4" s="15" t="str">
        <x:v>Net GMV</x:v>
      </x:c>
      <x:c r="B4" s="15" t="str">
        <x:v>Plan</x:v>
      </x:c>
      <x:c r="C4" s="15" t="str">
        <x:v>Variance</x:v>
      </x:c>
      <x:c r="D4" s="15" t="str">
        <x:v>Prior period</x:v>
      </x:c>
      <x:c r="E4" s="1"/>
      <x:c r="F4" s="1"/>
      <x:c r="G4" s="1"/>
      <x:c r="H4" s="1"/>
    </x:row>
    <x:row r="5" ht="15" hidden="0" customHeight="1">
      <x:c r="A5" s="22" t="n">
        <x:f>'Raw_Data'!C3+'Raw_Data'!C4</x:f>
        <x:v>84200000</x:v>
      </x:c>
      <x:c r="B5" s="22" t="n">
        <x:f>'Raw_Data'!C5</x:f>
        <x:v>80000000</x:v>
      </x:c>
      <x:c r="C5" s="22" t="n">
        <x:f>A5-B5</x:f>
        <x:v>4200000</x:v>
      </x:c>
      <x:c r="D5" s="22" t="n">
        <x:f>'Raw_Data'!C6</x:f>
        <x:v>78600000</x:v>
      </x:c>
      <x:c r="E5" s="1"/>
      <x:c r="F5" s="1"/>
      <x:c r="G5" s="1"/>
      <x:c r="H5" s="1"/>
    </x:row>
    <x:row r="6" ht="15" hidden="0" customHeight="1">
      <x:c r="A6" s="1"/>
      <x:c r="B6" s="1"/>
      <x:c r="C6" s="1"/>
      <x:c r="D6" s="1"/>
      <x:c r="E6" s="1"/>
      <x:c r="F6" s="1"/>
      <x:c r="G6" s="1"/>
      <x:c r="H6" s="1"/>
    </x:row>
    <x:row r="7" ht="15" hidden="0" customHeight="1">
      <x:c r="A7" s="9" t="str">
        <x:v>Daily net GMV</x:v>
      </x:c>
      <x:c r="B7" s="9" t="str">
        <x:v>2026-07-07</x:v>
      </x:c>
      <x:c r="C7" s="9" t="str">
        <x:v>2026-07-08</x:v>
      </x:c>
      <x:c r="D7" s="9" t="str">
        <x:v>2026-07-09</x:v>
      </x:c>
      <x:c r="E7" s="9" t="str">
        <x:v>2026-07-10</x:v>
      </x:c>
      <x:c r="F7" s="9" t="str">
        <x:v>2026-07-11</x:v>
      </x:c>
      <x:c r="G7" s="9" t="str">
        <x:v>2026-07-12</x:v>
      </x:c>
      <x:c r="H7" s="9" t="str">
        <x:v>2026-07-13</x:v>
      </x:c>
    </x:row>
    <x:row r="8" ht="15" hidden="0" customHeight="1">
      <x:c r="A8" s="1"/>
      <x:c r="B8" s="21" t="n">
        <x:f>'Raw_Data'!C7</x:f>
        <x:v>10800000</x:v>
      </x:c>
      <x:c r="C8" s="21" t="n">
        <x:f>'Raw_Data'!C8</x:f>
        <x:v>11200000</x:v>
      </x:c>
      <x:c r="D8" s="21" t="n">
        <x:f>'Raw_Data'!C9</x:f>
        <x:v>11500000</x:v>
      </x:c>
      <x:c r="E8" s="21" t="n">
        <x:f>'Raw_Data'!C10</x:f>
        <x:v>12100000</x:v>
      </x:c>
      <x:c r="F8" s="21" t="n">
        <x:f>'Raw_Data'!C11</x:f>
        <x:v>12400000</x:v>
      </x:c>
      <x:c r="G8" s="21" t="n">
        <x:f>'Raw_Data'!C12</x:f>
        <x:v>13000000</x:v>
      </x:c>
      <x:c r="H8" s="21" t="n">
        <x:f>'Raw_Data'!C13</x:f>
        <x:v>13200000</x:v>
      </x:c>
    </x:row>
    <x:row r="9" ht="15" hidden="0" customHeight="1">
      <x:c r="A9" s="1"/>
      <x:c r="B9" s="1"/>
      <x:c r="C9" s="1"/>
      <x:c r="D9" s="1"/>
      <x:c r="E9" s="1"/>
      <x:c r="F9" s="1"/>
      <x:c r="G9" s="1"/>
      <x:c r="H9" s="1"/>
    </x:row>
    <x:row r="10" ht="15" hidden="0" customHeight="1">
      <x:c r="A10" s="9" t="str">
        <x:v>Channel</x:v>
      </x:c>
      <x:c r="B10" s="9" t="str">
        <x:v>GMV JPY</x:v>
      </x:c>
      <x:c r="C10" s="9" t="str">
        <x:v>Share</x:v>
      </x:c>
      <x:c r="D10" s="1"/>
      <x:c r="E10" s="9" t="str">
        <x:v>Region</x:v>
      </x:c>
      <x:c r="F10" s="9" t="str">
        <x:v>GMV JPY</x:v>
      </x:c>
      <x:c r="G10" s="9" t="str">
        <x:v>Share</x:v>
      </x:c>
      <x:c r="H10" s="1"/>
    </x:row>
    <x:row r="11" ht="15" hidden="0" customHeight="1">
      <x:c r="A11" s="1" t="str">
        <x:f>'Raw_Data'!H3</x:f>
        <x:v>Online</x:v>
      </x:c>
      <x:c r="B11" s="21" t="n">
        <x:f>'Raw_Data'!I3</x:f>
        <x:v>46300000</x:v>
      </x:c>
      <x:c r="C11" s="23" t="n">
        <x:f>B11/$A$5</x:f>
        <x:v>0.5498812351543944</x:v>
      </x:c>
      <x:c r="D11" s="1"/>
      <x:c r="E11" s="1" t="str">
        <x:f>'Raw_Data'!K3</x:f>
        <x:v>East</x:v>
      </x:c>
      <x:c r="F11" s="21" t="n">
        <x:f>'Raw_Data'!L3</x:f>
        <x:v>26400000</x:v>
      </x:c>
      <x:c r="G11" s="23" t="n">
        <x:f>F11/$A$5</x:f>
        <x:v>0.31353919239904987</x:v>
      </x:c>
      <x:c r="H11" s="1"/>
    </x:row>
    <x:row r="12" ht="15" hidden="0" customHeight="1">
      <x:c r="A12" s="1" t="str">
        <x:f>'Raw_Data'!H4</x:f>
        <x:v>Stores</x:v>
      </x:c>
      <x:c r="B12" s="21" t="n">
        <x:f>'Raw_Data'!I4</x:f>
        <x:v>37900000</x:v>
      </x:c>
      <x:c r="C12" s="23" t="n">
        <x:f>B12/$A$5</x:f>
        <x:v>0.4501187648456057</x:v>
      </x:c>
      <x:c r="D12" s="1"/>
      <x:c r="E12" s="1" t="str">
        <x:f>'Raw_Data'!K4</x:f>
        <x:v>West</x:v>
      </x:c>
      <x:c r="F12" s="21" t="n">
        <x:f>'Raw_Data'!L4</x:f>
        <x:v>22800000</x:v>
      </x:c>
      <x:c r="G12" s="23" t="n">
        <x:f>F12/$A$5</x:f>
        <x:v>0.27078384798099764</x:v>
      </x:c>
      <x:c r="H12" s="1"/>
    </x:row>
    <x:row r="13" ht="15" hidden="0" customHeight="1">
      <x:c r="A13" s="1"/>
      <x:c r="B13" s="1"/>
      <x:c r="C13" s="1"/>
      <x:c r="D13" s="1"/>
      <x:c r="E13" s="1" t="str">
        <x:f>'Raw_Data'!K5</x:f>
        <x:v>Central</x:v>
      </x:c>
      <x:c r="F13" s="21" t="n">
        <x:f>'Raw_Data'!L5</x:f>
        <x:v>18600000</x:v>
      </x:c>
      <x:c r="G13" s="23" t="n">
        <x:f>F13/$A$5</x:f>
        <x:v>0.2209026128266033</x:v>
      </x:c>
      <x:c r="H13" s="1"/>
    </x:row>
    <x:row r="14" ht="15" hidden="0" customHeight="1">
      <x:c r="A14" s="1"/>
      <x:c r="B14" s="1"/>
      <x:c r="C14" s="1"/>
      <x:c r="D14" s="1"/>
      <x:c r="E14" s="1" t="str">
        <x:f>'Raw_Data'!K6</x:f>
        <x:v>North</x:v>
      </x:c>
      <x:c r="F14" s="21" t="n">
        <x:f>'Raw_Data'!L6</x:f>
        <x:v>16400000</x:v>
      </x:c>
      <x:c r="G14" s="23" t="n">
        <x:f>F14/$A$5</x:f>
        <x:v>0.19477434679334918</x:v>
      </x:c>
      <x:c r="H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</x:row>
    <x:row r="16" ht="15" hidden="0" customHeight="1">
      <x:c r="A16" s="9" t="str">
        <x:v>Category</x:v>
      </x:c>
      <x:c r="B16" s="9" t="str">
        <x:v>GMV JPY</x:v>
      </x:c>
      <x:c r="C16" s="9" t="str">
        <x:v>Share</x:v>
      </x:c>
      <x:c r="D16" s="1"/>
      <x:c r="E16" s="1"/>
      <x:c r="F16" s="1"/>
      <x:c r="G16" s="1"/>
      <x:c r="H16" s="1"/>
    </x:row>
    <x:row r="17" ht="15" hidden="0" customHeight="1">
      <x:c r="A17" s="1" t="str">
        <x:f>'Raw_Data'!N3</x:f>
        <x:v>Home</x:v>
      </x:c>
      <x:c r="B17" s="21" t="n">
        <x:f>'Raw_Data'!O3</x:f>
        <x:v>24800000</x:v>
      </x:c>
      <x:c r="C17" s="23" t="n">
        <x:f>B17/$A$5</x:f>
        <x:v>0.29453681710213775</x:v>
      </x:c>
      <x:c r="D17" s="1"/>
      <x:c r="E17" s="1"/>
      <x:c r="F17" s="1"/>
      <x:c r="G17" s="1"/>
      <x:c r="H17" s="1"/>
    </x:row>
    <x:row r="18" ht="15" hidden="0" customHeight="1">
      <x:c r="A18" s="1" t="str">
        <x:f>'Raw_Data'!N4</x:f>
        <x:v>Electronics</x:v>
      </x:c>
      <x:c r="B18" s="21" t="n">
        <x:f>'Raw_Data'!O4</x:f>
        <x:v>22100000</x:v>
      </x:c>
      <x:c r="C18" s="23" t="n">
        <x:f>B18/$A$5</x:f>
        <x:v>0.26247030878859856</x:v>
      </x:c>
      <x:c r="D18" s="1"/>
      <x:c r="E18" s="1"/>
      <x:c r="F18" s="1"/>
      <x:c r="G18" s="1"/>
      <x:c r="H18" s="1"/>
    </x:row>
    <x:row r="19" ht="15" hidden="0" customHeight="1">
      <x:c r="A19" s="1" t="str">
        <x:f>'Raw_Data'!N5</x:f>
        <x:v>Apparel</x:v>
      </x:c>
      <x:c r="B19" s="21" t="n">
        <x:f>'Raw_Data'!O5</x:f>
        <x:v>19300000</x:v>
      </x:c>
      <x:c r="C19" s="23" t="n">
        <x:f>B19/$A$5</x:f>
        <x:v>0.22921615201900236</x:v>
      </x:c>
      <x:c r="D19" s="1"/>
      <x:c r="E19" s="1"/>
      <x:c r="F19" s="1"/>
      <x:c r="G19" s="1"/>
      <x:c r="H19" s="1"/>
    </x:row>
    <x:row r="20" ht="15" hidden="0" customHeight="1">
      <x:c r="A20" s="1" t="str">
        <x:f>'Raw_Data'!N6</x:f>
        <x:v>Beauty</x:v>
      </x:c>
      <x:c r="B20" s="21" t="n">
        <x:f>'Raw_Data'!O6</x:f>
        <x:v>10700000</x:v>
      </x:c>
      <x:c r="C20" s="23" t="n">
        <x:f>B20/$A$5</x:f>
        <x:v>0.12707838479809977</x:v>
      </x:c>
      <x:c r="D20" s="1"/>
      <x:c r="E20" s="1"/>
      <x:c r="F20" s="1"/>
      <x:c r="G20" s="1"/>
      <x:c r="H20" s="1"/>
    </x:row>
    <x:row r="21" ht="15" hidden="0" customHeight="1">
      <x:c r="A21" s="1" t="str">
        <x:f>'Raw_Data'!N7</x:f>
        <x:v>Other</x:v>
      </x:c>
      <x:c r="B21" s="21" t="n">
        <x:f>'Raw_Data'!O7</x:f>
        <x:v>7300000</x:v>
      </x:c>
      <x:c r="C21" s="23" t="n">
        <x:f>B21/$A$5</x:f>
        <x:v>0.08669833729216152</x:v>
      </x:c>
      <x:c r="D21" s="1"/>
      <x:c r="E21" s="1"/>
      <x:c r="F21" s="1"/>
      <x:c r="G21" s="1"/>
      <x:c r="H21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88999938964844" hidden="0" customWidth="1"/>
    <x:col min="2" max="2" width="19.219999313354492" hidden="0" customWidth="1"/>
    <x:col min="3" max="3" width="9.220000267028809" hidden="0" customWidth="1"/>
    <x:col min="4" max="4" width="15.329999923706055" hidden="0" customWidth="1"/>
    <x:col min="5" max="5" width="29.889999389648438" hidden="0" customWidth="1"/>
    <x:col min="6" max="6" width="15.890000343322754" hidden="0" customWidth="1"/>
    <x:col min="8" max="8" width="6.329999923706055" hidden="0" customWidth="1"/>
    <x:col min="9" max="9" width="7.889999866485596" hidden="0" customWidth="1"/>
    <x:col min="11" max="11" width="5.440000057220459" hidden="0" customWidth="1"/>
    <x:col min="12" max="12" width="7.889999866485596" hidden="0" customWidth="1"/>
    <x:col min="14" max="14" width="7.78000020980835" hidden="0" customWidth="1"/>
    <x:col min="15" max="15" width="7.889999866485596" hidden="0" customWidth="1"/>
    <x:col min="17" max="17" width="10.4399995803833" hidden="0" customWidth="1"/>
    <x:col min="18" max="18" width="13.670000076293945" hidden="0" customWidth="1"/>
  </x:cols>
  <x:sheetData>
    <x:row r="1" ht="16.799999237060547" hidden="0" customHeight="1">
      <x:c r="A1" s="4" t="str">
        <x:v>Mosaic Retail Analytics | MTR-09 warehouse extract</x:v>
      </x:c>
      <x:c r="B1" s="4" t="str"/>
      <x:c r="C1" s="4" t="str"/>
      <x:c r="D1" s="4" t="str"/>
      <x:c r="E1" s="4" t="str"/>
      <x:c r="F1" s="4" t="str"/>
      <x:c r="G1" s="4"/>
      <x:c r="H1" s="4"/>
      <x:c r="I1" s="4"/>
      <x:c r="J1" s="4"/>
      <x:c r="K1" s="4"/>
      <x:c r="L1" s="4"/>
      <x:c r="M1" s="4"/>
      <x:c r="N1" s="4"/>
      <x:c r="O1" s="4"/>
      <x:c r="P1" s="1"/>
      <x:c r="Q1" s="1"/>
      <x:c r="R1" s="1"/>
    </x:row>
    <x:row r="2" ht="15" hidden="0" customHeight="1">
      <x:c r="A2" s="9" t="str">
        <x:v>Metric</x:v>
      </x:c>
      <x:c r="B2" s="9" t="str">
        <x:v>Cut</x:v>
      </x:c>
      <x:c r="C2" s="9" t="str">
        <x:v>Amount JPY</x:v>
      </x:c>
      <x:c r="D2" s="9" t="str">
        <x:v>As of</x:v>
      </x:c>
      <x:c r="E2" s="9" t="str">
        <x:v>Definition</x:v>
      </x:c>
      <x:c r="F2" s="9" t="str">
        <x:v>Source</x:v>
      </x:c>
      <x:c r="G2" s="1"/>
      <x:c r="H2" s="9" t="str">
        <x:v>Channel</x:v>
      </x:c>
      <x:c r="I2" s="9" t="str">
        <x:v>GMV JPY</x:v>
      </x:c>
      <x:c r="J2" s="1"/>
      <x:c r="K2" s="9" t="str">
        <x:v>Region</x:v>
      </x:c>
      <x:c r="L2" s="9" t="str">
        <x:v>GMV JPY</x:v>
      </x:c>
      <x:c r="M2" s="1"/>
      <x:c r="N2" s="9" t="str">
        <x:v>Category</x:v>
      </x:c>
      <x:c r="O2" s="9" t="str">
        <x:v>GMV JPY</x:v>
      </x:c>
      <x:c r="P2" s="1"/>
      <x:c r="Q2" s="9" t="str">
        <x:v>Business date</x:v>
      </x:c>
      <x:c r="R2" s="9" t="str">
        <x:v>Daily net GMV JPY</x:v>
      </x:c>
    </x:row>
    <x:row r="3" ht="15" hidden="0" customHeight="1">
      <x:c r="A3" s="1" t="str">
        <x:v>Merchandise value</x:v>
      </x:c>
      <x:c r="B3" s="1" t="str">
        <x:v>Gross completed order lines</x:v>
      </x:c>
      <x:c r="C3" s="21" t="n">
        <x:v>86000000</x:v>
      </x:c>
      <x:c r="D3" s="1" t="str">
        <x:v>2026-07-13 23:59 JST</x:v>
      </x:c>
      <x:c r="E3" s="1" t="str">
        <x:v>Tax excluded; completed order-line value</x:v>
      </x:c>
      <x:c r="F3" s="1" t="str">
        <x:v>MTR-09</x:v>
      </x:c>
      <x:c r="G3" s="1"/>
      <x:c r="H3" s="1" t="str">
        <x:v>Online</x:v>
      </x:c>
      <x:c r="I3" s="21" t="n">
        <x:v>46300000</x:v>
      </x:c>
      <x:c r="J3" s="1"/>
      <x:c r="K3" s="1" t="str">
        <x:v>East</x:v>
      </x:c>
      <x:c r="L3" s="21" t="n">
        <x:v>26400000</x:v>
      </x:c>
      <x:c r="M3" s="1"/>
      <x:c r="N3" s="1" t="str">
        <x:v>Home</x:v>
      </x:c>
      <x:c r="O3" s="21" t="n">
        <x:v>24800000</x:v>
      </x:c>
      <x:c r="P3" s="1"/>
      <x:c r="Q3" s="1" t="str">
        <x:v>2026-07-07</x:v>
      </x:c>
      <x:c r="R3" s="21" t="n">
        <x:v>10800000</x:v>
      </x:c>
    </x:row>
    <x:row r="4" ht="15" hidden="0" customHeight="1">
      <x:c r="A4" s="1" t="str">
        <x:v>Recognized refunds</x:v>
      </x:c>
      <x:c r="B4" s="1" t="str">
        <x:v>Refund adjustment</x:v>
      </x:c>
      <x:c r="C4" s="21" t="n">
        <x:v>-1800000</x:v>
      </x:c>
      <x:c r="D4" s="1" t="str">
        <x:v>2026-07-13 23:59 JST</x:v>
      </x:c>
      <x:c r="E4" s="1" t="str">
        <x:v>Recognized refunds against completed lines</x:v>
      </x:c>
      <x:c r="F4" s="1" t="str">
        <x:v>Refund ledger</x:v>
      </x:c>
      <x:c r="G4" s="1"/>
      <x:c r="H4" s="1" t="str">
        <x:v>Stores</x:v>
      </x:c>
      <x:c r="I4" s="21" t="n">
        <x:v>37900000</x:v>
      </x:c>
      <x:c r="J4" s="1"/>
      <x:c r="K4" s="1" t="str">
        <x:v>West</x:v>
      </x:c>
      <x:c r="L4" s="21" t="n">
        <x:v>22800000</x:v>
      </x:c>
      <x:c r="M4" s="1"/>
      <x:c r="N4" s="1" t="str">
        <x:v>Electronics</x:v>
      </x:c>
      <x:c r="O4" s="21" t="n">
        <x:v>22100000</x:v>
      </x:c>
      <x:c r="P4" s="1"/>
      <x:c r="Q4" s="1" t="str">
        <x:v>2026-07-08</x:v>
      </x:c>
      <x:c r="R4" s="21" t="n">
        <x:v>11200000</x:v>
      </x:c>
    </x:row>
    <x:row r="5" ht="15" hidden="0" customHeight="1">
      <x:c r="A5" s="1" t="str">
        <x:v>GMV plan</x:v>
      </x:c>
      <x:c r="B5" s="1" t="str">
        <x:v>Weekly plan</x:v>
      </x:c>
      <x:c r="C5" s="21" t="n">
        <x:v>80000000</x:v>
      </x:c>
      <x:c r="D5" s="1" t="str">
        <x:v>2026-07-13 23:59 JST</x:v>
      </x:c>
      <x:c r="E5" s="1" t="str">
        <x:v>Approved operating plan</x:v>
      </x:c>
      <x:c r="F5" s="1" t="str">
        <x:v>FY26 operating plan</x:v>
      </x:c>
      <x:c r="G5" s="1"/>
      <x:c r="H5" s="1"/>
      <x:c r="I5" s="1"/>
      <x:c r="J5" s="1"/>
      <x:c r="K5" s="1" t="str">
        <x:v>Central</x:v>
      </x:c>
      <x:c r="L5" s="21" t="n">
        <x:v>18600000</x:v>
      </x:c>
      <x:c r="M5" s="1"/>
      <x:c r="N5" s="1" t="str">
        <x:v>Apparel</x:v>
      </x:c>
      <x:c r="O5" s="21" t="n">
        <x:v>19300000</x:v>
      </x:c>
      <x:c r="P5" s="1"/>
      <x:c r="Q5" s="1" t="str">
        <x:v>2026-07-09</x:v>
      </x:c>
      <x:c r="R5" s="21" t="n">
        <x:v>11500000</x:v>
      </x:c>
    </x:row>
    <x:row r="6" ht="15" hidden="0" customHeight="1">
      <x:c r="A6" s="1" t="str">
        <x:v>GMV prior</x:v>
      </x:c>
      <x:c r="B6" s="1" t="str">
        <x:v>Comparable prior period</x:v>
      </x:c>
      <x:c r="C6" s="21" t="n">
        <x:v>78600000</x:v>
      </x:c>
      <x:c r="D6" s="1" t="str">
        <x:v>2026-07-13 23:59 JST</x:v>
      </x:c>
      <x:c r="E6" s="1" t="str">
        <x:v>Prior comparable week</x:v>
      </x:c>
      <x:c r="F6" s="1" t="str">
        <x:v>FY25 actuals</x:v>
      </x:c>
      <x:c r="G6" s="1"/>
      <x:c r="H6" s="1"/>
      <x:c r="I6" s="1"/>
      <x:c r="J6" s="1"/>
      <x:c r="K6" s="1" t="str">
        <x:v>North</x:v>
      </x:c>
      <x:c r="L6" s="21" t="n">
        <x:v>16400000</x:v>
      </x:c>
      <x:c r="M6" s="1"/>
      <x:c r="N6" s="1" t="str">
        <x:v>Beauty</x:v>
      </x:c>
      <x:c r="O6" s="21" t="n">
        <x:v>10700000</x:v>
      </x:c>
      <x:c r="P6" s="1"/>
      <x:c r="Q6" s="1" t="str">
        <x:v>2026-07-10</x:v>
      </x:c>
      <x:c r="R6" s="21" t="n">
        <x:v>12100000</x:v>
      </x:c>
    </x:row>
    <x:row r="7" ht="15" hidden="0" customHeight="1">
      <x:c r="A7" s="1" t="str">
        <x:v>Daily GMV</x:v>
      </x:c>
      <x:c r="B7" s="1" t="str">
        <x:v>2026-07-07</x:v>
      </x:c>
      <x:c r="C7" s="21" t="n">
        <x:v>10800000</x:v>
      </x:c>
      <x:c r="D7" s="1" t="str">
        <x:v>2026-07-13 23:59 JST</x:v>
      </x:c>
      <x:c r="E7" s="1" t="str">
        <x:v>MTR-09 net GMV</x:v>
      </x:c>
      <x:c r="F7" s="1" t="str">
        <x:v>MTR-09</x:v>
      </x:c>
      <x:c r="G7" s="1"/>
      <x:c r="H7" s="1"/>
      <x:c r="I7" s="1"/>
      <x:c r="J7" s="1"/>
      <x:c r="K7" s="1"/>
      <x:c r="L7" s="1"/>
      <x:c r="M7" s="1"/>
      <x:c r="N7" s="1" t="str">
        <x:v>Other</x:v>
      </x:c>
      <x:c r="O7" s="21" t="n">
        <x:v>7300000</x:v>
      </x:c>
      <x:c r="P7" s="1"/>
      <x:c r="Q7" s="1" t="str">
        <x:v>2026-07-11</x:v>
      </x:c>
      <x:c r="R7" s="21" t="n">
        <x:v>12400000</x:v>
      </x:c>
    </x:row>
    <x:row r="8" ht="15" hidden="0" customHeight="1">
      <x:c r="A8" s="1" t="str">
        <x:v>Daily GMV</x:v>
      </x:c>
      <x:c r="B8" s="1" t="str">
        <x:v>2026-07-08</x:v>
      </x:c>
      <x:c r="C8" s="21" t="n">
        <x:v>11200000</x:v>
      </x:c>
      <x:c r="D8" s="1" t="str">
        <x:v>2026-07-13 23:59 JST</x:v>
      </x:c>
      <x:c r="E8" s="1" t="str">
        <x:v>MTR-09 net GMV</x:v>
      </x:c>
      <x:c r="F8" s="1" t="str">
        <x:v>MTR-09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 t="str">
        <x:v>2026-07-12</x:v>
      </x:c>
      <x:c r="R8" s="21" t="n">
        <x:v>13000000</x:v>
      </x:c>
    </x:row>
    <x:row r="9" ht="15" hidden="0" customHeight="1">
      <x:c r="A9" s="1" t="str">
        <x:v>Daily GMV</x:v>
      </x:c>
      <x:c r="B9" s="1" t="str">
        <x:v>2026-07-09</x:v>
      </x:c>
      <x:c r="C9" s="21" t="n">
        <x:v>11500000</x:v>
      </x:c>
      <x:c r="D9" s="1" t="str">
        <x:v>2026-07-13 23:59 JST</x:v>
      </x:c>
      <x:c r="E9" s="1" t="str">
        <x:v>MTR-09 net GMV</x:v>
      </x:c>
      <x:c r="F9" s="1" t="str">
        <x:v>MTR-09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 t="str">
        <x:v>2026-07-13</x:v>
      </x:c>
      <x:c r="R9" s="21" t="n">
        <x:v>13200000</x:v>
      </x:c>
    </x:row>
    <x:row r="10" ht="15" hidden="0" customHeight="1">
      <x:c r="A10" s="1" t="str">
        <x:v>Daily GMV</x:v>
      </x:c>
      <x:c r="B10" s="1" t="str">
        <x:v>2026-07-10</x:v>
      </x:c>
      <x:c r="C10" s="21" t="n">
        <x:v>12100000</x:v>
      </x:c>
      <x:c r="D10" s="1" t="str">
        <x:v>2026-07-13 23:59 JST</x:v>
      </x:c>
      <x:c r="E10" s="1" t="str">
        <x:v>MTR-09 net GMV</x:v>
      </x:c>
      <x:c r="F10" s="1" t="str">
        <x:v>MTR-09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15" hidden="0" customHeight="1">
      <x:c r="A11" s="1" t="str">
        <x:v>Daily GMV</x:v>
      </x:c>
      <x:c r="B11" s="1" t="str">
        <x:v>2026-07-11</x:v>
      </x:c>
      <x:c r="C11" s="21" t="n">
        <x:v>12400000</x:v>
      </x:c>
      <x:c r="D11" s="1" t="str">
        <x:v>2026-07-13 23:59 JST</x:v>
      </x:c>
      <x:c r="E11" s="1" t="str">
        <x:v>MTR-09 net GMV</x:v>
      </x:c>
      <x:c r="F11" s="1" t="str">
        <x:v>MTR-09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15" hidden="0" customHeight="1">
      <x:c r="A12" s="1" t="str">
        <x:v>Daily GMV</x:v>
      </x:c>
      <x:c r="B12" s="1" t="str">
        <x:v>2026-07-12</x:v>
      </x:c>
      <x:c r="C12" s="21" t="n">
        <x:v>13000000</x:v>
      </x:c>
      <x:c r="D12" s="1" t="str">
        <x:v>2026-07-13 23:59 JST</x:v>
      </x:c>
      <x:c r="E12" s="1" t="str">
        <x:v>MTR-09 net GMV</x:v>
      </x:c>
      <x:c r="F12" s="1" t="str">
        <x:v>MTR-09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15" hidden="0" customHeight="1">
      <x:c r="A13" s="1" t="str">
        <x:v>Daily GMV</x:v>
      </x:c>
      <x:c r="B13" s="1" t="str">
        <x:v>2026-07-13</x:v>
      </x:c>
      <x:c r="C13" s="21" t="n">
        <x:v>13200000</x:v>
      </x:c>
      <x:c r="D13" s="1" t="str">
        <x:v>2026-07-13 23:59 JST</x:v>
      </x:c>
      <x:c r="E13" s="1" t="str">
        <x:v>MTR-09 net GMV</x:v>
      </x:c>
      <x:c r="F13" s="1" t="str">
        <x:v>MTR-09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15" hidden="0" customHeight="1">
      <x:c r="A14" s="1" t="str">
        <x:v>QA timestamp</x:v>
      </x:c>
      <x:c r="B14" s="1" t="str">
        <x:v>Warehouse validation</x:v>
      </x:c>
      <x:c r="C14" s="21" t="n">
        <x:v>600</x:v>
      </x:c>
      <x:c r="D14" s="1" t="str">
        <x:v>2026-07-14 06:00 JST</x:v>
      </x:c>
      <x:c r="E14" s="1" t="str">
        <x:v>QA completion marker</x:v>
      </x:c>
      <x:c r="F14" s="1" t="str">
        <x:v>Mosaic Retail Analytics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.889999866485596" hidden="0" customWidth="1"/>
    <x:col min="3" max="3" width="8.109999656677246" hidden="0" customWidth="1"/>
    <x:col min="4" max="4" width="5" hidden="0" customWidth="1"/>
  </x:cols>
  <x:sheetData>
    <x:row r="1" ht="16.799999237060547" hidden="0" customHeight="1">
      <x:c r="A1" s="4" t="str">
        <x:v>MTR-09 Reconciliation Checks</x:v>
      </x:c>
      <x:c r="B1" s="4"/>
      <x:c r="C1" s="4"/>
      <x:c r="D1" s="4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 ht="15" hidden="0" customHeight="1">
      <x:c r="A2" s="1"/>
      <x:c r="B2" s="1"/>
      <x:c r="C2" s="1"/>
      <x:c r="D2" s="1"/>
    </x:row>
    <x:row r="3" ht="15" hidden="0" customHeight="1">
      <x:c r="A3" s="9" t="str">
        <x:v>Check</x:v>
      </x:c>
      <x:c r="B3" s="9" t="str">
        <x:v>Expected</x:v>
      </x:c>
      <x:c r="C3" s="9" t="str">
        <x:v>Calculated</x:v>
      </x:c>
      <x:c r="D3" s="9" t="str">
        <x:v>Status</x:v>
      </x:c>
    </x:row>
    <x:row r="4" ht="15" hidden="0" customHeight="1">
      <x:c r="A4" s="1" t="str">
        <x:v>Net GMV</x:v>
      </x:c>
      <x:c r="B4" s="21" t="n">
        <x:v>84200000</x:v>
      </x:c>
      <x:c r="C4" s="21" t="n">
        <x:f>'Profile'!A5</x:f>
        <x:v>84200000</x:v>
      </x:c>
      <x:c r="D4" s="1" t="str">
        <x:f>IF(B4=C4,"PASS","FAIL")</x:f>
        <x:v>PASS</x:v>
      </x:c>
    </x:row>
    <x:row r="5" ht="15" hidden="0" customHeight="1">
      <x:c r="A5" s="1" t="str">
        <x:v>Daily roll-up</x:v>
      </x:c>
      <x:c r="B5" s="21" t="n">
        <x:v>84200000</x:v>
      </x:c>
      <x:c r="C5" s="21" t="n">
        <x:f>SUM('Profile'!B8:H8)</x:f>
        <x:v>84200000</x:v>
      </x:c>
      <x:c r="D5" s="1" t="str">
        <x:f>IF(B5=C5,"PASS","FAIL")</x:f>
        <x:v>PASS</x:v>
      </x:c>
    </x:row>
    <x:row r="6" ht="15" hidden="0" customHeight="1">
      <x:c r="A6" s="1" t="str">
        <x:v>Channel roll-up</x:v>
      </x:c>
      <x:c r="B6" s="21" t="n">
        <x:v>84200000</x:v>
      </x:c>
      <x:c r="C6" s="21" t="n">
        <x:f>SUM('Profile'!B11:B12)</x:f>
        <x:v>84200000</x:v>
      </x:c>
      <x:c r="D6" s="1" t="str">
        <x:f>IF(B6=C6,"PASS","FAIL")</x:f>
        <x:v>PASS</x:v>
      </x:c>
    </x:row>
    <x:row r="7" ht="15" hidden="0" customHeight="1">
      <x:c r="A7" s="1" t="str">
        <x:v>Region roll-up</x:v>
      </x:c>
      <x:c r="B7" s="21" t="n">
        <x:v>84200000</x:v>
      </x:c>
      <x:c r="C7" s="21" t="n">
        <x:f>SUM('Profile'!F11:F14)</x:f>
        <x:v>84200000</x:v>
      </x:c>
      <x:c r="D7" s="1" t="str">
        <x:f>IF(B7=C7,"PASS","FAIL")</x:f>
        <x:v>PASS</x:v>
      </x:c>
    </x:row>
    <x:row r="8" ht="15" hidden="0" customHeight="1">
      <x:c r="A8" s="1" t="str">
        <x:v>Category roll-up</x:v>
      </x:c>
      <x:c r="B8" s="21" t="n">
        <x:v>84200000</x:v>
      </x:c>
      <x:c r="C8" s="21" t="n">
        <x:f>SUM('Profile'!B17:B21)</x:f>
        <x:v>84200000</x:v>
      </x:c>
      <x:c r="D8" s="1" t="str">
        <x:f>IF(B8=C8,"PASS","FAIL")</x:f>
        <x:v>PASS</x:v>
      </x:c>
    </x:row>
    <x:row r="9" ht="15" hidden="0" customHeight="1">
      <x:c r="A9" s="1"/>
      <x:c r="B9" s="1"/>
      <x:c r="C9" s="1"/>
      <x:c r="D9" s="1"/>
    </x:row>
    <x:row r="10" ht="15" hidden="0" customHeight="1">
      <x:c r="A10" s="18" t="str">
        <x:v>MODEL STATUS</x:v>
      </x:c>
      <x:c r="B10" s="20" t="str">
        <x:f>IF(COUNTIF(D4:D8,"FAIL")=0,"PASS","FAIL")</x:f>
        <x:v>PASS</x:v>
      </x:c>
      <x:c r="C10" s="1"/>
      <x:c r="D10" s="1"/>
    </x:row>
  </x:sheetData>
  <x:mergeCells>
    <x:mergeCell ref="A1:D1"/>
  </x:mergeCells>
  <x:pageMargins left="0.7" right="0.7" top="0.75" bottom="0.75" header="0.3" footer="0.3"/>
</x:worksheet>
</file>