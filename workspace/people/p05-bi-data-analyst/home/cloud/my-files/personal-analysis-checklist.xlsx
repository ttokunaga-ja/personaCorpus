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407d83671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638292d0624c59"/>
    <x:sheet xmlns:r="http://schemas.openxmlformats.org/officeDocument/2006/relationships" name="Checklist" sheetId="2" r:id="Rc313f1e858244731"/>
    <x:sheet xmlns:r="http://schemas.openxmlformats.org/officeDocument/2006/relationships" name="Raw_Data" sheetId="3" r:id="R1a83f370b6774a9e"/>
    <x:sheet xmlns:r="http://schemas.openxmlformats.org/officeDocument/2006/relationships" name="Checks" sheetId="4" r:id="R8974bcfd43b9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;[Red](0.0);-"/>
    <x:numFmt numFmtId="201" formatCode="yyyy-mm-dd"/>
    <x:numFmt numFmtId="202" formatCode="¥#,##0.0;[Red](¥#,##0.0);-"/>
    <x:numFmt numFmtId="203" formatCode="¥#,##0;[Red](¥#,##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F8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3A5F"/>
      <x:name val="Carlito"/>
    </x:font>
    <x:font>
      <x:i/>
      <x:sz val="11"/>
      <x:color rgb="FF526777"/>
      <x:name val="Carlito"/>
    </x:font>
    <x:font>
      <x:b/>
      <x:sz val="11"/>
      <x:color rgb="FF2E6B3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1F5A89"/>
      </x:patternFill>
    </x:fill>
    <x:fill>
      <x:patternFill patternType="solid">
        <x:fgColor rgb="FFF5F8FB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F8FBFD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C9D7E5"/>
      </x:left>
      <x:right style="thin">
        <x:color rgb="FFC9D7E5"/>
      </x:right>
      <x:top style="thin">
        <x:color rgb="FFC9D7E5"/>
      </x:top>
      <x:bottom style="thin">
        <x:color rgb="FFC9D7E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2" fontId="0" fillId="7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7" borderId="2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8" borderId="2" xfId="0" applyNumberFormat="1" applyFont="1" applyFill="1" applyBorder="1"/>
    <x:xf numFmtId="0" fontId="0" fillId="9" borderId="2" xfId="0" applyNumberFormat="1" applyFont="1" applyFill="1" applyBorder="1"/>
    <x:xf numFmtId="0" fontId="7" fillId="9" borderId="2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203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0" fontId="3" fillId="2" borderId="0" xfId="0" applyNumberFormat="1" applyFont="1" applyFill="1" applyBorder="1"/>
    <x:xf numFmtId="200" fontId="0" fillId="0" borderId="2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2E6B36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4397034df4834" /><Relationship Type="http://schemas.openxmlformats.org/officeDocument/2006/relationships/theme" Target="/xl/theme/theme1.xml" Id="Rf99bf3a10a7149fb" /><Relationship Type="http://schemas.openxmlformats.org/officeDocument/2006/relationships/sharedStrings" Target="/xl/sharedStrings.xml" Id="R409da7260ebd485d" /><Relationship Type="http://schemas.openxmlformats.org/officeDocument/2006/relationships/worksheet" Target="/xl/worksheets/sheet1.xml" Id="Rd1638292d0624c59" /><Relationship Type="http://schemas.openxmlformats.org/officeDocument/2006/relationships/worksheet" Target="/xl/worksheets/sheet2.xml" Id="Rc313f1e858244731" /><Relationship Type="http://schemas.openxmlformats.org/officeDocument/2006/relationships/worksheet" Target="/xl/worksheets/sheet3.xml" Id="R1a83f370b6774a9e" /><Relationship Type="http://schemas.openxmlformats.org/officeDocument/2006/relationships/worksheet" Target="/xl/worksheets/sheet4.xml" Id="R8974bcfd43b9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28" t="str">
        <x:v>Mosaic Retail Analytics | Personal GMV Sanity Check</x:v>
      </x:c>
      <x:c r="B1" s="28"/>
      <x:c r="C1" s="28"/>
      <x:c r="D1" s="28"/>
      <x:c r="E1" s="28"/>
      <x:c r="F1" s="28"/>
      <x:c r="G1" s="28"/>
      <x:c r="H1" s="28"/>
    </x:row>
    <x:row r="2">
      <x:c r="A2" s="29" t="str">
        <x:v>MTR-09 • completed order-line merchandise value • tax excluded • net recognized refunds • JPY | Fictional S2 analysis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13" t="str">
        <x:v>KPI</x:v>
      </x:c>
      <x:c r="B4" s="13" t="str">
        <x:v>Value (JPY M)</x:v>
      </x:c>
      <x:c r="C4" s="30"/>
      <x:c r="D4" s="30"/>
      <x:c r="E4" s="30"/>
      <x:c r="F4" s="30"/>
      <x:c r="G4" s="30"/>
      <x:c r="H4" s="30"/>
    </x:row>
    <x:row r="5">
      <x:c r="A5" s="31" t="str">
        <x:v>Net GMV</x:v>
      </x:c>
      <x:c r="B5" s="32" t="n">
        <x:f>SUM('Raw_Data'!$G$2:$G$8)/1000000</x:f>
        <x:v>84.2</x:v>
      </x:c>
      <x:c r="C5" s="30"/>
      <x:c r="D5" s="30"/>
      <x:c r="E5" s="30"/>
      <x:c r="F5" s="30"/>
      <x:c r="G5" s="30"/>
      <x:c r="H5" s="30"/>
    </x:row>
    <x:row r="6">
      <x:c r="A6" s="31" t="str">
        <x:v>Gross merchandise value</x:v>
      </x:c>
      <x:c r="B6" s="32" t="n">
        <x:f>SUM('Raw_Data'!$E$2:$E$8)/1000000</x:f>
        <x:v>86</x:v>
      </x:c>
      <x:c r="C6" s="30"/>
      <x:c r="D6" s="30"/>
      <x:c r="E6" s="30"/>
      <x:c r="F6" s="30"/>
      <x:c r="G6" s="30"/>
      <x:c r="H6" s="30"/>
    </x:row>
    <x:row r="7">
      <x:c r="A7" s="31" t="str">
        <x:v>Recognized refunds</x:v>
      </x:c>
      <x:c r="B7" s="32" t="n">
        <x:f>SUM('Raw_Data'!$F$2:$F$8)/1000000</x:f>
        <x:v>1.8</x:v>
      </x:c>
      <x:c r="C7" s="30"/>
      <x:c r="D7" s="30"/>
      <x:c r="E7" s="30"/>
      <x:c r="F7" s="30"/>
      <x:c r="G7" s="30"/>
      <x:c r="H7" s="30"/>
    </x:row>
    <x:row r="8">
      <x:c r="A8" s="31" t="str">
        <x:v>Plan</x:v>
      </x:c>
      <x:c r="B8" s="32" t="n">
        <x:f>80</x:f>
        <x:v>80</x:v>
      </x:c>
      <x:c r="C8" s="30"/>
      <x:c r="D8" s="30"/>
      <x:c r="E8" s="30"/>
      <x:c r="F8" s="30"/>
      <x:c r="G8" s="30"/>
      <x:c r="H8" s="30"/>
    </x:row>
    <x:row r="9">
      <x:c r="A9" s="31" t="str">
        <x:v>Prior period</x:v>
      </x:c>
      <x:c r="B9" s="32" t="n">
        <x:f>78.6</x:f>
        <x:v>78.6</x:v>
      </x:c>
      <x:c r="C9" s="30"/>
      <x:c r="D9" s="30"/>
      <x:c r="E9" s="30"/>
      <x:c r="F9" s="30"/>
      <x:c r="G9" s="30"/>
      <x:c r="H9" s="30"/>
    </x:row>
    <x:row r="10">
      <x:c r="A10" s="31" t="str">
        <x:v>Plan variance</x:v>
      </x:c>
      <x:c r="B10" s="32" t="n">
        <x:f>ROUND(B5-B8,1)</x:f>
        <x:v>4.2</x:v>
      </x:c>
      <x:c r="C10" s="30"/>
      <x:c r="D10" s="30"/>
      <x:c r="E10" s="30"/>
      <x:c r="F10" s="30"/>
      <x:c r="G10" s="30"/>
      <x:c r="H10" s="30"/>
    </x:row>
    <x:row r="11">
      <x:c r="A11" s="30"/>
      <x:c r="B11" s="30"/>
      <x:c r="C11" s="30"/>
      <x:c r="D11" s="30"/>
      <x:c r="E11" s="30"/>
      <x:c r="F11" s="30"/>
      <x:c r="G11" s="30"/>
      <x:c r="H11" s="30"/>
    </x:row>
    <x:row r="12">
      <x:c r="A12" s="33" t="str">
        <x:v>Daily net GMV trajectory (JPY millions)</x:v>
      </x:c>
      <x:c r="B12" s="33" t="str"/>
      <x:c r="C12" s="33" t="str"/>
      <x:c r="D12" s="33" t="str"/>
      <x:c r="E12" s="33" t="str"/>
      <x:c r="F12" s="33" t="str"/>
      <x:c r="G12" s="33" t="str"/>
      <x:c r="H12" s="33" t="str"/>
    </x:row>
    <x:row r="13">
      <x:c r="A13" s="22" t="str">
        <x:v>Date</x:v>
      </x:c>
      <x:c r="B13" s="22" t="str">
        <x:v>Gross</x:v>
      </x:c>
      <x:c r="C13" s="22" t="str">
        <x:v>Refunds</x:v>
      </x:c>
      <x:c r="D13" s="22" t="str">
        <x:v>Net GMV</x:v>
      </x:c>
      <x:c r="E13" s="22" t="str">
        <x:v>Plan / day</x:v>
      </x:c>
      <x:c r="F13" s="22" t="str">
        <x:v>Variance</x:v>
      </x:c>
      <x:c r="G13" s="22" t="str">
        <x:v>Online</x:v>
      </x:c>
      <x:c r="H13" s="22" t="str">
        <x:v>Stores</x:v>
      </x:c>
    </x:row>
    <x:row r="14">
      <x:c r="A14" s="34" t="n">
        <x:f>'Raw_Data'!A2</x:f>
        <x:v>46210</x:v>
      </x:c>
      <x:c r="B14" s="35" t="n">
        <x:f>'Raw_Data'!E2/1000000</x:f>
        <x:v>11.1</x:v>
      </x:c>
      <x:c r="C14" s="35" t="n">
        <x:f>'Raw_Data'!F2/1000000</x:f>
        <x:v>0.3</x:v>
      </x:c>
      <x:c r="D14" s="35" t="n">
        <x:f>'Raw_Data'!G2/1000000</x:f>
        <x:v>10.8</x:v>
      </x:c>
      <x:c r="E14" s="36" t="n">
        <x:f>ROUND($B$8/7,1)</x:f>
        <x:v>11.4</x:v>
      </x:c>
      <x:c r="F14" s="35" t="n">
        <x:f>ROUND(D14-E14,1)</x:f>
        <x:v>-0.6</x:v>
      </x:c>
      <x:c r="G14" s="35" t="n">
        <x:f>'Raw_Data'!H2/1000000</x:f>
        <x:v>5.9</x:v>
      </x:c>
      <x:c r="H14" s="35" t="n">
        <x:f>'Raw_Data'!I2/1000000</x:f>
        <x:v>4.9</x:v>
      </x:c>
    </x:row>
    <x:row r="15">
      <x:c r="A15" s="34" t="n">
        <x:f>'Raw_Data'!A3</x:f>
        <x:v>46211</x:v>
      </x:c>
      <x:c r="B15" s="35" t="n">
        <x:f>'Raw_Data'!E3/1000000</x:f>
        <x:v>11.5</x:v>
      </x:c>
      <x:c r="C15" s="35" t="n">
        <x:f>'Raw_Data'!F3/1000000</x:f>
        <x:v>0.3</x:v>
      </x:c>
      <x:c r="D15" s="35" t="n">
        <x:f>'Raw_Data'!G3/1000000</x:f>
        <x:v>11.2</x:v>
      </x:c>
      <x:c r="E15" s="36" t="n">
        <x:f>ROUND($B$8/7,1)</x:f>
        <x:v>11.4</x:v>
      </x:c>
      <x:c r="F15" s="35" t="n">
        <x:f>ROUND(D15-E15,1)</x:f>
        <x:v>-0.2</x:v>
      </x:c>
      <x:c r="G15" s="35" t="n">
        <x:f>'Raw_Data'!H3/1000000</x:f>
        <x:v>6.1</x:v>
      </x:c>
      <x:c r="H15" s="35" t="n">
        <x:f>'Raw_Data'!I3/1000000</x:f>
        <x:v>5.1</x:v>
      </x:c>
    </x:row>
    <x:row r="16">
      <x:c r="A16" s="34" t="n">
        <x:f>'Raw_Data'!A4</x:f>
        <x:v>46212</x:v>
      </x:c>
      <x:c r="B16" s="35" t="n">
        <x:f>'Raw_Data'!E4/1000000</x:f>
        <x:v>11.8</x:v>
      </x:c>
      <x:c r="C16" s="35" t="n">
        <x:f>'Raw_Data'!F4/1000000</x:f>
        <x:v>0.3</x:v>
      </x:c>
      <x:c r="D16" s="35" t="n">
        <x:f>'Raw_Data'!G4/1000000</x:f>
        <x:v>11.5</x:v>
      </x:c>
      <x:c r="E16" s="36" t="n">
        <x:f>ROUND($B$8/7,1)</x:f>
        <x:v>11.4</x:v>
      </x:c>
      <x:c r="F16" s="35" t="n">
        <x:f>ROUND(D16-E16,1)</x:f>
        <x:v>0.1</x:v>
      </x:c>
      <x:c r="G16" s="35" t="n">
        <x:f>'Raw_Data'!H4/1000000</x:f>
        <x:v>6.3</x:v>
      </x:c>
      <x:c r="H16" s="35" t="n">
        <x:f>'Raw_Data'!I4/1000000</x:f>
        <x:v>5.2</x:v>
      </x:c>
    </x:row>
    <x:row r="17">
      <x:c r="A17" s="34" t="n">
        <x:f>'Raw_Data'!A5</x:f>
        <x:v>46213</x:v>
      </x:c>
      <x:c r="B17" s="35" t="n">
        <x:f>'Raw_Data'!E5/1000000</x:f>
        <x:v>12.4</x:v>
      </x:c>
      <x:c r="C17" s="35" t="n">
        <x:f>'Raw_Data'!F5/1000000</x:f>
        <x:v>0.3</x:v>
      </x:c>
      <x:c r="D17" s="35" t="n">
        <x:f>'Raw_Data'!G5/1000000</x:f>
        <x:v>12.1</x:v>
      </x:c>
      <x:c r="E17" s="36" t="n">
        <x:f>ROUND($B$8/7,1)</x:f>
        <x:v>11.4</x:v>
      </x:c>
      <x:c r="F17" s="35" t="n">
        <x:f>ROUND(D17-E17,1)</x:f>
        <x:v>0.7</x:v>
      </x:c>
      <x:c r="G17" s="35" t="n">
        <x:f>'Raw_Data'!H5/1000000</x:f>
        <x:v>6.6</x:v>
      </x:c>
      <x:c r="H17" s="35" t="n">
        <x:f>'Raw_Data'!I5/1000000</x:f>
        <x:v>5.5</x:v>
      </x:c>
    </x:row>
    <x:row r="18">
      <x:c r="A18" s="34" t="n">
        <x:f>'Raw_Data'!A6</x:f>
        <x:v>46214</x:v>
      </x:c>
      <x:c r="B18" s="35" t="n">
        <x:f>'Raw_Data'!E6/1000000</x:f>
        <x:v>12.7</x:v>
      </x:c>
      <x:c r="C18" s="35" t="n">
        <x:f>'Raw_Data'!F6/1000000</x:f>
        <x:v>0.3</x:v>
      </x:c>
      <x:c r="D18" s="35" t="n">
        <x:f>'Raw_Data'!G6/1000000</x:f>
        <x:v>12.4</x:v>
      </x:c>
      <x:c r="E18" s="36" t="n">
        <x:f>ROUND($B$8/7,1)</x:f>
        <x:v>11.4</x:v>
      </x:c>
      <x:c r="F18" s="35" t="n">
        <x:f>ROUND(D18-E18,1)</x:f>
        <x:v>1</x:v>
      </x:c>
      <x:c r="G18" s="35" t="n">
        <x:f>'Raw_Data'!H6/1000000</x:f>
        <x:v>6.8</x:v>
      </x:c>
      <x:c r="H18" s="35" t="n">
        <x:f>'Raw_Data'!I6/1000000</x:f>
        <x:v>5.6</x:v>
      </x:c>
    </x:row>
    <x:row r="19">
      <x:c r="A19" s="34" t="n">
        <x:f>'Raw_Data'!A7</x:f>
        <x:v>46215</x:v>
      </x:c>
      <x:c r="B19" s="35" t="n">
        <x:f>'Raw_Data'!E7/1000000</x:f>
        <x:v>13.2</x:v>
      </x:c>
      <x:c r="C19" s="35" t="n">
        <x:f>'Raw_Data'!F7/1000000</x:f>
        <x:v>0.2</x:v>
      </x:c>
      <x:c r="D19" s="35" t="n">
        <x:f>'Raw_Data'!G7/1000000</x:f>
        <x:v>13</x:v>
      </x:c>
      <x:c r="E19" s="36" t="n">
        <x:f>ROUND($B$8/7,1)</x:f>
        <x:v>11.4</x:v>
      </x:c>
      <x:c r="F19" s="35" t="n">
        <x:f>ROUND(D19-E19,1)</x:f>
        <x:v>1.6</x:v>
      </x:c>
      <x:c r="G19" s="35" t="n">
        <x:f>'Raw_Data'!H7/1000000</x:f>
        <x:v>7.2</x:v>
      </x:c>
      <x:c r="H19" s="35" t="n">
        <x:f>'Raw_Data'!I7/1000000</x:f>
        <x:v>5.8</x:v>
      </x:c>
    </x:row>
    <x:row r="20">
      <x:c r="A20" s="34" t="n">
        <x:f>'Raw_Data'!A8</x:f>
        <x:v>46216</x:v>
      </x:c>
      <x:c r="B20" s="35" t="n">
        <x:f>'Raw_Data'!E8/1000000</x:f>
        <x:v>13.3</x:v>
      </x:c>
      <x:c r="C20" s="35" t="n">
        <x:f>'Raw_Data'!F8/1000000</x:f>
        <x:v>0.1</x:v>
      </x:c>
      <x:c r="D20" s="35" t="n">
        <x:f>'Raw_Data'!G8/1000000</x:f>
        <x:v>13.2</x:v>
      </x:c>
      <x:c r="E20" s="36" t="n">
        <x:f>ROUND($B$8/7,1)</x:f>
        <x:v>11.4</x:v>
      </x:c>
      <x:c r="F20" s="35" t="n">
        <x:f>ROUND(D20-E20,1)</x:f>
        <x:v>1.8</x:v>
      </x:c>
      <x:c r="G20" s="35" t="n">
        <x:f>'Raw_Data'!H8/1000000</x:f>
        <x:v>7.4</x:v>
      </x:c>
      <x:c r="H20" s="35" t="n">
        <x:f>'Raw_Data'!I8/1000000</x:f>
        <x:v>5.8</x:v>
      </x:c>
    </x:row>
    <x:row r="21">
      <x:c r="A21" s="30"/>
      <x:c r="B21" s="30"/>
      <x:c r="C21" s="30"/>
      <x:c r="D21" s="30"/>
      <x:c r="E21" s="30"/>
      <x:c r="F21" s="30"/>
      <x:c r="G21" s="30"/>
      <x:c r="H21" s="30"/>
    </x:row>
    <x:row r="22">
      <x:c r="A22" s="37" t="str">
        <x:v>Refresh through 2026-07-13 23:59 JST | QA run 2026-07-14 06:00 JST | Owner: BI Analytics</x:v>
      </x:c>
      <x:c r="B22" s="37"/>
      <x:c r="C22" s="37"/>
      <x:c r="D22" s="37"/>
      <x:c r="E22" s="37"/>
      <x:c r="F22" s="37"/>
      <x:c r="G22" s="37"/>
      <x:c r="H22" s="37"/>
    </x:row>
  </x:sheetData>
  <x:mergeCells>
    <x:mergeCell ref="A1:H1"/>
    <x:mergeCell ref="A2:H2"/>
    <x:mergeCell ref="A12:H12"/>
    <x:mergeCell ref="A22:H22"/>
  </x:mergeCells>
  <x:conditionalFormatting sqref="F14:F20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42" hidden="0" customWidth="1"/>
    <x:col min="6" max="6" width="22" hidden="0" customWidth="1"/>
  </x:cols>
  <x:sheetData>
    <x:row r="1">
      <x:c r="A1" s="28" t="str">
        <x:v>Personal analysis checklist — MTR-09</x:v>
      </x:c>
      <x:c r="B1" s="28"/>
      <x:c r="C1" s="28"/>
      <x:c r="D1" s="28"/>
      <x:c r="E1" s="28"/>
      <x:c r="F1" s="28"/>
    </x:row>
    <x:row r="2">
      <x:c r="A2" s="30"/>
      <x:c r="B2" s="30"/>
      <x:c r="C2" s="30"/>
      <x:c r="D2" s="30"/>
      <x:c r="E2" s="30"/>
      <x:c r="F2" s="30"/>
    </x:row>
    <x:row r="3">
      <x:c r="A3" s="22" t="str">
        <x:v>Workstream</x:v>
      </x:c>
      <x:c r="B3" s="22" t="str">
        <x:v>Control</x:v>
      </x:c>
      <x:c r="C3" s="22" t="str">
        <x:v>Owner</x:v>
      </x:c>
      <x:c r="D3" s="22" t="str">
        <x:v>Status</x:v>
      </x:c>
      <x:c r="E3" s="22" t="str">
        <x:v>Evidence</x:v>
      </x:c>
      <x:c r="F3" s="22" t="str">
        <x:v>Review date</x:v>
      </x:c>
    </x:row>
    <x:row r="4">
      <x:c r="A4" s="42" t="str">
        <x:v>Data intake</x:v>
      </x:c>
      <x:c r="B4" s="42" t="str">
        <x:v>Refresh timestamp matches extract</x:v>
      </x:c>
      <x:c r="C4" s="42" t="str">
        <x:v>BI Analyst</x:v>
      </x:c>
      <x:c r="D4" s="43" t="str">
        <x:v>Complete</x:v>
      </x:c>
      <x:c r="E4" s="44" t="str">
        <x:v>CSV snapshot refresh through 2026-07-13 23:59 JST</x:v>
      </x:c>
      <x:c r="F4" s="34" t="n">
        <x:v>46217</x:v>
      </x:c>
    </x:row>
    <x:row r="5">
      <x:c r="A5" s="42" t="str">
        <x:v>Metric</x:v>
      </x:c>
      <x:c r="B5" s="42" t="str">
        <x:v>Gross less recognized refunds equals net</x:v>
      </x:c>
      <x:c r="C5" s="42" t="str">
        <x:v>BI Analyst</x:v>
      </x:c>
      <x:c r="D5" s="43" t="str">
        <x:v>Complete</x:v>
      </x:c>
      <x:c r="E5" s="44" t="str">
        <x:v>¥86.0M − ¥1.8M = ¥84.2M</x:v>
      </x:c>
      <x:c r="F5" s="34" t="n">
        <x:v>46217</x:v>
      </x:c>
    </x:row>
    <x:row r="6">
      <x:c r="A6" s="42" t="str">
        <x:v>Channel</x:v>
      </x:c>
      <x:c r="B6" s="42" t="str">
        <x:v>Online plus Stores reconciles</x:v>
      </x:c>
      <x:c r="C6" s="42" t="str">
        <x:v>BI Analyst</x:v>
      </x:c>
      <x:c r="D6" s="43" t="str">
        <x:v>Complete</x:v>
      </x:c>
      <x:c r="E6" s="44" t="str">
        <x:v>¥46.3M + ¥37.9M = ¥84.2M</x:v>
      </x:c>
      <x:c r="F6" s="34" t="n">
        <x:v>46217</x:v>
      </x:c>
    </x:row>
    <x:row r="7">
      <x:c r="A7" s="42" t="str">
        <x:v>Plan</x:v>
      </x:c>
      <x:c r="B7" s="42" t="str">
        <x:v>Net GMV exceeds ¥80.0M plan</x:v>
      </x:c>
      <x:c r="C7" s="42" t="str">
        <x:v>BI Analyst</x:v>
      </x:c>
      <x:c r="D7" s="43" t="str">
        <x:v>Complete</x:v>
      </x:c>
      <x:c r="E7" s="44" t="str">
        <x:v>Variance ¥4.2M</x:v>
      </x:c>
      <x:c r="F7" s="34" t="n">
        <x:v>46217</x:v>
      </x:c>
    </x:row>
    <x:row r="8">
      <x:c r="A8" s="42" t="str">
        <x:v>Prior</x:v>
      </x:c>
      <x:c r="B8" s="42" t="str">
        <x:v>Net GMV exceeds ¥78.6M prior period</x:v>
      </x:c>
      <x:c r="C8" s="42" t="str">
        <x:v>BI Analyst</x:v>
      </x:c>
      <x:c r="D8" s="43" t="str">
        <x:v>Complete</x:v>
      </x:c>
      <x:c r="E8" s="44" t="str">
        <x:v>Variance ¥5.6M</x:v>
      </x:c>
      <x:c r="F8" s="34" t="n">
        <x:v>46217</x:v>
      </x:c>
    </x:row>
    <x:row r="9">
      <x:c r="A9" s="42" t="str">
        <x:v>Documentation</x:v>
      </x:c>
      <x:c r="B9" s="42" t="str">
        <x:v>No live endpoints, credentials, or PII</x:v>
      </x:c>
      <x:c r="C9" s="42" t="str">
        <x:v>BI Analyst</x:v>
      </x:c>
      <x:c r="D9" s="43" t="str">
        <x:v>Complete</x:v>
      </x:c>
      <x:c r="E9" s="44" t="str">
        <x:v>Synthetic Mosaic Retail Analytics S2 only</x:v>
      </x:c>
      <x:c r="F9" s="34" t="n">
        <x:v>46217</x:v>
      </x:c>
    </x:row>
  </x:sheetData>
  <x:mergeCells>
    <x:mergeCell ref="A1:F1"/>
  </x:mergeCells>
  <x:dataValidations count="1">
    <x:dataValidation type="list" sqref="D4:D9">
      <x:formula1>"Not started,In review,Complete"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5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</x:cols>
  <x:sheetData>
    <x:row r="1">
      <x:c r="A1" s="22" t="str">
        <x:v>Business date</x:v>
      </x:c>
      <x:c r="B1" s="22" t="str">
        <x:v>Metric ID</x:v>
      </x:c>
      <x:c r="C1" s="22" t="str">
        <x:v>Metric definition</x:v>
      </x:c>
      <x:c r="D1" s="22" t="str">
        <x:v>Currency</x:v>
      </x:c>
      <x:c r="E1" s="22" t="str">
        <x:v>Gross GMV</x:v>
      </x:c>
      <x:c r="F1" s="22" t="str">
        <x:v>Recognized refunds</x:v>
      </x:c>
      <x:c r="G1" s="22" t="str">
        <x:v>Net GMV</x:v>
      </x:c>
      <x:c r="H1" s="22" t="str">
        <x:v>Online</x:v>
      </x:c>
      <x:c r="I1" s="22" t="str">
        <x:v>Stores</x:v>
      </x:c>
      <x:c r="J1" s="22" t="str">
        <x:v>Refresh timestamp</x:v>
      </x:c>
    </x:row>
    <x:row r="2">
      <x:c r="A2" s="34" t="n">
        <x:v>46210</x:v>
      </x:c>
      <x:c r="B2" s="44" t="str">
        <x:v>MTR-09</x:v>
      </x:c>
      <x:c r="C2" s="44" t="str">
        <x:v>Completed order-line merchandise value; tax excluded; net recognized refunds</x:v>
      </x:c>
      <x:c r="D2" s="44" t="str">
        <x:v>JPY</x:v>
      </x:c>
      <x:c r="E2" s="47" t="n">
        <x:v>11100000</x:v>
      </x:c>
      <x:c r="F2" s="47" t="n">
        <x:v>300000</x:v>
      </x:c>
      <x:c r="G2" s="47" t="n">
        <x:v>10800000</x:v>
      </x:c>
      <x:c r="H2" s="47" t="n">
        <x:v>5900000</x:v>
      </x:c>
      <x:c r="I2" s="47" t="n">
        <x:v>4900000</x:v>
      </x:c>
      <x:c r="J2" s="44" t="str">
        <x:v>2026-07-13 23:59 JST</x:v>
      </x:c>
    </x:row>
    <x:row r="3">
      <x:c r="A3" s="34" t="n">
        <x:v>46211</x:v>
      </x:c>
      <x:c r="B3" s="44" t="str">
        <x:v>MTR-09</x:v>
      </x:c>
      <x:c r="C3" s="44" t="str">
        <x:v>Completed order-line merchandise value; tax excluded; net recognized refunds</x:v>
      </x:c>
      <x:c r="D3" s="44" t="str">
        <x:v>JPY</x:v>
      </x:c>
      <x:c r="E3" s="47" t="n">
        <x:v>11500000</x:v>
      </x:c>
      <x:c r="F3" s="47" t="n">
        <x:v>300000</x:v>
      </x:c>
      <x:c r="G3" s="47" t="n">
        <x:v>11200000</x:v>
      </x:c>
      <x:c r="H3" s="47" t="n">
        <x:v>6100000</x:v>
      </x:c>
      <x:c r="I3" s="47" t="n">
        <x:v>5100000</x:v>
      </x:c>
      <x:c r="J3" s="44" t="str">
        <x:v>2026-07-13 23:59 JST</x:v>
      </x:c>
    </x:row>
    <x:row r="4">
      <x:c r="A4" s="34" t="n">
        <x:v>46212</x:v>
      </x:c>
      <x:c r="B4" s="44" t="str">
        <x:v>MTR-09</x:v>
      </x:c>
      <x:c r="C4" s="44" t="str">
        <x:v>Completed order-line merchandise value; tax excluded; net recognized refunds</x:v>
      </x:c>
      <x:c r="D4" s="44" t="str">
        <x:v>JPY</x:v>
      </x:c>
      <x:c r="E4" s="47" t="n">
        <x:v>11800000</x:v>
      </x:c>
      <x:c r="F4" s="47" t="n">
        <x:v>300000</x:v>
      </x:c>
      <x:c r="G4" s="47" t="n">
        <x:v>11500000</x:v>
      </x:c>
      <x:c r="H4" s="47" t="n">
        <x:v>6300000</x:v>
      </x:c>
      <x:c r="I4" s="47" t="n">
        <x:v>5200000</x:v>
      </x:c>
      <x:c r="J4" s="44" t="str">
        <x:v>2026-07-13 23:59 JST</x:v>
      </x:c>
    </x:row>
    <x:row r="5">
      <x:c r="A5" s="34" t="n">
        <x:v>46213</x:v>
      </x:c>
      <x:c r="B5" s="44" t="str">
        <x:v>MTR-09</x:v>
      </x:c>
      <x:c r="C5" s="44" t="str">
        <x:v>Completed order-line merchandise value; tax excluded; net recognized refunds</x:v>
      </x:c>
      <x:c r="D5" s="44" t="str">
        <x:v>JPY</x:v>
      </x:c>
      <x:c r="E5" s="47" t="n">
        <x:v>12400000</x:v>
      </x:c>
      <x:c r="F5" s="47" t="n">
        <x:v>300000</x:v>
      </x:c>
      <x:c r="G5" s="47" t="n">
        <x:v>12100000</x:v>
      </x:c>
      <x:c r="H5" s="47" t="n">
        <x:v>6600000</x:v>
      </x:c>
      <x:c r="I5" s="47" t="n">
        <x:v>5500000</x:v>
      </x:c>
      <x:c r="J5" s="44" t="str">
        <x:v>2026-07-13 23:59 JST</x:v>
      </x:c>
    </x:row>
    <x:row r="6">
      <x:c r="A6" s="34" t="n">
        <x:v>46214</x:v>
      </x:c>
      <x:c r="B6" s="44" t="str">
        <x:v>MTR-09</x:v>
      </x:c>
      <x:c r="C6" s="44" t="str">
        <x:v>Completed order-line merchandise value; tax excluded; net recognized refunds</x:v>
      </x:c>
      <x:c r="D6" s="44" t="str">
        <x:v>JPY</x:v>
      </x:c>
      <x:c r="E6" s="47" t="n">
        <x:v>12700000</x:v>
      </x:c>
      <x:c r="F6" s="47" t="n">
        <x:v>300000</x:v>
      </x:c>
      <x:c r="G6" s="47" t="n">
        <x:v>12400000</x:v>
      </x:c>
      <x:c r="H6" s="47" t="n">
        <x:v>6800000</x:v>
      </x:c>
      <x:c r="I6" s="47" t="n">
        <x:v>5600000</x:v>
      </x:c>
      <x:c r="J6" s="44" t="str">
        <x:v>2026-07-13 23:59 JST</x:v>
      </x:c>
    </x:row>
    <x:row r="7">
      <x:c r="A7" s="34" t="n">
        <x:v>46215</x:v>
      </x:c>
      <x:c r="B7" s="44" t="str">
        <x:v>MTR-09</x:v>
      </x:c>
      <x:c r="C7" s="44" t="str">
        <x:v>Completed order-line merchandise value; tax excluded; net recognized refunds</x:v>
      </x:c>
      <x:c r="D7" s="44" t="str">
        <x:v>JPY</x:v>
      </x:c>
      <x:c r="E7" s="47" t="n">
        <x:v>13200000</x:v>
      </x:c>
      <x:c r="F7" s="47" t="n">
        <x:v>200000</x:v>
      </x:c>
      <x:c r="G7" s="47" t="n">
        <x:v>13000000</x:v>
      </x:c>
      <x:c r="H7" s="47" t="n">
        <x:v>7200000</x:v>
      </x:c>
      <x:c r="I7" s="47" t="n">
        <x:v>5800000</x:v>
      </x:c>
      <x:c r="J7" s="44" t="str">
        <x:v>2026-07-13 23:59 JST</x:v>
      </x:c>
    </x:row>
    <x:row r="8">
      <x:c r="A8" s="34" t="n">
        <x:v>46216</x:v>
      </x:c>
      <x:c r="B8" s="44" t="str">
        <x:v>MTR-09</x:v>
      </x:c>
      <x:c r="C8" s="44" t="str">
        <x:v>Completed order-line merchandise value; tax excluded; net recognized refunds</x:v>
      </x:c>
      <x:c r="D8" s="44" t="str">
        <x:v>JPY</x:v>
      </x:c>
      <x:c r="E8" s="47" t="n">
        <x:v>13300000</x:v>
      </x:c>
      <x:c r="F8" s="47" t="n">
        <x:v>100000</x:v>
      </x:c>
      <x:c r="G8" s="47" t="n">
        <x:v>13200000</x:v>
      </x:c>
      <x:c r="H8" s="47" t="n">
        <x:v>7400000</x:v>
      </x:c>
      <x:c r="I8" s="47" t="n">
        <x:v>5800000</x:v>
      </x:c>
      <x:c r="J8" s="44" t="str">
        <x:v>2026-07-13 23:59 JST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28" t="str">
        <x:v>Model checks — all controls must pass</x:v>
      </x:c>
      <x:c r="B1" s="28"/>
      <x:c r="C1" s="28"/>
      <x:c r="D1" s="28"/>
      <x:c r="E1" s="28"/>
    </x:row>
    <x:row r="2">
      <x:c r="A2" s="30"/>
      <x:c r="B2" s="30"/>
      <x:c r="C2" s="30"/>
      <x:c r="D2" s="30"/>
      <x:c r="E2" s="30"/>
    </x:row>
    <x:row r="3">
      <x:c r="A3" s="22" t="str">
        <x:v>Check</x:v>
      </x:c>
      <x:c r="B3" s="22" t="str">
        <x:v>Actual</x:v>
      </x:c>
      <x:c r="C3" s="22" t="str">
        <x:v>Expected</x:v>
      </x:c>
      <x:c r="D3" s="22" t="str">
        <x:v>Delta</x:v>
      </x:c>
      <x:c r="E3" s="22" t="str">
        <x:v>Status</x:v>
      </x:c>
    </x:row>
    <x:row r="4">
      <x:c r="A4" s="44" t="str">
        <x:v>Net GMV</x:v>
      </x:c>
      <x:c r="B4" s="50" t="n">
        <x:f>'Summary'!B5</x:f>
        <x:v>84.2</x:v>
      </x:c>
      <x:c r="C4" s="50" t="n">
        <x:f>84.2</x:f>
        <x:v>84.2</x:v>
      </x:c>
      <x:c r="D4" s="50" t="n">
        <x:f>B4-C4</x:f>
        <x:v>0</x:v>
      </x:c>
      <x:c r="E4" s="43" t="str">
        <x:f>IF(D4=0,"PASS","FAIL")</x:f>
        <x:v>PASS</x:v>
      </x:c>
    </x:row>
    <x:row r="5">
      <x:c r="A5" s="44" t="str">
        <x:v>Gross less refunds</x:v>
      </x:c>
      <x:c r="B5" s="50" t="n">
        <x:f>'Summary'!B6-'Summary'!B7</x:f>
        <x:v>84.2</x:v>
      </x:c>
      <x:c r="C5" s="50" t="n">
        <x:f>'Summary'!B5</x:f>
        <x:v>84.2</x:v>
      </x:c>
      <x:c r="D5" s="50" t="n">
        <x:f>B5-C5</x:f>
        <x:v>0</x:v>
      </x:c>
      <x:c r="E5" s="43" t="str">
        <x:f>IF(D5=0,"PASS","FAIL")</x:f>
        <x:v>PASS</x:v>
      </x:c>
    </x:row>
    <x:row r="6">
      <x:c r="A6" s="44" t="str">
        <x:v>Channel reconciliation</x:v>
      </x:c>
      <x:c r="B6" s="50" t="n">
        <x:f>(SUM('Raw_Data'!$H$2:$H$8)+SUM('Raw_Data'!$I$2:$I$8))/1000000</x:f>
        <x:v>84.2</x:v>
      </x:c>
      <x:c r="C6" s="50" t="n">
        <x:f>'Summary'!B5</x:f>
        <x:v>84.2</x:v>
      </x:c>
      <x:c r="D6" s="50" t="n">
        <x:f>B6-C6</x:f>
        <x:v>0</x:v>
      </x:c>
      <x:c r="E6" s="43" t="str">
        <x:f>IF(D6=0,"PASS","FAIL")</x:f>
        <x:v>PASS</x:v>
      </x:c>
    </x:row>
    <x:row r="7">
      <x:c r="A7" s="44" t="str">
        <x:v>Plan variance</x:v>
      </x:c>
      <x:c r="B7" s="50" t="n">
        <x:f>ROUND('Summary'!B10,1)</x:f>
        <x:v>4.2</x:v>
      </x:c>
      <x:c r="C7" s="50" t="n">
        <x:f>4.2</x:f>
        <x:v>4.2</x:v>
      </x:c>
      <x:c r="D7" s="50" t="n">
        <x:f>ROUND(B7-C7,1)</x:f>
        <x:v>0</x:v>
      </x:c>
      <x:c r="E7" s="43" t="str">
        <x:f>IF(D7=0,"PASS","FAIL")</x:f>
        <x:v>PASS</x:v>
      </x:c>
    </x:row>
    <x:row r="8">
      <x:c r="A8" s="44" t="str">
        <x:v>Prior-period variance</x:v>
      </x:c>
      <x:c r="B8" s="50" t="n">
        <x:f>ROUND('Summary'!B5-'Summary'!B9,1)</x:f>
        <x:v>5.6</x:v>
      </x:c>
      <x:c r="C8" s="50" t="n">
        <x:f>5.6</x:f>
        <x:v>5.6</x:v>
      </x:c>
      <x:c r="D8" s="50" t="n">
        <x:f>ROUND(B8-C8,1)</x:f>
        <x:v>0</x:v>
      </x:c>
      <x:c r="E8" s="43" t="str">
        <x:f>IF(D8=0,"PASS","FAIL")</x:f>
        <x:v>PASS</x:v>
      </x:c>
    </x:row>
    <x:row r="9">
      <x:c r="A9" s="30"/>
      <x:c r="B9" s="30"/>
      <x:c r="C9" s="30"/>
      <x:c r="D9" s="30"/>
      <x:c r="E9" s="30"/>
    </x:row>
    <x:row r="10">
      <x:c r="A10" s="51" t="str">
        <x:v>MODEL STATUS</x:v>
      </x:c>
      <x:c r="B10" s="51" t="str">
        <x:f>IF(COUNTIF(E4:E8,"FAIL")=0,"PASS","FAIL")</x:f>
        <x:v>PASS</x:v>
      </x:c>
      <x:c r="C10" s="30"/>
      <x:c r="D10" s="30"/>
      <x:c r="E10" s="30"/>
    </x:row>
  </x:sheetData>
  <x:mergeCells>
    <x:mergeCell ref="A1:E1"/>
  </x:mergeCells>
  <x:pageMargins left="0.7" right="0.7" top="0.75" bottom="0.75" header="0.3" footer="0.3"/>
</x:worksheet>
</file>