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3cf5c9bb3844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72d508403024683"/>
    <x:sheet xmlns:r="http://schemas.openxmlformats.org/officeDocument/2006/relationships" name="Calendar" sheetId="2" r:id="R821a2b3c74264e5c"/>
    <x:sheet xmlns:r="http://schemas.openxmlformats.org/officeDocument/2006/relationships" name="Action Register" sheetId="3" r:id="Re6893a077ce7482f"/>
    <x:sheet xmlns:r="http://schemas.openxmlformats.org/officeDocument/2006/relationships" name="Checks" sheetId="4" r:id="R5c4738d2bfaa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[Red](#,##0.0);-"/>
    <x:numFmt numFmtId="201" formatCode="0.0%;[Red](0.0%);-"/>
    <x:numFmt numFmtId="202" formatCode="yyyy-mm-dd"/>
    <x:numFmt numFmtId="203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74C6B"/>
      <x:name val="Carlito"/>
    </x:font>
    <x:font>
      <x:b/>
      <x:sz val="11"/>
      <x:color rgb="FF163A5F"/>
      <x:name val="Carlito"/>
    </x:font>
    <x:font>
      <x:b/>
      <x:sz val="11"/>
      <x:color rgb="FF1F4E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FF4F8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</x:fills>
  <x:borders count="21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9FBAD0"/>
      </x:left>
      <x:right style="thin">
        <x:color rgb="FFD9E2F3"/>
      </x:right>
      <x:top style="thin">
        <x:color rgb="FF9FBAD0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9FBAD0"/>
      </x:top>
      <x:bottom style="thin">
        <x:color rgb="FFD9E2F3"/>
      </x:bottom>
    </x:border>
    <x:border>
      <x:left style="thin">
        <x:color rgb="FFD9E2F3"/>
      </x:left>
      <x:top style="thin">
        <x:color rgb="FF9FBAD0"/>
      </x:top>
      <x:bottom style="thin">
        <x:color rgb="FFD9E2F3"/>
      </x:bottom>
    </x:border>
    <x:border>
      <x:left style="thin">
        <x:color rgb="FF9FBAD0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9FBAD0"/>
      </x:left>
      <x:right style="thin">
        <x:color rgb="FFD9E2F3"/>
      </x:right>
      <x:top style="thin">
        <x:color rgb="FFD9E2F3"/>
      </x:top>
      <x:bottom style="thin">
        <x:color rgb="FF9FBAD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9FBAD0"/>
      </x:bottom>
    </x:border>
    <x:border>
      <x:left style="thin">
        <x:color rgb="FFD9E2F3"/>
      </x:left>
      <x:top style="thin">
        <x:color rgb="FFD9E2F3"/>
      </x:top>
      <x:bottom style="thin">
        <x:color rgb="FF9FBAD0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4" fillId="5" borderId="8" xfId="0" applyNumberFormat="1" applyFont="1" applyFill="1" applyBorder="1"/>
    <x:xf numFmtId="200" fontId="0" fillId="0" borderId="11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1" fontId="4" fillId="5" borderId="8" xfId="0" applyNumberFormat="1" applyFont="1" applyFill="1" applyBorder="1"/>
    <x:xf numFmtId="201" fontId="0" fillId="0" borderId="11" xfId="0" applyNumberFormat="1" applyFont="1" applyFill="1" applyBorder="1"/>
    <x:xf numFmtId="200" fontId="0" fillId="0" borderId="0" xfId="0" applyNumberFormat="1" applyFont="1" applyFill="1" applyBorder="1"/>
    <x:xf numFmtId="0" fontId="3" fillId="4" borderId="13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6" xfId="0" applyNumberFormat="1" applyFont="1" applyFill="1" applyBorder="1" applyAlignment="1">
      <x:alignment wrapText="0"/>
    </x:xf>
    <x:xf numFmtId="200" fontId="0" fillId="0" borderId="8" xfId="0" applyNumberFormat="1" applyFont="1" applyFill="1" applyBorder="1" applyAlignment="1">
      <x:alignment wrapText="0"/>
    </x:xf>
    <x:xf numFmtId="0" fontId="0" fillId="0" borderId="8" xfId="0" applyNumberFormat="1" applyFont="1" applyFill="1" applyBorder="1" applyAlignment="1">
      <x:alignment wrapText="0"/>
    </x:xf>
    <x:xf numFmtId="0" fontId="0" fillId="0" borderId="9" xfId="0" applyNumberFormat="1" applyFont="1" applyFill="1" applyBorder="1" applyAlignment="1">
      <x:alignment wrapText="0"/>
    </x:xf>
    <x:xf numFmtId="0" fontId="0" fillId="0" borderId="17" xfId="0" applyNumberFormat="1" applyFont="1" applyFill="1" applyBorder="1" applyAlignment="1">
      <x:alignment wrapText="0"/>
    </x:xf>
    <x:xf numFmtId="0" fontId="0" fillId="0" borderId="18" xfId="0" applyNumberFormat="1" applyFont="1" applyFill="1" applyBorder="1" applyAlignment="1">
      <x:alignment wrapText="0"/>
    </x:xf>
    <x:xf numFmtId="0" fontId="0" fillId="0" borderId="19" xfId="0" applyNumberFormat="1" applyFont="1" applyFill="1" applyBorder="1" applyAlignment="1">
      <x:alignment wrapText="0"/>
    </x:xf>
    <x:xf numFmtId="0" fontId="0" fillId="0" borderId="4" xfId="0" applyNumberFormat="1" applyFont="1" applyFill="1" applyBorder="1" applyAlignment="1">
      <x:alignment wrapText="0"/>
    </x:xf>
    <x:xf numFmtId="0" fontId="0" fillId="0" borderId="5" xfId="0" applyNumberFormat="1" applyFont="1" applyFill="1" applyBorder="1" applyAlignment="1">
      <x:alignment wrapText="0"/>
    </x:xf>
    <x:xf numFmtId="0" fontId="0" fillId="0" borderId="6" xfId="0" applyNumberFormat="1" applyFont="1" applyFill="1" applyBorder="1" applyAlignment="1">
      <x:alignment wrapText="0"/>
    </x:xf>
    <x:xf numFmtId="0" fontId="0" fillId="0" borderId="7" xfId="0" applyNumberFormat="1" applyFont="1" applyFill="1" applyBorder="1" applyAlignment="1">
      <x:alignment wrapText="0"/>
    </x:xf>
    <x:xf numFmtId="0" fontId="0" fillId="0" borderId="10" xfId="0" applyNumberFormat="1" applyFont="1" applyFill="1" applyBorder="1" applyAlignment="1">
      <x:alignment wrapText="0"/>
    </x:xf>
    <x:xf numFmtId="0" fontId="0" fillId="0" borderId="11" xfId="0" applyNumberFormat="1" applyFont="1" applyFill="1" applyBorder="1" applyAlignment="1">
      <x:alignment wrapText="0"/>
    </x:xf>
    <x:xf numFmtId="0" fontId="0" fillId="0" borderId="12" xfId="0" applyNumberFormat="1" applyFont="1" applyFill="1" applyBorder="1" applyAlignment="1">
      <x:alignment wrapText="0"/>
    </x:xf>
    <x:xf numFmtId="202" fontId="0" fillId="0" borderId="5" xfId="0" applyNumberFormat="1" applyFont="1" applyFill="1" applyBorder="1" applyAlignment="1">
      <x:alignment wrapText="0"/>
    </x:xf>
    <x:xf numFmtId="202" fontId="0" fillId="0" borderId="8" xfId="0" applyNumberFormat="1" applyFont="1" applyFill="1" applyBorder="1" applyAlignment="1">
      <x:alignment wrapText="0"/>
    </x:xf>
    <x:xf numFmtId="202" fontId="0" fillId="0" borderId="11" xfId="0" applyNumberFormat="1" applyFont="1" applyFill="1" applyBorder="1" applyAlignment="1">
      <x:alignment wrapText="0"/>
    </x:xf>
    <x:xf numFmtId="203" fontId="0" fillId="0" borderId="6" xfId="0" applyNumberFormat="1" applyFont="1" applyFill="1" applyBorder="1" applyAlignment="1">
      <x:alignment wrapText="0"/>
    </x:xf>
    <x:xf numFmtId="203" fontId="0" fillId="0" borderId="9" xfId="0" applyNumberFormat="1" applyFont="1" applyFill="1" applyBorder="1" applyAlignment="1">
      <x:alignment wrapText="0"/>
    </x:xf>
    <x:xf numFmtId="203" fontId="0" fillId="0" borderId="12" xfId="0" applyNumberFormat="1" applyFont="1" applyFill="1" applyBorder="1" applyAlignment="1">
      <x:alignment wrapText="0"/>
    </x:xf>
    <x:xf numFmtId="0" fontId="3" fillId="4" borderId="20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/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9f6ae37b5b4b2c" /><Relationship Type="http://schemas.openxmlformats.org/officeDocument/2006/relationships/theme" Target="/xl/theme/theme1.xml" Id="Rc54bf3c6a7684c8f" /><Relationship Type="http://schemas.openxmlformats.org/officeDocument/2006/relationships/sharedStrings" Target="/xl/sharedStrings.xml" Id="R4bb95beb401745a7" /><Relationship Type="http://schemas.openxmlformats.org/officeDocument/2006/relationships/worksheet" Target="/xl/worksheets/sheet1.xml" Id="R572d508403024683" /><Relationship Type="http://schemas.openxmlformats.org/officeDocument/2006/relationships/worksheet" Target="/xl/worksheets/sheet2.xml" Id="R821a2b3c74264e5c" /><Relationship Type="http://schemas.openxmlformats.org/officeDocument/2006/relationships/worksheet" Target="/xl/worksheets/sheet3.xml" Id="Re6893a077ce7482f" /><Relationship Type="http://schemas.openxmlformats.org/officeDocument/2006/relationships/worksheet" Target="/xl/worksheets/sheet4.xml" Id="R5c4738d2bfaa4d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7" hidden="0" customWidth="1"/>
    <x:col min="3" max="3" width="24" hidden="0" customWidth="1"/>
    <x:col min="4" max="4" width="18" hidden="0" customWidth="1"/>
    <x:col min="5" max="5" width="34" hidden="0" customWidth="1"/>
    <x:col min="6" max="6" width="14" hidden="0" customWidth="1"/>
    <x:col min="7" max="7" width="34" hidden="0" customWidth="1"/>
  </x:cols>
  <x:sheetData>
    <x:row r="1" ht="28" customHeight="1">
      <x:c r="A1" s="5" t="str">
        <x:v>Mosaic Retail Analytics | MTR-09 Shared GMV Tracker</x:v>
      </x:c>
      <x:c r="B1" s="5" t="str">
        <x:v>Mosaic Retail Analytics | MTR-09 Shared GMV Tracker</x:v>
      </x:c>
      <x:c r="C1" s="5" t="str">
        <x:v>Mosaic Retail Analytics | MTR-09 Shared GMV Tracker</x:v>
      </x:c>
      <x:c r="D1" s="5" t="str">
        <x:v>Mosaic Retail Analytics | MTR-09 Shared GMV Tracker</x:v>
      </x:c>
      <x:c r="E1" s="5" t="str">
        <x:v>Mosaic Retail Analytics | MTR-09 Shared GMV Tracker</x:v>
      </x:c>
      <x:c r="F1" s="5" t="str">
        <x:v>Mosaic Retail Analytics | MTR-09 Shared GMV Tracker</x:v>
      </x:c>
      <x:c r="G1" s="5" t="str">
        <x:v>Mosaic Retail Analytics | MTR-09 Shared GMV Tracker</x:v>
      </x:c>
    </x:row>
    <x:row r="3">
      <x:c r="A3" s="10" t="str">
        <x:v>Metric definition</x:v>
      </x:c>
      <x:c r="B3" s="10" t="str">
        <x:v>Completed order-line merchandise value, tax excluded, net recognized refunds (JPY)</x:v>
      </x:c>
      <x:c r="C3" s="10" t="str">
        <x:v>Refresh through</x:v>
      </x:c>
      <x:c r="D3" s="10" t="str">
        <x:v>2026-07-13 23:59 JST</x:v>
      </x:c>
      <x:c r="E3" s="10" t="str">
        <x:v>QA checkpoint</x:v>
      </x:c>
      <x:c r="F3" s="10" t="str">
        <x:v>2026-07-14 06:00 JST</x:v>
      </x:c>
      <x:c r="G3" s="10" t="str">
        <x:v>Synthetic S2</x:v>
      </x:c>
    </x:row>
    <x:row r="5">
      <x:c r="A5" s="16" t="str">
        <x:v>KPI</x:v>
      </x:c>
      <x:c r="B5" s="17" t="str">
        <x:v>Actual JPY M</x:v>
      </x:c>
      <x:c r="C5" s="17" t="str">
        <x:v>Reference JPY M</x:v>
      </x:c>
      <x:c r="D5" s="17" t="str">
        <x:v>Variance JPY M</x:v>
      </x:c>
      <x:c r="E5" s="17" t="str">
        <x:v>Variance %</x:v>
      </x:c>
      <x:c r="F5" s="17" t="str">
        <x:v>Status</x:v>
      </x:c>
      <x:c r="G5" s="18" t="str">
        <x:v>Interpretation</x:v>
      </x:c>
    </x:row>
    <x:row r="6">
      <x:c r="A6" s="19" t="str">
        <x:v>Gross merchandise value</x:v>
      </x:c>
      <x:c r="B6" s="34" t="n">
        <x:v>86</x:v>
      </x:c>
      <x:c r="C6" s="34"/>
      <x:c r="D6" s="34"/>
      <x:c r="E6" s="38"/>
      <x:c r="F6" s="20"/>
      <x:c r="G6" s="21" t="str">
        <x:v>Source control input</x:v>
      </x:c>
    </x:row>
    <x:row r="7">
      <x:c r="A7" s="22" t="str">
        <x:v>Recognized refunds</x:v>
      </x:c>
      <x:c r="B7" s="35" t="n">
        <x:v>-1.8</x:v>
      </x:c>
      <x:c r="C7" s="35"/>
      <x:c r="D7" s="35"/>
      <x:c r="E7" s="39"/>
      <x:c r="F7" s="23"/>
      <x:c r="G7" s="24" t="str">
        <x:v>Recognized refunds reduce GMV</x:v>
      </x:c>
    </x:row>
    <x:row r="8">
      <x:c r="A8" s="31" t="str">
        <x:v>MTR-09 net value</x:v>
      </x:c>
      <x:c r="B8" s="36" t="n">
        <x:f>SUM(B6:B7)</x:f>
        <x:v>84.2</x:v>
      </x:c>
      <x:c r="C8" s="36" t="n">
        <x:v>80</x:v>
      </x:c>
      <x:c r="D8" s="36" t="n">
        <x:f>B8-C8</x:f>
        <x:v>4.200000000000003</x:v>
      </x:c>
      <x:c r="E8" s="40" t="n">
        <x:f>D8/C8</x:f>
        <x:v>0.05250000000000003</x:v>
      </x:c>
      <x:c r="F8" s="32" t="str">
        <x:f>IF(B8=SUM(B11:B12),"PASS","FAIL")</x:f>
        <x:v>PASS</x:v>
      </x:c>
      <x:c r="G8" s="33" t="str">
        <x:v>Gross less refunds; online plus stores tie</x:v>
      </x:c>
    </x:row>
    <x:row r="9">
      <x:c r="A9" s="22" t="str">
        <x:v>Plan</x:v>
      </x:c>
      <x:c r="B9" s="35" t="n">
        <x:v>80</x:v>
      </x:c>
      <x:c r="C9" s="35"/>
      <x:c r="D9" s="35" t="n">
        <x:f>B8-B9</x:f>
        <x:v>4.200000000000003</x:v>
      </x:c>
      <x:c r="E9" s="39" t="n">
        <x:f>D9/B9</x:f>
        <x:v>0.05250000000000003</x:v>
      </x:c>
      <x:c r="F9" s="23" t="str">
        <x:f>IF(B9&gt;0,"PASS","FAIL")</x:f>
        <x:v>PASS</x:v>
      </x:c>
      <x:c r="G9" s="24" t="str">
        <x:v>Net value vs plan</x:v>
      </x:c>
    </x:row>
    <x:row r="10">
      <x:c r="A10" s="22" t="str">
        <x:v>Prior comparator</x:v>
      </x:c>
      <x:c r="B10" s="35" t="n">
        <x:v>78.6</x:v>
      </x:c>
      <x:c r="C10" s="35"/>
      <x:c r="D10" s="35" t="n">
        <x:f>B8-B10</x:f>
        <x:v>5.6000000000000085</x:v>
      </x:c>
      <x:c r="E10" s="39" t="n">
        <x:f>D10/B10</x:f>
        <x:v>0.0712468193384225</x:v>
      </x:c>
      <x:c r="F10" s="23" t="str">
        <x:f>IF(B10&gt;0,"PASS","FAIL")</x:f>
        <x:v>PASS</x:v>
      </x:c>
      <x:c r="G10" s="24" t="str">
        <x:v>Net value vs prior</x:v>
      </x:c>
    </x:row>
    <x:row r="11">
      <x:c r="A11" s="22" t="str">
        <x:v>Online channel</x:v>
      </x:c>
      <x:c r="B11" s="35" t="n">
        <x:v>46.3</x:v>
      </x:c>
      <x:c r="C11" s="35"/>
      <x:c r="D11" s="35"/>
      <x:c r="E11" s="39"/>
      <x:c r="F11" s="23" t="str">
        <x:f>IF(B11&gt;=0,"PASS","FAIL")</x:f>
        <x:v>PASS</x:v>
      </x:c>
      <x:c r="G11" s="24" t="str">
        <x:v>Channel contribution</x:v>
      </x:c>
    </x:row>
    <x:row r="12">
      <x:c r="A12" s="25" t="str">
        <x:v>Stores channel</x:v>
      </x:c>
      <x:c r="B12" s="37" t="n">
        <x:v>37.9</x:v>
      </x:c>
      <x:c r="C12" s="37"/>
      <x:c r="D12" s="37"/>
      <x:c r="E12" s="41"/>
      <x:c r="F12" s="26" t="str">
        <x:f>IF(B12&gt;=0,"PASS","FAIL")</x:f>
        <x:v>PASS</x:v>
      </x:c>
      <x:c r="G12" s="27" t="str">
        <x:v>Channel contribution</x:v>
      </x:c>
    </x:row>
    <x:row r="14">
      <x:c r="A14" s="43" t="str">
        <x:v>Management review</x:v>
      </x:c>
      <x:c r="B14" s="44" t="str">
        <x:v>Formula result</x:v>
      </x:c>
      <x:c r="C14" s="44" t="str">
        <x:v>Control owner</x:v>
      </x:c>
      <x:c r="D14" s="44" t="str">
        <x:v>Next cadence</x:v>
      </x:c>
      <x:c r="E14" s="44" t="str">
        <x:v>Decision use</x:v>
      </x:c>
      <x:c r="F14" s="44" t="str"/>
      <x:c r="G14" s="45" t="str"/>
    </x:row>
    <x:row r="15" ht="18" customHeight="1">
      <x:c r="A15" s="50" t="str">
        <x:v>MTR-09 vs plan</x:v>
      </x:c>
      <x:c r="B15" s="51" t="n">
        <x:f>D9</x:f>
        <x:v>4.200000000000003</x:v>
      </x:c>
      <x:c r="C15" s="52" t="str">
        <x:v>Finance Business Partner</x:v>
      </x:c>
      <x:c r="D15" s="52" t="str">
        <x:v>2026-07-15</x:v>
      </x:c>
      <x:c r="E15" s="52" t="str">
        <x:v>Explain JPY and % variance</x:v>
      </x:c>
      <x:c r="F15" s="52" t="str"/>
      <x:c r="G15" s="53" t="str"/>
    </x:row>
    <x:row r="16" ht="18" customHeight="1">
      <x:c r="A16" s="50" t="str">
        <x:v>MTR-09 vs prior</x:v>
      </x:c>
      <x:c r="B16" s="51" t="n">
        <x:f>D10</x:f>
        <x:v>5.6000000000000085</x:v>
      </x:c>
      <x:c r="C16" s="52" t="str">
        <x:v>Analytics Manager</x:v>
      </x:c>
      <x:c r="D16" s="52" t="str">
        <x:v>2026-07-20</x:v>
      </x:c>
      <x:c r="E16" s="52" t="str">
        <x:v>Frame movement in operating context</x:v>
      </x:c>
      <x:c r="F16" s="52" t="str"/>
      <x:c r="G16" s="53" t="str"/>
    </x:row>
    <x:row r="17" ht="18" customHeight="1">
      <x:c r="A17" s="54" t="str">
        <x:v>Data quality gate</x:v>
      </x:c>
      <x:c r="B17" s="55" t="str">
        <x:f>F8</x:f>
        <x:v>PASS</x:v>
      </x:c>
      <x:c r="C17" s="55" t="str">
        <x:v>BI Quality Analyst</x:v>
      </x:c>
      <x:c r="D17" s="55" t="str">
        <x:v>2026-07-14</x:v>
      </x:c>
      <x:c r="E17" s="55" t="str">
        <x:v>Confirm controlled QA evidence</x:v>
      </x:c>
      <x:c r="F17" s="55" t="str"/>
      <x:c r="G17" s="56" t="str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2" hidden="0" customWidth="1"/>
    <x:col min="4" max="4" width="29" hidden="0" customWidth="1"/>
    <x:col min="5" max="5" width="42" hidden="0" customWidth="1"/>
    <x:col min="6" max="6" width="28" hidden="0" customWidth="1"/>
    <x:col min="7" max="7" width="14" hidden="0" customWidth="1"/>
    <x:col min="8" max="8" width="44" hidden="0" customWidth="1"/>
  </x:cols>
  <x:sheetData>
    <x:row r="1" ht="28" customHeight="1">
      <x:c r="A1" s="5" t="str">
        <x:v>MTR-09 Metric Calendar</x:v>
      </x:c>
      <x:c r="B1" s="5" t="str">
        <x:v>MTR-09 Metric Calendar</x:v>
      </x:c>
      <x:c r="C1" s="5" t="str">
        <x:v>MTR-09 Metric Calendar</x:v>
      </x:c>
      <x:c r="D1" s="5" t="str">
        <x:v>MTR-09 Metric Calendar</x:v>
      </x:c>
      <x:c r="E1" s="5" t="str">
        <x:v>MTR-09 Metric Calendar</x:v>
      </x:c>
      <x:c r="F1" s="5" t="str">
        <x:v>MTR-09 Metric Calendar</x:v>
      </x:c>
      <x:c r="G1" s="5" t="str">
        <x:v>MTR-09 Metric Calendar</x:v>
      </x:c>
      <x:c r="H1" s="5" t="str">
        <x:v>MTR-09 Metric Calendar</x:v>
      </x:c>
    </x:row>
    <x:row r="3" ht="26.399999618530273" hidden="0" customHeight="1">
      <x:c r="A3" s="16" t="str">
        <x:v>calendar_id</x:v>
      </x:c>
      <x:c r="B3" s="17" t="str">
        <x:v>date_jst</x:v>
      </x:c>
      <x:c r="C3" s="17" t="str">
        <x:v>cadence</x:v>
      </x:c>
      <x:c r="D3" s="17" t="str">
        <x:v>activity</x:v>
      </x:c>
      <x:c r="E3" s="17" t="str">
        <x:v>metric_or_control</x:v>
      </x:c>
      <x:c r="F3" s="17" t="str">
        <x:v>owner_role</x:v>
      </x:c>
      <x:c r="G3" s="17" t="str">
        <x:v>status</x:v>
      </x:c>
      <x:c r="H3" s="18" t="str">
        <x:v>evidence_required</x:v>
      </x:c>
    </x:row>
    <x:row r="4" ht="15" hidden="0" customHeight="1">
      <x:c r="A4" s="57" t="str">
        <x:v>CAL-01</x:v>
      </x:c>
      <x:c r="B4" s="64" t="n">
        <x:v>46217</x:v>
      </x:c>
      <x:c r="C4" s="58" t="str">
        <x:v>Daily</x:v>
      </x:c>
      <x:c r="D4" s="58" t="str">
        <x:v>Close dataset availability</x:v>
      </x:c>
      <x:c r="E4" s="58" t="str">
        <x:v>MTR-09 completed order-line merchandise value</x:v>
      </x:c>
      <x:c r="F4" s="58" t="str">
        <x:v>Data Operations Lead</x:v>
      </x:c>
      <x:c r="G4" s="58" t="str">
        <x:v>Scheduled</x:v>
      </x:c>
      <x:c r="H4" s="59" t="str">
        <x:v>Refresh log through 2026-07-13 23:59 JST</x:v>
      </x:c>
    </x:row>
    <x:row r="5" ht="15" hidden="0" customHeight="1">
      <x:c r="A5" s="60" t="str">
        <x:v>CAL-02</x:v>
      </x:c>
      <x:c r="B5" s="65" t="n">
        <x:v>46217</x:v>
      </x:c>
      <x:c r="C5" s="52" t="str">
        <x:v>Daily</x:v>
      </x:c>
      <x:c r="D5" s="52" t="str">
        <x:v>QA reconciliation</x:v>
      </x:c>
      <x:c r="E5" s="52" t="str">
        <x:v>Gross less net recognized refunds</x:v>
      </x:c>
      <x:c r="F5" s="52" t="str">
        <x:v>BI Quality Analyst</x:v>
      </x:c>
      <x:c r="G5" s="52" t="str">
        <x:v>Scheduled</x:v>
      </x:c>
      <x:c r="H5" s="53" t="str">
        <x:v>84.2M JPY tie-out and exception note</x:v>
      </x:c>
    </x:row>
    <x:row r="6" ht="15" hidden="0" customHeight="1">
      <x:c r="A6" s="60" t="str">
        <x:v>CAL-03</x:v>
      </x:c>
      <x:c r="B6" s="65" t="n">
        <x:v>46217</x:v>
      </x:c>
      <x:c r="C6" s="52" t="str">
        <x:v>Daily</x:v>
      </x:c>
      <x:c r="D6" s="52" t="str">
        <x:v>Channel mix review</x:v>
      </x:c>
      <x:c r="E6" s="52" t="str">
        <x:v>Online / Stores contribution</x:v>
      </x:c>
      <x:c r="F6" s="52" t="str">
        <x:v>Commercial Analytics Lead</x:v>
      </x:c>
      <x:c r="G6" s="52" t="str">
        <x:v>Scheduled</x:v>
      </x:c>
      <x:c r="H6" s="53" t="str">
        <x:v>Channel split reviewed against total</x:v>
      </x:c>
    </x:row>
    <x:row r="7" ht="15" hidden="0" customHeight="1">
      <x:c r="A7" s="60" t="str">
        <x:v>CAL-04</x:v>
      </x:c>
      <x:c r="B7" s="65" t="n">
        <x:v>46218</x:v>
      </x:c>
      <x:c r="C7" s="52" t="str">
        <x:v>Weekly</x:v>
      </x:c>
      <x:c r="D7" s="52" t="str">
        <x:v>Plan variance review</x:v>
      </x:c>
      <x:c r="E7" s="52" t="str">
        <x:v>MTR-09 versus 80.0M JPY plan</x:v>
      </x:c>
      <x:c r="F7" s="52" t="str">
        <x:v>Finance Business Partner</x:v>
      </x:c>
      <x:c r="G7" s="52" t="str">
        <x:v>Planned</x:v>
      </x:c>
      <x:c r="H7" s="53" t="str">
        <x:v>Variance commentary and action owners</x:v>
      </x:c>
    </x:row>
    <x:row r="8" ht="15" hidden="0" customHeight="1">
      <x:c r="A8" s="60" t="str">
        <x:v>CAL-05</x:v>
      </x:c>
      <x:c r="B8" s="65" t="n">
        <x:v>46223</x:v>
      </x:c>
      <x:c r="C8" s="52" t="str">
        <x:v>Weekly</x:v>
      </x:c>
      <x:c r="D8" s="52" t="str">
        <x:v>Prior-period trend review</x:v>
      </x:c>
      <x:c r="E8" s="52" t="str">
        <x:v>MTR-09 versus 78.6M JPY prior</x:v>
      </x:c>
      <x:c r="F8" s="52" t="str">
        <x:v>Analytics Manager</x:v>
      </x:c>
      <x:c r="G8" s="52" t="str">
        <x:v>Planned</x:v>
      </x:c>
      <x:c r="H8" s="53" t="str">
        <x:v>Trend note and decision log</x:v>
      </x:c>
    </x:row>
    <x:row r="9" ht="15" hidden="0" customHeight="1">
      <x:c r="A9" s="61" t="str">
        <x:v>CAL-06</x:v>
      </x:c>
      <x:c r="B9" s="66" t="n">
        <x:v>46234</x:v>
      </x:c>
      <x:c r="C9" s="62" t="str">
        <x:v>Monthly</x:v>
      </x:c>
      <x:c r="D9" s="62" t="str">
        <x:v>Metric governance check</x:v>
      </x:c>
      <x:c r="E9" s="62" t="str">
        <x:v>Definition, source and refresh controls</x:v>
      </x:c>
      <x:c r="F9" s="62" t="str">
        <x:v>Data Governance Steward</x:v>
      </x:c>
      <x:c r="G9" s="62" t="str">
        <x:v>Planned</x:v>
      </x:c>
      <x:c r="H9" s="63" t="str">
        <x:v>Control checklist and handoff update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1" hidden="0" customWidth="1"/>
    <x:col min="4" max="4" width="54" hidden="0" customWidth="1"/>
    <x:col min="5" max="5" width="28" hidden="0" customWidth="1"/>
    <x:col min="6" max="6" width="15" hidden="0" customWidth="1"/>
    <x:col min="7" max="7" width="12" hidden="0" customWidth="1"/>
    <x:col min="8" max="8" width="42" hidden="0" customWidth="1"/>
    <x:col min="9" max="9" width="45" hidden="0" customWidth="1"/>
    <x:col min="10" max="10" width="13" hidden="0" customWidth="1"/>
  </x:cols>
  <x:sheetData>
    <x:row r="1" ht="28" customHeight="1">
      <x:c r="A1" s="5" t="str">
        <x:v>MTR-09 Review Action Register</x:v>
      </x:c>
      <x:c r="B1" s="5" t="str">
        <x:v>MTR-09 Review Action Register</x:v>
      </x:c>
      <x:c r="C1" s="5" t="str">
        <x:v>MTR-09 Review Action Register</x:v>
      </x:c>
      <x:c r="D1" s="5" t="str">
        <x:v>MTR-09 Review Action Register</x:v>
      </x:c>
      <x:c r="E1" s="5" t="str">
        <x:v>MTR-09 Review Action Register</x:v>
      </x:c>
      <x:c r="F1" s="5" t="str">
        <x:v>MTR-09 Review Action Register</x:v>
      </x:c>
      <x:c r="G1" s="5" t="str">
        <x:v>MTR-09 Review Action Register</x:v>
      </x:c>
      <x:c r="H1" s="5" t="str">
        <x:v>MTR-09 Review Action Register</x:v>
      </x:c>
      <x:c r="I1" s="5" t="str">
        <x:v>MTR-09 Review Action Register</x:v>
      </x:c>
      <x:c r="J1" s="5" t="str">
        <x:v>MTR-09 Review Action Register</x:v>
      </x:c>
    </x:row>
    <x:row r="3" ht="26.399999618530273" hidden="0" customHeight="1">
      <x:c r="A3" s="16" t="str">
        <x:v>action_id</x:v>
      </x:c>
      <x:c r="B3" s="17" t="str">
        <x:v>review_date_jst</x:v>
      </x:c>
      <x:c r="C3" s="17" t="str">
        <x:v>priority</x:v>
      </x:c>
      <x:c r="D3" s="17" t="str">
        <x:v>action</x:v>
      </x:c>
      <x:c r="E3" s="17" t="str">
        <x:v>owner_role</x:v>
      </x:c>
      <x:c r="F3" s="17" t="str">
        <x:v>due_date_jst</x:v>
      </x:c>
      <x:c r="G3" s="17" t="str">
        <x:v>status</x:v>
      </x:c>
      <x:c r="H3" s="17" t="str">
        <x:v>success_measure</x:v>
      </x:c>
      <x:c r="I3" s="17" t="str">
        <x:v>handoff_note</x:v>
      </x:c>
      <x:c r="J3" s="18" t="str">
        <x:v>Days to due</x:v>
      </x:c>
    </x:row>
    <x:row r="4" ht="15" hidden="0" customHeight="1">
      <x:c r="A4" s="57" t="str">
        <x:v>ACT-01</x:v>
      </x:c>
      <x:c r="B4" s="64" t="n">
        <x:v>46217</x:v>
      </x:c>
      <x:c r="C4" s="58" t="str">
        <x:v>High</x:v>
      </x:c>
      <x:c r="D4" s="58" t="str">
        <x:v>Confirm refund recognition timing matches MTR-09 definition</x:v>
      </x:c>
      <x:c r="E4" s="58" t="str">
        <x:v>BI Quality Analyst</x:v>
      </x:c>
      <x:c r="F4" s="64" t="n">
        <x:v>46217</x:v>
      </x:c>
      <x:c r="G4" s="58" t="str">
        <x:v>Open</x:v>
      </x:c>
      <x:c r="H4" s="58" t="str">
        <x:v>Gross 86.0M less refunds 1.8M equals net 84.2M</x:v>
      </x:c>
      <x:c r="I4" s="58" t="str">
        <x:v>Record reconciliation result in shared review</x:v>
      </x:c>
      <x:c r="J4" s="67" t="n">
        <x:f>F4-DATE(2026,7,14)</x:f>
        <x:v>0</x:v>
      </x:c>
    </x:row>
    <x:row r="5" ht="15" hidden="0" customHeight="1">
      <x:c r="A5" s="60" t="str">
        <x:v>ACT-02</x:v>
      </x:c>
      <x:c r="B5" s="65" t="n">
        <x:v>46217</x:v>
      </x:c>
      <x:c r="C5" s="52" t="str">
        <x:v>High</x:v>
      </x:c>
      <x:c r="D5" s="52" t="str">
        <x:v>Validate online and stores split reconciles to MTR-09 total</x:v>
      </x:c>
      <x:c r="E5" s="52" t="str">
        <x:v>Commercial Analytics Lead</x:v>
      </x:c>
      <x:c r="F5" s="65" t="n">
        <x:v>46217</x:v>
      </x:c>
      <x:c r="G5" s="52" t="str">
        <x:v>Open</x:v>
      </x:c>
      <x:c r="H5" s="52" t="str">
        <x:v>46.3M plus 37.9M equals 84.2M</x:v>
      </x:c>
      <x:c r="I5" s="52" t="str">
        <x:v>Escalate unexplained delta over 0 JPY</x:v>
      </x:c>
      <x:c r="J5" s="68" t="n">
        <x:f>F5-DATE(2026,7,14)</x:f>
        <x:v>0</x:v>
      </x:c>
    </x:row>
    <x:row r="6" ht="15" hidden="0" customHeight="1">
      <x:c r="A6" s="60" t="str">
        <x:v>ACT-03</x:v>
      </x:c>
      <x:c r="B6" s="65" t="n">
        <x:v>46217</x:v>
      </x:c>
      <x:c r="C6" s="52" t="str">
        <x:v>Medium</x:v>
      </x:c>
      <x:c r="D6" s="52" t="str">
        <x:v>Document plan variance drivers for weekly review</x:v>
      </x:c>
      <x:c r="E6" s="52" t="str">
        <x:v>Finance Business Partner</x:v>
      </x:c>
      <x:c r="F6" s="65" t="n">
        <x:v>46218</x:v>
      </x:c>
      <x:c r="G6" s="52" t="str">
        <x:v>Open</x:v>
      </x:c>
      <x:c r="H6" s="52" t="str">
        <x:v>Net variance to plan is 4.2M JPY</x:v>
      </x:c>
      <x:c r="I6" s="52" t="str">
        <x:v>Use decision-ready driver commentary</x:v>
      </x:c>
      <x:c r="J6" s="68" t="n">
        <x:f>F6-DATE(2026,7,14)</x:f>
        <x:v>1</x:v>
      </x:c>
    </x:row>
    <x:row r="7" ht="15" hidden="0" customHeight="1">
      <x:c r="A7" s="60" t="str">
        <x:v>ACT-04</x:v>
      </x:c>
      <x:c r="B7" s="65" t="n">
        <x:v>46217</x:v>
      </x:c>
      <x:c r="C7" s="52" t="str">
        <x:v>Medium</x:v>
      </x:c>
      <x:c r="D7" s="52" t="str">
        <x:v>Add prior-period comparison narrative</x:v>
      </x:c>
      <x:c r="E7" s="52" t="str">
        <x:v>Analytics Manager</x:v>
      </x:c>
      <x:c r="F7" s="65" t="n">
        <x:v>46223</x:v>
      </x:c>
      <x:c r="G7" s="52" t="str">
        <x:v>Open</x:v>
      </x:c>
      <x:c r="H7" s="52" t="str">
        <x:v>Net variance to prior is 5.6M JPY</x:v>
      </x:c>
      <x:c r="I7" s="52" t="str">
        <x:v>State whether movement is channel-led</x:v>
      </x:c>
      <x:c r="J7" s="68" t="n">
        <x:f>F7-DATE(2026,7,14)</x:f>
        <x:v>6</x:v>
      </x:c>
    </x:row>
    <x:row r="8" ht="15" hidden="0" customHeight="1">
      <x:c r="A8" s="61" t="str">
        <x:v>ACT-05</x:v>
      </x:c>
      <x:c r="B8" s="66" t="n">
        <x:v>46217</x:v>
      </x:c>
      <x:c r="C8" s="62" t="str">
        <x:v>Low</x:v>
      </x:c>
      <x:c r="D8" s="62" t="str">
        <x:v>Complete monthly metric governance attestation</x:v>
      </x:c>
      <x:c r="E8" s="62" t="str">
        <x:v>Data Governance Steward</x:v>
      </x:c>
      <x:c r="F8" s="66" t="n">
        <x:v>46234</x:v>
      </x:c>
      <x:c r="G8" s="62" t="str">
        <x:v>Open</x:v>
      </x:c>
      <x:c r="H8" s="62" t="str">
        <x:v>Definition and refresh controls acknowledged</x:v>
      </x:c>
      <x:c r="I8" s="62" t="str">
        <x:v>Archive controlled handoff note</x:v>
      </x:c>
      <x:c r="J8" s="69" t="n">
        <x:f>F8-DATE(2026,7,14)</x:f>
        <x:v>17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32" hidden="0" customWidth="1"/>
  </x:cols>
  <x:sheetData>
    <x:row r="1" ht="19.200000762939453" hidden="0" customHeight="1">
      <x:c r="A1" s="5" t="str">
        <x:v>MTR-09 Controls and Reconciliation Checks</x:v>
      </x:c>
      <x:c r="B1" s="5" t="str">
        <x:v>MTR-09 Controls and Reconciliation Checks</x:v>
      </x:c>
      <x:c r="C1" s="5" t="str">
        <x:v>MTR-09 Controls and Reconciliation Checks</x:v>
      </x:c>
      <x:c r="D1" s="5" t="str">
        <x:v>MTR-09 Controls and Reconciliation Checks</x:v>
      </x:c>
      <x:c r="E1" s="5" t="str">
        <x:v>MTR-09 Controls and Reconciliation Checks</x:v>
      </x:c>
      <x:c r="F1" s="5" t="str">
        <x:v>MTR-09 Controls and Reconciliation Checks</x:v>
      </x:c>
      <x:c r="G1" s="5" t="str">
        <x:v>MTR-09 Controls and Reconciliation Checks</x:v>
      </x:c>
    </x:row>
    <x:row r="2"/>
    <x:row r="3" ht="26.399999618530273" hidden="0" customHeight="1">
      <x:c r="A3" s="16" t="str">
        <x:v>Check</x:v>
      </x:c>
      <x:c r="B3" s="17" t="str">
        <x:v>Actual</x:v>
      </x:c>
      <x:c r="C3" s="17" t="str">
        <x:v>Expected</x:v>
      </x:c>
      <x:c r="D3" s="17" t="str">
        <x:v>Difference</x:v>
      </x:c>
      <x:c r="E3" s="17" t="str">
        <x:v>Tolerance</x:v>
      </x:c>
      <x:c r="F3" s="17" t="str">
        <x:v>Status</x:v>
      </x:c>
      <x:c r="G3" s="18" t="str">
        <x:v>Where to fix</x:v>
      </x:c>
    </x:row>
    <x:row r="4" ht="15" hidden="0" customHeight="1">
      <x:c r="A4" s="19" t="str">
        <x:v>Net GMV reconciliation</x:v>
      </x:c>
      <x:c r="B4" s="34" t="n">
        <x:f>'Overview'!B8</x:f>
        <x:v>84.2</x:v>
      </x:c>
      <x:c r="C4" s="34" t="n">
        <x:f>'Overview'!B6+'Overview'!B7</x:f>
        <x:v>84.2</x:v>
      </x:c>
      <x:c r="D4" s="34" t="n">
        <x:f>B4-C4</x:f>
        <x:v>0</x:v>
      </x:c>
      <x:c r="E4" s="34" t="n">
        <x:v>0</x:v>
      </x:c>
      <x:c r="F4" s="20" t="str">
        <x:f>IF(ABS(D4)&lt;=E4,"PASS","FAIL")</x:f>
        <x:v>PASS</x:v>
      </x:c>
      <x:c r="G4" s="21" t="str">
        <x:v>Overview gross/refund inputs</x:v>
      </x:c>
    </x:row>
    <x:row r="5" ht="15" hidden="0" customHeight="1">
      <x:c r="A5" s="22" t="str">
        <x:v>Channel reconciliation</x:v>
      </x:c>
      <x:c r="B5" s="35" t="n">
        <x:f>SUM('Overview'!B11:B12)</x:f>
        <x:v>84.19999999999999</x:v>
      </x:c>
      <x:c r="C5" s="35" t="n">
        <x:f>'Overview'!B8</x:f>
        <x:v>84.2</x:v>
      </x:c>
      <x:c r="D5" s="35" t="n">
        <x:f>B5-C5</x:f>
        <x:v>-1.4210854715202004e-14</x:v>
      </x:c>
      <x:c r="E5" s="35" t="n">
        <x:v>0</x:v>
      </x:c>
      <x:c r="F5" s="23" t="str">
        <x:f>IF(ABS(D5)&lt;=E5,"PASS","FAIL")</x:f>
        <x:v>PASS</x:v>
      </x:c>
      <x:c r="G5" s="24" t="str">
        <x:v>Overview channel inputs</x:v>
      </x:c>
    </x:row>
    <x:row r="6" ht="15" hidden="0" customHeight="1">
      <x:c r="A6" s="22" t="str">
        <x:v>Plan input completeness</x:v>
      </x:c>
      <x:c r="B6" s="35" t="n">
        <x:f>'Overview'!B9</x:f>
        <x:v>80</x:v>
      </x:c>
      <x:c r="C6" s="35" t="n">
        <x:f>80</x:f>
        <x:v>80</x:v>
      </x:c>
      <x:c r="D6" s="35" t="n">
        <x:f>B6-C6</x:f>
        <x:v>0</x:v>
      </x:c>
      <x:c r="E6" s="35" t="n">
        <x:v>0</x:v>
      </x:c>
      <x:c r="F6" s="23" t="str">
        <x:f>IF(ABS(D6)&lt;=E6,"PASS","FAIL")</x:f>
        <x:v>PASS</x:v>
      </x:c>
      <x:c r="G6" s="24" t="str">
        <x:v>Overview plan input</x:v>
      </x:c>
    </x:row>
    <x:row r="7" ht="15" hidden="0" customHeight="1">
      <x:c r="A7" s="22" t="str">
        <x:v>Prior input completeness</x:v>
      </x:c>
      <x:c r="B7" s="35" t="n">
        <x:f>'Overview'!B10</x:f>
        <x:v>78.6</x:v>
      </x:c>
      <x:c r="C7" s="35" t="n">
        <x:f>78.6</x:f>
        <x:v>78.6</x:v>
      </x:c>
      <x:c r="D7" s="35" t="n">
        <x:f>B7-C7</x:f>
        <x:v>0</x:v>
      </x:c>
      <x:c r="E7" s="35" t="n">
        <x:v>0</x:v>
      </x:c>
      <x:c r="F7" s="23" t="str">
        <x:f>IF(ABS(D7)&lt;=E7,"PASS","FAIL")</x:f>
        <x:v>PASS</x:v>
      </x:c>
      <x:c r="G7" s="24" t="str">
        <x:v>Overview prior input</x:v>
      </x:c>
    </x:row>
    <x:row r="8" ht="15" hidden="0" customHeight="1">
      <x:c r="A8" s="25" t="str">
        <x:v>Refresh control present</x:v>
      </x:c>
      <x:c r="B8" s="37" t="n">
        <x:f>1</x:f>
        <x:v>1</x:v>
      </x:c>
      <x:c r="C8" s="37" t="n">
        <x:f>1</x:f>
        <x:v>1</x:v>
      </x:c>
      <x:c r="D8" s="37" t="n">
        <x:f>B8-C8</x:f>
        <x:v>0</x:v>
      </x:c>
      <x:c r="E8" s="37" t="n">
        <x:v>0</x:v>
      </x:c>
      <x:c r="F8" s="26" t="str">
        <x:f>IF(ABS(D8)&lt;=E8,"PASS","FAIL")</x:f>
        <x:v>PASS</x:v>
      </x:c>
      <x:c r="G8" s="27" t="str">
        <x:v>Overview metadata row</x:v>
      </x:c>
    </x:row>
    <x:row r="9"/>
    <x:row r="10" ht="26.399999618530273" hidden="0" customHeight="1">
      <x:c r="A10" s="70" t="str">
        <x:v>MODEL STATUS</x:v>
      </x:c>
      <x:c r="B10" s="70" t="str">
        <x:v>Formula</x:v>
      </x:c>
      <x:c r="C10" s="16" t="str">
        <x:v>Distribution rule</x:v>
      </x:c>
    </x:row>
    <x:row r="11" ht="15" hidden="0" customHeight="1">
      <x:c r="A11" s="71" t="str">
        <x:v>All checks</x:v>
      </x:c>
      <x:c r="B11" s="71" t="str">
        <x:f>IF(COUNTIF(F4:F8,"FAIL")=0,"PASS","FAIL")</x:f>
        <x:v>PASS</x:v>
      </x:c>
      <x:c r="C11" s="72" t="str">
        <x:v>Distribute only when PASS</x:v>
      </x:c>
    </x:row>
  </x:sheetData>
  <x:mergeCells>
    <x:mergeCell ref="A1:G1"/>
  </x:mergeCells>
  <x:pageMargins left="0.7" right="0.7" top="0.75" bottom="0.75" header="0.3" footer="0.3"/>
</x:worksheet>
</file>