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beaa46e8a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2060170dd24fea"/>
    <x:sheet xmlns:r="http://schemas.openxmlformats.org/officeDocument/2006/relationships" name="Roadmap Records" sheetId="2" r:id="R83e29394e8164662"/>
    <x:sheet xmlns:r="http://schemas.openxmlformats.org/officeDocument/2006/relationships" name="Control" sheetId="3" r:id="R38d95cf2c76e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F"/>
      </x:left>
      <x:top style="thin">
        <x:color rgb="FF9EADBF"/>
      </x:top>
    </x:border>
    <x:border>
      <x:right style="thin">
        <x:color rgb="FF9EADBF"/>
      </x:right>
      <x:top style="thin">
        <x:color rgb="FF9EADBF"/>
      </x:top>
    </x:border>
    <x:border>
      <x:left style="thin">
        <x:color rgb="FF9EADBF"/>
      </x:left>
    </x:border>
    <x:border>
      <x:right style="thin">
        <x:color rgb="FF9EADBF"/>
      </x:right>
    </x:border>
    <x:border>
      <x:left style="thin">
        <x:color rgb="FF9EADBF"/>
      </x:left>
      <x:bottom style="thin">
        <x:color rgb="FF9EADBF"/>
      </x:bottom>
    </x:border>
    <x:border>
      <x:right style="thin">
        <x:color rgb="FF9EADBF"/>
      </x:right>
      <x:bottom style="thin">
        <x:color rgb="FF9EADB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14" xfId="0" applyNumberFormat="1" applyFont="1" applyFill="1" applyBorder="1"/>
    <x:xf numFmtId="0" fontId="0" fillId="0" borderId="15" xfId="0" applyNumberFormat="1" applyFont="1" applyFill="1" applyBorder="1"/>
    <x:xf numFmtId="0" fontId="1" fillId="3" borderId="10" xfId="0" applyNumberFormat="1" applyFont="1" applyFill="1" applyBorder="1" applyAlignment="1">
      <x:alignment horizontal="center"/>
    </x:xf>
    <x:xf numFmtId="0" fontId="1" fillId="3" borderId="11" xfId="0" applyNumberFormat="1" applyFont="1" applyFill="1" applyBorder="1" applyAlignment="1">
      <x:alignment horizontal="center"/>
    </x:xf>
    <x:xf numFmtId="201" fontId="0" fillId="0" borderId="13" xfId="0" applyNumberFormat="1" applyFont="1" applyFill="1" applyBorder="1"/>
    <x:xf numFmtId="0" fontId="1" fillId="2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ec12312be460b" /><Relationship Type="http://schemas.openxmlformats.org/officeDocument/2006/relationships/theme" Target="/xl/theme/theme1.xml" Id="Rb2551e1bb4744901" /><Relationship Type="http://schemas.openxmlformats.org/officeDocument/2006/relationships/sharedStrings" Target="/xl/sharedStrings.xml" Id="R1ac9b9d213494df9" /><Relationship Type="http://schemas.openxmlformats.org/officeDocument/2006/relationships/worksheet" Target="/xl/worksheets/sheet1.xml" Id="R982060170dd24fea" /><Relationship Type="http://schemas.openxmlformats.org/officeDocument/2006/relationships/worksheet" Target="/xl/worksheets/sheet2.xml" Id="R83e29394e8164662" /><Relationship Type="http://schemas.openxmlformats.org/officeDocument/2006/relationships/worksheet" Target="/xl/worksheets/sheet3.xml" Id="R38d95cf2c76e45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8" t="str">
        <x:v>Juniper Works - Product Alpha Q3 Roadmap Export</x:v>
      </x:c>
      <x:c r="B1" s="18"/>
      <x:c r="C1" s="18"/>
      <x:c r="D1" s="18"/>
      <x:c r="E1" s="18"/>
      <x:c r="F1" s="18"/>
    </x:row>
    <x:row r="3">
      <x:c r="A3" s="24" t="str">
        <x:v>Export ID</x:v>
      </x:c>
      <x:c r="B3" s="25" t="str">
        <x:v>JW-EXPORT-0713</x:v>
      </x:c>
      <x:c r="D3" s="30" t="str">
        <x:v>Metric</x:v>
      </x:c>
      <x:c r="E3" s="31" t="str">
        <x:v>Formula value</x:v>
      </x:c>
    </x:row>
    <x:row r="4">
      <x:c r="A4" s="26" t="str">
        <x:v>Meeting ID</x:v>
      </x:c>
      <x:c r="B4" s="27" t="str">
        <x:v>MTG-M27-0713</x:v>
      </x:c>
      <x:c r="D4" s="26" t="str">
        <x:v>Roadmap records</x:v>
      </x:c>
      <x:c r="E4" s="27" t="n">
        <x:f>COUNTA('Roadmap Records'!A2:A4)</x:f>
        <x:v>3</x:v>
      </x:c>
    </x:row>
    <x:row r="5">
      <x:c r="A5" s="26" t="str">
        <x:v>Meeting start (UTC)</x:v>
      </x:c>
      <x:c r="B5" s="27" t="str">
        <x:v>UTC: 2026-07-13 08:30:00</x:v>
      </x:c>
      <x:c r="D5" s="26" t="str">
        <x:v>Adoption rate</x:v>
      </x:c>
      <x:c r="E5" s="32" t="n">
        <x:f>SUM('Roadmap Records'!F2:F4)</x:f>
        <x:v>0.184</x:v>
      </x:c>
    </x:row>
    <x:row r="6">
      <x:c r="A6" s="26" t="str">
        <x:v>Generated at (UTC)</x:v>
      </x:c>
      <x:c r="B6" s="27" t="str">
        <x:v>UTC: 2026-07-13 09:04:12</x:v>
      </x:c>
      <x:c r="D6" s="26" t="str">
        <x:v>Invited / attended</x:v>
      </x:c>
      <x:c r="E6" s="27" t="str">
        <x:f>"4 / 3"</x:f>
        <x:v>4 / 3</x:v>
      </x:c>
    </x:row>
    <x:row r="7">
      <x:c r="A7" s="28" t="str">
        <x:v>Integrity marker</x:v>
      </x:c>
      <x:c r="B7" s="29" t="str">
        <x:v>expected1</x:v>
      </x:c>
      <x:c r="D7" s="28" t="str">
        <x:v>Artifacts</x:v>
      </x:c>
      <x:c r="E7" s="29" t="n">
        <x:f>E4+3</x:f>
        <x:v>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2" hidden="0" customWidth="1"/>
    <x:col min="3" max="3" width="11.220000267028809" hidden="0" customWidth="1"/>
    <x:col min="4" max="4" width="8.670000076293945" hidden="0" customWidth="1"/>
    <x:col min="5" max="5" width="9.220000267028809" hidden="0" customWidth="1"/>
    <x:col min="6" max="6" width="17.440000534057617" hidden="0" customWidth="1"/>
    <x:col min="7" max="7" width="12.220000267028809" hidden="0" customWidth="1"/>
    <x:col min="8" max="8" width="13.890000343322754" hidden="0" customWidth="1"/>
  </x:cols>
  <x:sheetData>
    <x:row r="1">
      <x:c r="A1" s="4" t="str">
        <x:v>Record ID</x:v>
      </x:c>
      <x:c r="B1" s="5" t="str">
        <x:v>Workstream</x:v>
      </x:c>
      <x:c r="C1" s="5" t="str">
        <x:v>Owner role ID</x:v>
      </x:c>
      <x:c r="D1" s="5" t="str">
        <x:v>Status</x:v>
      </x:c>
      <x:c r="E1" s="5" t="str">
        <x:v>Target date</x:v>
      </x:c>
      <x:c r="F1" s="5" t="str">
        <x:v>Adoption contribution</x:v>
      </x:c>
      <x:c r="G1" s="5" t="str">
        <x:v>Meeting ID</x:v>
      </x:c>
      <x:c r="H1" s="6" t="str">
        <x:v>Export ID</x:v>
      </x:c>
    </x:row>
    <x:row r="2">
      <x:c r="A2" s="7" t="str">
        <x:v>RA-101</x:v>
      </x:c>
      <x:c r="B2" s="8" t="str">
        <x:v>Activation flow</x:v>
      </x:c>
      <x:c r="C2" s="8" t="str">
        <x:v>pm-001</x:v>
      </x:c>
      <x:c r="D2" s="8" t="str">
        <x:v>In progress</x:v>
      </x:c>
      <x:c r="E2" s="13" t="n">
        <x:v>46227</x:v>
      </x:c>
      <x:c r="F2" s="15" t="n">
        <x:v>0.072</x:v>
      </x:c>
      <x:c r="G2" s="8" t="str">
        <x:v>MTG-M27-0713</x:v>
      </x:c>
      <x:c r="H2" s="9" t="str">
        <x:v>JW-EXPORT-0713</x:v>
      </x:c>
    </x:row>
    <x:row r="3">
      <x:c r="A3" s="7" t="str">
        <x:v>RA-102</x:v>
      </x:c>
      <x:c r="B3" s="8" t="str">
        <x:v>Core workflow</x:v>
      </x:c>
      <x:c r="C3" s="8" t="str">
        <x:v>eng-017</x:v>
      </x:c>
      <x:c r="D3" s="8" t="str">
        <x:v>On track</x:v>
      </x:c>
      <x:c r="E3" s="13" t="n">
        <x:v>46241</x:v>
      </x:c>
      <x:c r="F3" s="15" t="n">
        <x:v>0.061</x:v>
      </x:c>
      <x:c r="G3" s="8" t="str">
        <x:v>MTG-M27-0713</x:v>
      </x:c>
      <x:c r="H3" s="9" t="str">
        <x:v>JW-EXPORT-0713</x:v>
      </x:c>
    </x:row>
    <x:row r="4">
      <x:c r="A4" s="10" t="str">
        <x:v>RA-103</x:v>
      </x:c>
      <x:c r="B4" s="11" t="str">
        <x:v>Feedback loop</x:v>
      </x:c>
      <x:c r="C4" s="11" t="str">
        <x:v>design-004</x:v>
      </x:c>
      <x:c r="D4" s="11" t="str">
        <x:v>At risk</x:v>
      </x:c>
      <x:c r="E4" s="14" t="n">
        <x:v>46255</x:v>
      </x:c>
      <x:c r="F4" s="16" t="n">
        <x:v>0.051</x:v>
      </x:c>
      <x:c r="G4" s="11" t="str">
        <x:v>MTG-M27-0713</x:v>
      </x:c>
      <x:c r="H4" s="12" t="str">
        <x:v>JW-EXPORT-0713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440000534057617" hidden="0" customWidth="1"/>
    <x:col min="2" max="2" width="13.890000343322754" hidden="0" customWidth="1"/>
  </x:cols>
  <x:sheetData>
    <x:row r="1">
      <x:c r="A1" s="33" t="str">
        <x:v>Control field</x:v>
      </x:c>
      <x:c r="B1" s="33" t="str">
        <x:v>Value</x:v>
      </x:c>
    </x:row>
    <x:row r="2">
      <x:c r="A2" s="8" t="str">
        <x:v>Export ID</x:v>
      </x:c>
      <x:c r="B2" s="8" t="str">
        <x:v>JW-EXPORT-0713</x:v>
      </x:c>
    </x:row>
    <x:row r="3">
      <x:c r="A3" s="8" t="str">
        <x:v>Meeting ID</x:v>
      </x:c>
      <x:c r="B3" s="8" t="str">
        <x:v>MTG-M27-0713</x:v>
      </x:c>
    </x:row>
    <x:row r="4">
      <x:c r="A4" s="8" t="str">
        <x:v>Expected artifact count</x:v>
      </x:c>
      <x:c r="B4" s="8" t="n">
        <x:v>6</x:v>
      </x:c>
    </x:row>
    <x:row r="5">
      <x:c r="A5" s="8" t="str">
        <x:v>Attendance rows</x:v>
      </x:c>
      <x:c r="B5" s="8" t="n">
        <x:v>4</x:v>
      </x:c>
    </x:row>
    <x:row r="6">
      <x:c r="A6" s="8" t="str">
        <x:v>Attended count</x:v>
      </x:c>
      <x:c r="B6" s="8" t="n">
        <x:v>3</x:v>
      </x:c>
    </x:row>
    <x:row r="7">
      <x:c r="A7" s="8" t="str">
        <x:v>Marker</x:v>
      </x:c>
      <x:c r="B7" s="8" t="str">
        <x:v>expected1</x:v>
      </x:c>
    </x:row>
  </x:sheetData>
  <x:pageMargins left="0.7" right="0.7" top="0.75" bottom="0.75" header="0.3" footer="0.3"/>
</x:worksheet>
</file>