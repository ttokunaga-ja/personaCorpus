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1fe5ac455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ess" sheetId="1" r:id="R49bbf66a69e74c17"/>
    <x:sheet xmlns:r="http://schemas.openxmlformats.org/officeDocument/2006/relationships" name="Checklist" sheetId="2" r:id="R86743fa33c0942b1"/>
    <x:sheet xmlns:r="http://schemas.openxmlformats.org/officeDocument/2006/relationships" name="Lists" sheetId="3" r:id="R506082ba8277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@"/>
    <x:numFmt numFmtId="202" formatCode="yyyy-mm-dd"/>
  </x:numFmts>
  <x:fonts count="11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20"/>
      <x:color rgb="FFFFFFFF"/>
      <x:name val="Arial"/>
    </x:font>
    <x:font>
      <x:b/>
      <x:sz val="11"/>
      <x:color rgb="FF1F2937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1E3A5F"/>
      <x:name val="Carlito"/>
    </x:font>
    <x:font>
      <x:b/>
      <x:sz val="10"/>
      <x:name val="Arial"/>
    </x:font>
    <x:font>
      <x:b/>
      <x:sz val="16"/>
      <x:color rgb="FFFFFFFF"/>
      <x:name val="Arial"/>
    </x:font>
    <x:font>
      <x:b/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F4E78"/>
      </x:patternFill>
    </x:fill>
    <x:fill>
      <x:patternFill patternType="solid">
        <x:fgColor rgb="FF101827"/>
      </x:patternFill>
    </x:fill>
    <x:fill>
      <x:patternFill patternType="solid">
        <x:fgColor rgb="FFE0F2FE"/>
      </x:patternFill>
    </x:fill>
    <x:fill>
      <x:patternFill patternType="solid">
        <x:fgColor rgb="FFDBEAFE"/>
      </x:patternFill>
    </x:fill>
    <x:fill>
      <x:patternFill patternType="solid">
        <x:fgColor rgb="FFE2E8F0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3" borderId="1" xfId="0" applyNumberFormat="1" applyFont="1" applyFill="1" applyBorder="1"/>
    <x:xf numFmtId="0" fontId="6" fillId="3" borderId="1" xfId="0" applyNumberFormat="1" applyFont="1" applyFill="1" applyBorder="1"/>
    <x:xf numFmtId="200" fontId="5" fillId="0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7" borderId="1" xfId="0" applyNumberFormat="1" applyFont="1" applyFill="1" applyBorder="1"/>
    <x:xf numFmtId="0" fontId="8" fillId="7" borderId="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efed60cb449ac" /><Relationship Type="http://schemas.openxmlformats.org/officeDocument/2006/relationships/theme" Target="/xl/theme/theme1.xml" Id="R19e2e3ada9804347" /><Relationship Type="http://schemas.openxmlformats.org/officeDocument/2006/relationships/sharedStrings" Target="/xl/sharedStrings.xml" Id="R80d6d57072ae4bb6" /><Relationship Type="http://schemas.openxmlformats.org/officeDocument/2006/relationships/worksheet" Target="/xl/worksheets/sheet1.xml" Id="R49bbf66a69e74c17" /><Relationship Type="http://schemas.openxmlformats.org/officeDocument/2006/relationships/worksheet" Target="/xl/worksheets/sheet2.xml" Id="R86743fa33c0942b1" /><Relationship Type="http://schemas.openxmlformats.org/officeDocument/2006/relationships/worksheet" Target="/xl/worksheets/sheet3.xml" Id="R506082ba827746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8" t="str">
        <x:v>Product Alpha launch readiness | Juniper Works</x:v>
      </x:c>
      <x:c r="B1" s="8"/>
      <x:c r="C1" s="8"/>
      <x:c r="D1" s="8"/>
      <x:c r="E1" s="8"/>
      <x:c r="F1" s="8"/>
      <x:c r="G1" s="8"/>
      <x:c r="H1" s="8"/>
    </x:row>
    <x:row r="3">
      <x:c r="A3" s="10" t="str">
        <x:v>M-27 guided rollout gate</x:v>
      </x:c>
      <x:c r="B3" s="10" t="str">
        <x:v>2026-09-18</x:v>
      </x:c>
      <x:c r="C3" s="10" t="str"/>
      <x:c r="D3" s="10" t="str"/>
      <x:c r="E3" s="10" t="str"/>
      <x:c r="F3" s="10" t="str"/>
      <x:c r="G3" s="10" t="str"/>
      <x:c r="H3" s="10" t="str"/>
    </x:row>
    <x:row r="5">
      <x:c r="A5" s="14" t="str">
        <x:v>KPI</x:v>
      </x:c>
      <x:c r="B5" s="14" t="str">
        <x:v>Value</x:v>
      </x:c>
      <x:c r="D5" s="14" t="str">
        <x:v>KPI</x:v>
      </x:c>
      <x:c r="E5" s="14" t="str">
        <x:v>Value</x:v>
      </x:c>
      <x:c r="G5" s="14" t="str">
        <x:v>KPI</x:v>
      </x:c>
      <x:c r="H5" s="14" t="str">
        <x:v>Value</x:v>
      </x:c>
    </x:row>
    <x:row r="6">
      <x:c r="A6" s="12" t="str">
        <x:v>Eligible synthetic workspaces</x:v>
      </x:c>
      <x:c r="B6" s="12" t="n">
        <x:v>1240</x:v>
      </x:c>
      <x:c r="D6" s="12" t="str">
        <x:v>Target adoption</x:v>
      </x:c>
      <x:c r="E6" s="15" t="n">
        <x:v>0.26</x:v>
      </x:c>
      <x:c r="G6" s="12" t="str">
        <x:v>Ready items</x:v>
      </x:c>
      <x:c r="H6" s="12" t="n">
        <x:f>COUNTIF(Checklist!$F$6:$F$50,"Ready")</x:f>
        <x:v>8</x:v>
      </x:c>
    </x:row>
    <x:row r="7">
      <x:c r="A7" s="12" t="str">
        <x:v>Current adoption</x:v>
      </x:c>
      <x:c r="B7" s="15" t="n">
        <x:v>0.184</x:v>
      </x:c>
      <x:c r="D7" s="12" t="str">
        <x:v>Adoption gap</x:v>
      </x:c>
      <x:c r="E7" s="15" t="n">
        <x:f>E6-$B$7</x:f>
        <x:v>0.07600000000000001</x:v>
      </x:c>
      <x:c r="G7" s="12" t="str">
        <x:v>Completion rate</x:v>
      </x:c>
      <x:c r="H7" s="15" t="n">
        <x:f>H6/COUNTA(Checklist!$A$6:$A$50)</x:f>
        <x:v>0.2</x:v>
      </x:c>
    </x:row>
    <x:row r="10">
      <x:c r="A10" s="17" t="str">
        <x:v>Gate summary</x:v>
      </x:c>
      <x:c r="B10" s="17"/>
      <x:c r="C10" s="17"/>
      <x:c r="D10" s="17"/>
      <x:c r="E10" s="17"/>
      <x:c r="F10" s="17"/>
      <x:c r="G10" s="17"/>
      <x:c r="H10" s="17"/>
    </x:row>
    <x:row r="11">
      <x:c r="A11" s="21" t="str">
        <x:v>Gate</x:v>
      </x:c>
      <x:c r="B11" s="21" t="str">
        <x:v>Ready</x:v>
      </x:c>
      <x:c r="C11" s="21" t="str">
        <x:v>Total</x:v>
      </x:c>
    </x:row>
    <x:row r="12">
      <x:c r="A12" s="19" t="str">
        <x:v>Internal exit</x:v>
      </x:c>
      <x:c r="B12" s="19" t="n">
        <x:f>COUNTIFS(Checklist!$G$6:$G$50,A12,Checklist!$F$6:$F$50,"Ready")</x:f>
        <x:v>5</x:v>
      </x:c>
      <x:c r="C12" s="19" t="n">
        <x:f>COUNTIF(Checklist!$G$6:$G$50,A12)</x:f>
        <x:v>8</x:v>
      </x:c>
    </x:row>
    <x:row r="13">
      <x:c r="A13" s="19" t="str">
        <x:v>Pilot entry</x:v>
      </x:c>
      <x:c r="B13" s="19" t="n">
        <x:f>COUNTIFS(Checklist!$G$6:$G$50,A13,Checklist!$F$6:$F$50,"Ready")</x:f>
        <x:v>3</x:v>
      </x:c>
      <x:c r="C13" s="19" t="n">
        <x:f>COUNTIF(Checklist!$G$6:$G$50,A13)</x:f>
        <x:v>7</x:v>
      </x:c>
    </x:row>
    <x:row r="14">
      <x:c r="A14" s="19" t="str">
        <x:v>M-27</x:v>
      </x:c>
      <x:c r="B14" s="19" t="n">
        <x:f>COUNTIFS(Checklist!$G$6:$G$50,A14,Checklist!$F$6:$F$50,"Ready")</x:f>
        <x:v>0</x:v>
      </x:c>
      <x:c r="C14" s="19" t="n">
        <x:f>COUNTIF(Checklist!$G$6:$G$50,A14)</x:f>
        <x:v>9</x:v>
      </x:c>
    </x:row>
    <x:row r="15">
      <x:c r="A15" s="19" t="str">
        <x:v>Guided rollout</x:v>
      </x:c>
      <x:c r="B15" s="19" t="n">
        <x:f>COUNTIFS(Checklist!$G$6:$G$50,A15,Checklist!$F$6:$F$50,"Ready")</x:f>
        <x:v>0</x:v>
      </x:c>
      <x:c r="C15" s="19" t="n">
        <x:f>COUNTIF(Checklist!$G$6:$G$50,A15)</x:f>
        <x:v>6</x:v>
      </x:c>
    </x:row>
    <x:row r="16">
      <x:c r="A16" s="19" t="str">
        <x:v>Review</x:v>
      </x:c>
      <x:c r="B16" s="19" t="n">
        <x:f>COUNTIFS(Checklist!$G$6:$G$50,A16,Checklist!$F$6:$F$50,"Ready")</x:f>
        <x:v>0</x:v>
      </x:c>
      <x:c r="C16" s="19" t="n">
        <x:f>COUNTIF(Checklist!$G$6:$G$50,A16)</x:f>
        <x:v>10</x:v>
      </x:c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24" hidden="0" customWidth="1"/>
    <x:col min="5" max="5" width="13" hidden="0" customWidth="1"/>
    <x:col min="6" max="6" width="15" hidden="0" customWidth="1"/>
    <x:col min="7" max="7" width="17" hidden="0" customWidth="1"/>
    <x:col min="8" max="8" width="14" hidden="0" customWidth="1"/>
    <x:col min="9" max="9" width="10" hidden="0" customWidth="1"/>
    <x:col min="10" max="10" width="25" hidden="0" customWidth="1"/>
  </x:cols>
  <x:sheetData>
    <x:row r="1" ht="30" customHeight="1">
      <x:c r="A1" s="23" t="str">
        <x:v>Product Alpha release checklist | Product Alpha Q3 | 2026-07-13</x:v>
      </x:c>
      <x:c r="B1" s="23"/>
      <x:c r="C1" s="23"/>
      <x:c r="D1" s="23"/>
      <x:c r="E1" s="23"/>
      <x:c r="F1" s="23"/>
      <x:c r="G1" s="23"/>
      <x:c r="H1" s="23"/>
      <x:c r="I1" s="23"/>
      <x:c r="J1" s="23"/>
    </x:row>
    <x:row r="3">
      <x:c r="A3" s="24" t="str">
        <x:v>Anchor</x:v>
      </x:c>
      <x:c r="B3" s="24" t="str">
        <x:v>M-27 guided rollout gate 2026-09-18 | Adoption 18.4% -&gt; 26.0%</x:v>
      </x:c>
      <x:c r="C3" s="24" t="str"/>
      <x:c r="D3" s="24" t="str"/>
      <x:c r="E3" s="24" t="str"/>
      <x:c r="F3" s="24" t="str"/>
      <x:c r="G3" s="24" t="str"/>
      <x:c r="H3" s="24" t="str"/>
      <x:c r="I3" s="24" t="str"/>
      <x:c r="J3" s="24" t="str"/>
    </x:row>
    <x:row r="5">
      <x:c r="A5" s="34" t="str">
        <x:v>ID</x:v>
      </x:c>
      <x:c r="B5" s="34" t="str">
        <x:v>Workstream</x:v>
      </x:c>
      <x:c r="C5" s="34" t="str">
        <x:v>Checklist item</x:v>
      </x:c>
      <x:c r="D5" s="34" t="str">
        <x:v>Evidence required</x:v>
      </x:c>
      <x:c r="E5" s="34" t="str">
        <x:v>Due</x:v>
      </x:c>
      <x:c r="F5" s="34" t="str">
        <x:v>Status</x:v>
      </x:c>
      <x:c r="G5" s="34" t="str">
        <x:v>Gate</x:v>
      </x:c>
      <x:c r="H5" s="34" t="str">
        <x:v>Owner</x:v>
      </x:c>
      <x:c r="I5" s="34" t="str">
        <x:v>Risk</x:v>
      </x:c>
      <x:c r="J5" s="34" t="str">
        <x:v>Evidence link</x:v>
      </x:c>
    </x:row>
    <x:row r="6" ht="28" customHeight="1">
      <x:c r="A6" s="35" t="str">
        <x:v>AL-001</x:v>
      </x:c>
      <x:c r="B6" s="36" t="str">
        <x:v>Internal</x:v>
      </x:c>
      <x:c r="C6" s="36" t="str">
        <x:v>Freeze release scope</x:v>
      </x:c>
      <x:c r="D6" s="36" t="str">
        <x:v>Signed scope note</x:v>
      </x:c>
      <x:c r="E6" s="37" t="n">
        <x:v>46221</x:v>
      </x:c>
      <x:c r="F6" s="36" t="str">
        <x:v>Ready</x:v>
      </x:c>
      <x:c r="G6" s="36" t="str">
        <x:v>Internal exit</x:v>
      </x:c>
      <x:c r="H6" s="36" t="str">
        <x:v>PM</x:v>
      </x:c>
      <x:c r="I6" s="36" t="str">
        <x:v>Low</x:v>
      </x:c>
      <x:c r="J6" s="36" t="str"/>
    </x:row>
    <x:row r="7" ht="28" customHeight="1">
      <x:c r="A7" s="35" t="str">
        <x:v>AL-002</x:v>
      </x:c>
      <x:c r="B7" s="36" t="str">
        <x:v>Internal</x:v>
      </x:c>
      <x:c r="C7" s="36" t="str">
        <x:v>Confirm telemetry events</x:v>
      </x:c>
      <x:c r="D7" s="36" t="str">
        <x:v>Event map</x:v>
      </x:c>
      <x:c r="E7" s="37" t="n">
        <x:v>46222</x:v>
      </x:c>
      <x:c r="F7" s="36" t="str">
        <x:v>Ready</x:v>
      </x:c>
      <x:c r="G7" s="36" t="str">
        <x:v>Internal exit</x:v>
      </x:c>
      <x:c r="H7" s="36" t="str">
        <x:v>Analytics</x:v>
      </x:c>
      <x:c r="I7" s="36" t="str">
        <x:v>Med</x:v>
      </x:c>
      <x:c r="J7" s="36" t="str"/>
    </x:row>
    <x:row r="8" ht="28" customHeight="1">
      <x:c r="A8" s="35" t="str">
        <x:v>AL-003</x:v>
      </x:c>
      <x:c r="B8" s="36" t="str">
        <x:v>Internal</x:v>
      </x:c>
      <x:c r="C8" s="36" t="str">
        <x:v>Resolve severity-1 defects</x:v>
      </x:c>
      <x:c r="D8" s="36" t="str">
        <x:v>Defect review</x:v>
      </x:c>
      <x:c r="E8" s="37" t="n">
        <x:v>46225</x:v>
      </x:c>
      <x:c r="F8" s="36" t="str">
        <x:v>Ready</x:v>
      </x:c>
      <x:c r="G8" s="36" t="str">
        <x:v>Internal exit</x:v>
      </x:c>
      <x:c r="H8" s="36" t="str">
        <x:v>Engineering</x:v>
      </x:c>
      <x:c r="I8" s="36" t="str">
        <x:v>High</x:v>
      </x:c>
      <x:c r="J8" s="36" t="str"/>
    </x:row>
    <x:row r="9" ht="28" customHeight="1">
      <x:c r="A9" s="35" t="str">
        <x:v>AL-004</x:v>
      </x:c>
      <x:c r="B9" s="36" t="str">
        <x:v>Internal</x:v>
      </x:c>
      <x:c r="C9" s="36" t="str">
        <x:v>Publish support runbook</x:v>
      </x:c>
      <x:c r="D9" s="36" t="str">
        <x:v>Runbook URL</x:v>
      </x:c>
      <x:c r="E9" s="37" t="n">
        <x:v>46226</x:v>
      </x:c>
      <x:c r="F9" s="36" t="str">
        <x:v>In progress</x:v>
      </x:c>
      <x:c r="G9" s="36" t="str">
        <x:v>Internal exit</x:v>
      </x:c>
      <x:c r="H9" s="36" t="str">
        <x:v>Support</x:v>
      </x:c>
      <x:c r="I9" s="36" t="str">
        <x:v>Med</x:v>
      </x:c>
      <x:c r="J9" s="36" t="str"/>
    </x:row>
    <x:row r="10" ht="28" customHeight="1">
      <x:c r="A10" s="35" t="str">
        <x:v>AL-005</x:v>
      </x:c>
      <x:c r="B10" s="36" t="str">
        <x:v>Internal</x:v>
      </x:c>
      <x:c r="C10" s="36" t="str">
        <x:v>Test restore path</x:v>
      </x:c>
      <x:c r="D10" s="36" t="str">
        <x:v>Rollback record</x:v>
      </x:c>
      <x:c r="E10" s="37" t="n">
        <x:v>46227</x:v>
      </x:c>
      <x:c r="F10" s="36" t="str">
        <x:v>Ready</x:v>
      </x:c>
      <x:c r="G10" s="36" t="str">
        <x:v>Internal exit</x:v>
      </x:c>
      <x:c r="H10" s="36" t="str">
        <x:v>Engineering</x:v>
      </x:c>
      <x:c r="I10" s="36" t="str">
        <x:v>High</x:v>
      </x:c>
      <x:c r="J10" s="36" t="str"/>
    </x:row>
    <x:row r="11" ht="28" customHeight="1">
      <x:c r="A11" s="35" t="str">
        <x:v>AL-006</x:v>
      </x:c>
      <x:c r="B11" s="36" t="str">
        <x:v>Internal</x:v>
      </x:c>
      <x:c r="C11" s="36" t="str">
        <x:v>Approve internal brief</x:v>
      </x:c>
      <x:c r="D11" s="36" t="str">
        <x:v>Brief approval</x:v>
      </x:c>
      <x:c r="E11" s="37" t="n">
        <x:v>46228</x:v>
      </x:c>
      <x:c r="F11" s="36" t="str">
        <x:v>Ready</x:v>
      </x:c>
      <x:c r="G11" s="36" t="str">
        <x:v>Internal exit</x:v>
      </x:c>
      <x:c r="H11" s="36" t="str">
        <x:v>Comms</x:v>
      </x:c>
      <x:c r="I11" s="36" t="str">
        <x:v>Low</x:v>
      </x:c>
      <x:c r="J11" s="36" t="str"/>
    </x:row>
    <x:row r="12" ht="28" customHeight="1">
      <x:c r="A12" s="35" t="str">
        <x:v>AL-007</x:v>
      </x:c>
      <x:c r="B12" s="36" t="str">
        <x:v>Internal</x:v>
      </x:c>
      <x:c r="C12" s="36" t="str">
        <x:v>Confirm on-call roster</x:v>
      </x:c>
      <x:c r="D12" s="36" t="str">
        <x:v>Roster</x:v>
      </x:c>
      <x:c r="E12" s="37" t="n">
        <x:v>46231</x:v>
      </x:c>
      <x:c r="F12" s="36" t="str">
        <x:v>In progress</x:v>
      </x:c>
      <x:c r="G12" s="36" t="str">
        <x:v>Internal exit</x:v>
      </x:c>
      <x:c r="H12" s="36" t="str">
        <x:v>Support</x:v>
      </x:c>
      <x:c r="I12" s="36" t="str">
        <x:v>Med</x:v>
      </x:c>
      <x:c r="J12" s="36" t="str"/>
    </x:row>
    <x:row r="13" ht="28" customHeight="1">
      <x:c r="A13" s="35" t="str">
        <x:v>AL-008</x:v>
      </x:c>
      <x:c r="B13" s="36" t="str">
        <x:v>Internal</x:v>
      </x:c>
      <x:c r="C13" s="36" t="str">
        <x:v>Record internal exit</x:v>
      </x:c>
      <x:c r="D13" s="36" t="str">
        <x:v>Decision log</x:v>
      </x:c>
      <x:c r="E13" s="37" t="n">
        <x:v>46234</x:v>
      </x:c>
      <x:c r="F13" s="36" t="str">
        <x:v>Not started</x:v>
      </x:c>
      <x:c r="G13" s="36" t="str">
        <x:v>Internal exit</x:v>
      </x:c>
      <x:c r="H13" s="36" t="str">
        <x:v>PM</x:v>
      </x:c>
      <x:c r="I13" s="36" t="str">
        <x:v>Med</x:v>
      </x:c>
      <x:c r="J13" s="36" t="str"/>
    </x:row>
    <x:row r="14" ht="28" customHeight="1">
      <x:c r="A14" s="35" t="str">
        <x:v>AL-009</x:v>
      </x:c>
      <x:c r="B14" s="36" t="str">
        <x:v>Pilot</x:v>
      </x:c>
      <x:c r="C14" s="36" t="str">
        <x:v>Select 120 workspaces</x:v>
      </x:c>
      <x:c r="D14" s="36" t="str">
        <x:v>Cohort list</x:v>
      </x:c>
      <x:c r="E14" s="37" t="n">
        <x:v>46237</x:v>
      </x:c>
      <x:c r="F14" s="36" t="str">
        <x:v>Ready</x:v>
      </x:c>
      <x:c r="G14" s="36" t="str">
        <x:v>Pilot entry</x:v>
      </x:c>
      <x:c r="H14" s="36" t="str">
        <x:v>PM</x:v>
      </x:c>
      <x:c r="I14" s="36" t="str">
        <x:v>Med</x:v>
      </x:c>
      <x:c r="J14" s="36" t="str"/>
    </x:row>
    <x:row r="15" ht="28" customHeight="1">
      <x:c r="A15" s="35" t="str">
        <x:v>AL-010</x:v>
      </x:c>
      <x:c r="B15" s="36" t="str">
        <x:v>Pilot</x:v>
      </x:c>
      <x:c r="C15" s="36" t="str">
        <x:v>Validate cohort eligibility</x:v>
      </x:c>
      <x:c r="D15" s="36" t="str">
        <x:v>Eligibility audit</x:v>
      </x:c>
      <x:c r="E15" s="37" t="n">
        <x:v>46238</x:v>
      </x:c>
      <x:c r="F15" s="36" t="str">
        <x:v>Ready</x:v>
      </x:c>
      <x:c r="G15" s="36" t="str">
        <x:v>Pilot entry</x:v>
      </x:c>
      <x:c r="H15" s="36" t="str">
        <x:v>Analytics</x:v>
      </x:c>
      <x:c r="I15" s="36" t="str">
        <x:v>Med</x:v>
      </x:c>
      <x:c r="J15" s="36" t="str"/>
    </x:row>
    <x:row r="16" ht="28" customHeight="1">
      <x:c r="A16" s="35" t="str">
        <x:v>AL-011</x:v>
      </x:c>
      <x:c r="B16" s="36" t="str">
        <x:v>Pilot</x:v>
      </x:c>
      <x:c r="C16" s="36" t="str">
        <x:v>Provision feature flags</x:v>
      </x:c>
      <x:c r="D16" s="36" t="str">
        <x:v>Flag audit</x:v>
      </x:c>
      <x:c r="E16" s="37" t="n">
        <x:v>46239</x:v>
      </x:c>
      <x:c r="F16" s="36" t="str">
        <x:v>In progress</x:v>
      </x:c>
      <x:c r="G16" s="36" t="str">
        <x:v>Pilot entry</x:v>
      </x:c>
      <x:c r="H16" s="36" t="str">
        <x:v>Engineering</x:v>
      </x:c>
      <x:c r="I16" s="36" t="str">
        <x:v>High</x:v>
      </x:c>
      <x:c r="J16" s="36" t="str"/>
    </x:row>
    <x:row r="17" ht="28" customHeight="1">
      <x:c r="A17" s="35" t="str">
        <x:v>AL-012</x:v>
      </x:c>
      <x:c r="B17" s="36" t="str">
        <x:v>Pilot</x:v>
      </x:c>
      <x:c r="C17" s="36" t="str">
        <x:v>Send pilot welcome</x:v>
      </x:c>
      <x:c r="D17" s="36" t="str">
        <x:v>Sent notice</x:v>
      </x:c>
      <x:c r="E17" s="37" t="n">
        <x:v>46240</x:v>
      </x:c>
      <x:c r="F17" s="36" t="str">
        <x:v>Not started</x:v>
      </x:c>
      <x:c r="G17" s="36" t="str">
        <x:v>Pilot entry</x:v>
      </x:c>
      <x:c r="H17" s="36" t="str">
        <x:v>Comms</x:v>
      </x:c>
      <x:c r="I17" s="36" t="str">
        <x:v>Low</x:v>
      </x:c>
      <x:c r="J17" s="36" t="str"/>
    </x:row>
    <x:row r="18" ht="28" customHeight="1">
      <x:c r="A18" s="35" t="str">
        <x:v>AL-013</x:v>
      </x:c>
      <x:c r="B18" s="36" t="str">
        <x:v>Pilot</x:v>
      </x:c>
      <x:c r="C18" s="36" t="str">
        <x:v>Train support pod</x:v>
      </x:c>
      <x:c r="D18" s="36" t="str">
        <x:v>Attendance record</x:v>
      </x:c>
      <x:c r="E18" s="37" t="n">
        <x:v>46240</x:v>
      </x:c>
      <x:c r="F18" s="36" t="str">
        <x:v>In progress</x:v>
      </x:c>
      <x:c r="G18" s="36" t="str">
        <x:v>Pilot entry</x:v>
      </x:c>
      <x:c r="H18" s="36" t="str">
        <x:v>Support</x:v>
      </x:c>
      <x:c r="I18" s="36" t="str">
        <x:v>Med</x:v>
      </x:c>
      <x:c r="J18" s="36" t="str"/>
    </x:row>
    <x:row r="19" ht="28" customHeight="1">
      <x:c r="A19" s="35" t="str">
        <x:v>AL-014</x:v>
      </x:c>
      <x:c r="B19" s="36" t="str">
        <x:v>Pilot</x:v>
      </x:c>
      <x:c r="C19" s="36" t="str">
        <x:v>Confirm pilot dashboard</x:v>
      </x:c>
      <x:c r="D19" s="36" t="str">
        <x:v>Dashboard check</x:v>
      </x:c>
      <x:c r="E19" s="37" t="n">
        <x:v>46241</x:v>
      </x:c>
      <x:c r="F19" s="36" t="str">
        <x:v>Ready</x:v>
      </x:c>
      <x:c r="G19" s="36" t="str">
        <x:v>Pilot entry</x:v>
      </x:c>
      <x:c r="H19" s="36" t="str">
        <x:v>Analytics</x:v>
      </x:c>
      <x:c r="I19" s="36" t="str">
        <x:v>Low</x:v>
      </x:c>
      <x:c r="J19" s="36" t="str"/>
    </x:row>
    <x:row r="20" ht="28" customHeight="1">
      <x:c r="A20" s="35" t="str">
        <x:v>AL-015</x:v>
      </x:c>
      <x:c r="B20" s="36" t="str">
        <x:v>Pilot</x:v>
      </x:c>
      <x:c r="C20" s="36" t="str">
        <x:v>Approve pilot entry</x:v>
      </x:c>
      <x:c r="D20" s="36" t="str">
        <x:v>Decision log</x:v>
      </x:c>
      <x:c r="E20" s="37" t="n">
        <x:v>46242</x:v>
      </x:c>
      <x:c r="F20" s="36" t="str">
        <x:v>Not started</x:v>
      </x:c>
      <x:c r="G20" s="36" t="str">
        <x:v>Pilot entry</x:v>
      </x:c>
      <x:c r="H20" s="36" t="str">
        <x:v>PM</x:v>
      </x:c>
      <x:c r="I20" s="36" t="str">
        <x:v>High</x:v>
      </x:c>
      <x:c r="J20" s="36" t="str"/>
    </x:row>
    <x:row r="21" ht="28" customHeight="1">
      <x:c r="A21" s="35" t="str">
        <x:v>AL-016</x:v>
      </x:c>
      <x:c r="B21" s="36" t="str">
        <x:v>M-27</x:v>
      </x:c>
      <x:c r="C21" s="36" t="str">
        <x:v>Measure 14-day activation</x:v>
      </x:c>
      <x:c r="D21" s="36" t="str">
        <x:v>Cohort report</x:v>
      </x:c>
      <x:c r="E21" s="37" t="n">
        <x:v>46277</x:v>
      </x:c>
      <x:c r="F21" s="36" t="str">
        <x:v>Not started</x:v>
      </x:c>
      <x:c r="G21" s="36" t="str">
        <x:v>M-27</x:v>
      </x:c>
      <x:c r="H21" s="36" t="str">
        <x:v>Analytics</x:v>
      </x:c>
      <x:c r="I21" s="36" t="str">
        <x:v>High</x:v>
      </x:c>
      <x:c r="J21" s="36" t="str"/>
    </x:row>
    <x:row r="22" ht="28" customHeight="1">
      <x:c r="A22" s="35" t="str">
        <x:v>AL-017</x:v>
      </x:c>
      <x:c r="B22" s="36" t="str">
        <x:v>M-27</x:v>
      </x:c>
      <x:c r="C22" s="36" t="str">
        <x:v>Review severity-1 status</x:v>
      </x:c>
      <x:c r="D22" s="36" t="str">
        <x:v>Defect review</x:v>
      </x:c>
      <x:c r="E22" s="37" t="n">
        <x:v>46278</x:v>
      </x:c>
      <x:c r="F22" s="36" t="str">
        <x:v>Not started</x:v>
      </x:c>
      <x:c r="G22" s="36" t="str">
        <x:v>M-27</x:v>
      </x:c>
      <x:c r="H22" s="36" t="str">
        <x:v>Engineering</x:v>
      </x:c>
      <x:c r="I22" s="36" t="str">
        <x:v>High</x:v>
      </x:c>
      <x:c r="J22" s="36" t="str"/>
    </x:row>
    <x:row r="23" ht="28" customHeight="1">
      <x:c r="A23" s="35" t="str">
        <x:v>AL-018</x:v>
      </x:c>
      <x:c r="B23" s="36" t="str">
        <x:v>M-27</x:v>
      </x:c>
      <x:c r="C23" s="36" t="str">
        <x:v>Confirm severity-2 mitigations</x:v>
      </x:c>
      <x:c r="D23" s="36" t="str">
        <x:v>Mitigation log</x:v>
      </x:c>
      <x:c r="E23" s="37" t="n">
        <x:v>46278</x:v>
      </x:c>
      <x:c r="F23" s="36" t="str">
        <x:v>Not started</x:v>
      </x:c>
      <x:c r="G23" s="36" t="str">
        <x:v>M-27</x:v>
      </x:c>
      <x:c r="H23" s="36" t="str">
        <x:v>Engineering</x:v>
      </x:c>
      <x:c r="I23" s="36" t="str">
        <x:v>Med</x:v>
      </x:c>
      <x:c r="J23" s="36" t="str"/>
    </x:row>
    <x:row r="24" ht="28" customHeight="1">
      <x:c r="A24" s="35" t="str">
        <x:v>AL-019</x:v>
      </x:c>
      <x:c r="B24" s="36" t="str">
        <x:v>M-27</x:v>
      </x:c>
      <x:c r="C24" s="36" t="str">
        <x:v>Publish FAQ</x:v>
      </x:c>
      <x:c r="D24" s="36" t="str">
        <x:v>FAQ URL</x:v>
      </x:c>
      <x:c r="E24" s="37" t="n">
        <x:v>46279</x:v>
      </x:c>
      <x:c r="F24" s="36" t="str">
        <x:v>In progress</x:v>
      </x:c>
      <x:c r="G24" s="36" t="str">
        <x:v>M-27</x:v>
      </x:c>
      <x:c r="H24" s="36" t="str">
        <x:v>Support</x:v>
      </x:c>
      <x:c r="I24" s="36" t="str">
        <x:v>Med</x:v>
      </x:c>
      <x:c r="J24" s="36" t="str"/>
    </x:row>
    <x:row r="25" ht="28" customHeight="1">
      <x:c r="A25" s="35" t="str">
        <x:v>AL-020</x:v>
      </x:c>
      <x:c r="B25" s="36" t="str">
        <x:v>M-27</x:v>
      </x:c>
      <x:c r="C25" s="36" t="str">
        <x:v>Confirm coverage plan</x:v>
      </x:c>
      <x:c r="D25" s="36" t="str">
        <x:v>On-call record</x:v>
      </x:c>
      <x:c r="E25" s="37" t="n">
        <x:v>46279</x:v>
      </x:c>
      <x:c r="F25" s="36" t="str">
        <x:v>In progress</x:v>
      </x:c>
      <x:c r="G25" s="36" t="str">
        <x:v>M-27</x:v>
      </x:c>
      <x:c r="H25" s="36" t="str">
        <x:v>Support</x:v>
      </x:c>
      <x:c r="I25" s="36" t="str">
        <x:v>High</x:v>
      </x:c>
      <x:c r="J25" s="36" t="str"/>
    </x:row>
    <x:row r="26" ht="28" customHeight="1">
      <x:c r="A26" s="35" t="str">
        <x:v>AL-021</x:v>
      </x:c>
      <x:c r="B26" s="36" t="str">
        <x:v>M-27</x:v>
      </x:c>
      <x:c r="C26" s="36" t="str">
        <x:v>Approve customer notice</x:v>
      </x:c>
      <x:c r="D26" s="36" t="str">
        <x:v>Approval note</x:v>
      </x:c>
      <x:c r="E26" s="37" t="n">
        <x:v>46280</x:v>
      </x:c>
      <x:c r="F26" s="36" t="str">
        <x:v>Not started</x:v>
      </x:c>
      <x:c r="G26" s="36" t="str">
        <x:v>M-27</x:v>
      </x:c>
      <x:c r="H26" s="36" t="str">
        <x:v>Comms</x:v>
      </x:c>
      <x:c r="I26" s="36" t="str">
        <x:v>High</x:v>
      </x:c>
      <x:c r="J26" s="36" t="str"/>
    </x:row>
    <x:row r="27" ht="28" customHeight="1">
      <x:c r="A27" s="35" t="str">
        <x:v>AL-022</x:v>
      </x:c>
      <x:c r="B27" s="36" t="str">
        <x:v>M-27</x:v>
      </x:c>
      <x:c r="C27" s="36" t="str">
        <x:v>Run rollback drill</x:v>
      </x:c>
      <x:c r="D27" s="36" t="str">
        <x:v>Drill record</x:v>
      </x:c>
      <x:c r="E27" s="37" t="n">
        <x:v>46281</x:v>
      </x:c>
      <x:c r="F27" s="36" t="str">
        <x:v>Not started</x:v>
      </x:c>
      <x:c r="G27" s="36" t="str">
        <x:v>M-27</x:v>
      </x:c>
      <x:c r="H27" s="36" t="str">
        <x:v>Engineering</x:v>
      </x:c>
      <x:c r="I27" s="36" t="str">
        <x:v>High</x:v>
      </x:c>
      <x:c r="J27" s="36" t="str"/>
    </x:row>
    <x:row r="28" ht="28" customHeight="1">
      <x:c r="A28" s="35" t="str">
        <x:v>AL-023</x:v>
      </x:c>
      <x:c r="B28" s="36" t="str">
        <x:v>M-27</x:v>
      </x:c>
      <x:c r="C28" s="36" t="str">
        <x:v>Review open risks</x:v>
      </x:c>
      <x:c r="D28" s="36" t="str">
        <x:v>Risk log</x:v>
      </x:c>
      <x:c r="E28" s="37" t="n">
        <x:v>46282</x:v>
      </x:c>
      <x:c r="F28" s="36" t="str">
        <x:v>Not started</x:v>
      </x:c>
      <x:c r="G28" s="36" t="str">
        <x:v>M-27</x:v>
      </x:c>
      <x:c r="H28" s="36" t="str">
        <x:v>PM</x:v>
      </x:c>
      <x:c r="I28" s="36" t="str">
        <x:v>Med</x:v>
      </x:c>
      <x:c r="J28" s="36" t="str"/>
    </x:row>
    <x:row r="29" ht="28" customHeight="1">
      <x:c r="A29" s="35" t="str">
        <x:v>AL-024</x:v>
      </x:c>
      <x:c r="B29" s="36" t="str">
        <x:v>M-27</x:v>
      </x:c>
      <x:c r="C29" s="36" t="str">
        <x:v>Sign go/no-go packet</x:v>
      </x:c>
      <x:c r="D29" s="36" t="str">
        <x:v>Signed packet</x:v>
      </x:c>
      <x:c r="E29" s="37" t="n">
        <x:v>46283</x:v>
      </x:c>
      <x:c r="F29" s="36" t="str">
        <x:v>Not started</x:v>
      </x:c>
      <x:c r="G29" s="36" t="str">
        <x:v>M-27</x:v>
      </x:c>
      <x:c r="H29" s="36" t="str">
        <x:v>PM</x:v>
      </x:c>
      <x:c r="I29" s="36" t="str">
        <x:v>High</x:v>
      </x:c>
      <x:c r="J29" s="36" t="str"/>
    </x:row>
    <x:row r="30" ht="28" customHeight="1">
      <x:c r="A30" s="35" t="str">
        <x:v>AL-025</x:v>
      </x:c>
      <x:c r="B30" s="36" t="str">
        <x:v>Guided</x:v>
      </x:c>
      <x:c r="C30" s="36" t="str">
        <x:v>Enable guided cohort</x:v>
      </x:c>
      <x:c r="D30" s="36" t="str">
        <x:v>Flag audit</x:v>
      </x:c>
      <x:c r="E30" s="37" t="n">
        <x:v>46284</x:v>
      </x:c>
      <x:c r="F30" s="36" t="str">
        <x:v>Not started</x:v>
      </x:c>
      <x:c r="G30" s="36" t="str">
        <x:v>Guided rollout</x:v>
      </x:c>
      <x:c r="H30" s="36" t="str">
        <x:v>Engineering</x:v>
      </x:c>
      <x:c r="I30" s="36" t="str">
        <x:v>High</x:v>
      </x:c>
      <x:c r="J30" s="36" t="str"/>
    </x:row>
    <x:row r="31" ht="28" customHeight="1">
      <x:c r="A31" s="35" t="str">
        <x:v>AL-026</x:v>
      </x:c>
      <x:c r="B31" s="36" t="str">
        <x:v>Guided</x:v>
      </x:c>
      <x:c r="C31" s="36" t="str">
        <x:v>Send cohort notice</x:v>
      </x:c>
      <x:c r="D31" s="36" t="str">
        <x:v>Sent notice</x:v>
      </x:c>
      <x:c r="E31" s="37" t="n">
        <x:v>46284</x:v>
      </x:c>
      <x:c r="F31" s="36" t="str">
        <x:v>Not started</x:v>
      </x:c>
      <x:c r="G31" s="36" t="str">
        <x:v>Guided rollout</x:v>
      </x:c>
      <x:c r="H31" s="36" t="str">
        <x:v>Comms</x:v>
      </x:c>
      <x:c r="I31" s="36" t="str">
        <x:v>Med</x:v>
      </x:c>
      <x:c r="J31" s="36" t="str"/>
    </x:row>
    <x:row r="32" ht="28" customHeight="1">
      <x:c r="A32" s="35" t="str">
        <x:v>AL-027</x:v>
      </x:c>
      <x:c r="B32" s="36" t="str">
        <x:v>Guided</x:v>
      </x:c>
      <x:c r="C32" s="36" t="str">
        <x:v>Monitor first 24 hours</x:v>
      </x:c>
      <x:c r="D32" s="36" t="str">
        <x:v>Command log</x:v>
      </x:c>
      <x:c r="E32" s="37" t="n">
        <x:v>46285</x:v>
      </x:c>
      <x:c r="F32" s="36" t="str">
        <x:v>Not started</x:v>
      </x:c>
      <x:c r="G32" s="36" t="str">
        <x:v>Guided rollout</x:v>
      </x:c>
      <x:c r="H32" s="36" t="str">
        <x:v>PM</x:v>
      </x:c>
      <x:c r="I32" s="36" t="str">
        <x:v>High</x:v>
      </x:c>
      <x:c r="J32" s="36" t="str"/>
    </x:row>
    <x:row r="33" ht="28" customHeight="1">
      <x:c r="A33" s="35" t="str">
        <x:v>AL-028</x:v>
      </x:c>
      <x:c r="B33" s="36" t="str">
        <x:v>Guided</x:v>
      </x:c>
      <x:c r="C33" s="36" t="str">
        <x:v>Triaging support cases</x:v>
      </x:c>
      <x:c r="D33" s="36" t="str">
        <x:v>Case summary</x:v>
      </x:c>
      <x:c r="E33" s="37" t="n">
        <x:v>46285</x:v>
      </x:c>
      <x:c r="F33" s="36" t="str">
        <x:v>Not started</x:v>
      </x:c>
      <x:c r="G33" s="36" t="str">
        <x:v>Guided rollout</x:v>
      </x:c>
      <x:c r="H33" s="36" t="str">
        <x:v>Support</x:v>
      </x:c>
      <x:c r="I33" s="36" t="str">
        <x:v>Med</x:v>
      </x:c>
      <x:c r="J33" s="36" t="str"/>
    </x:row>
    <x:row r="34" ht="28" customHeight="1">
      <x:c r="A34" s="35" t="str">
        <x:v>AL-029</x:v>
      </x:c>
      <x:c r="B34" s="36" t="str">
        <x:v>Guided</x:v>
      </x:c>
      <x:c r="C34" s="36" t="str">
        <x:v>Check adoption trend</x:v>
      </x:c>
      <x:c r="D34" s="36" t="str">
        <x:v>Trend report</x:v>
      </x:c>
      <x:c r="E34" s="37" t="n">
        <x:v>46288</x:v>
      </x:c>
      <x:c r="F34" s="36" t="str">
        <x:v>Not started</x:v>
      </x:c>
      <x:c r="G34" s="36" t="str">
        <x:v>Guided rollout</x:v>
      </x:c>
      <x:c r="H34" s="36" t="str">
        <x:v>Analytics</x:v>
      </x:c>
      <x:c r="I34" s="36" t="str">
        <x:v>Med</x:v>
      </x:c>
      <x:c r="J34" s="36" t="str"/>
    </x:row>
    <x:row r="35" ht="28" customHeight="1">
      <x:c r="A35" s="35" t="str">
        <x:v>AL-030</x:v>
      </x:c>
      <x:c r="B35" s="36" t="str">
        <x:v>Guided</x:v>
      </x:c>
      <x:c r="C35" s="36" t="str">
        <x:v>Review expansion eligibility</x:v>
      </x:c>
      <x:c r="D35" s="36" t="str">
        <x:v>Decision log</x:v>
      </x:c>
      <x:c r="E35" s="37" t="n">
        <x:v>46290</x:v>
      </x:c>
      <x:c r="F35" s="36" t="str">
        <x:v>Not started</x:v>
      </x:c>
      <x:c r="G35" s="36" t="str">
        <x:v>Guided rollout</x:v>
      </x:c>
      <x:c r="H35" s="36" t="str">
        <x:v>PM</x:v>
      </x:c>
      <x:c r="I35" s="36" t="str">
        <x:v>High</x:v>
      </x:c>
      <x:c r="J35" s="36" t="str"/>
    </x:row>
    <x:row r="36" ht="28" customHeight="1">
      <x:c r="A36" s="35" t="str">
        <x:v>AL-031</x:v>
      </x:c>
      <x:c r="B36" s="36" t="str">
        <x:v>Review</x:v>
      </x:c>
      <x:c r="C36" s="36" t="str">
        <x:v>Compile Q3 adoption</x:v>
      </x:c>
      <x:c r="D36" s="36" t="str">
        <x:v>Outcome report</x:v>
      </x:c>
      <x:c r="E36" s="37" t="n">
        <x:v>46294</x:v>
      </x:c>
      <x:c r="F36" s="36" t="str">
        <x:v>Not started</x:v>
      </x:c>
      <x:c r="G36" s="36" t="str">
        <x:v>Review</x:v>
      </x:c>
      <x:c r="H36" s="36" t="str">
        <x:v>Analytics</x:v>
      </x:c>
      <x:c r="I36" s="36" t="str">
        <x:v>Med</x:v>
      </x:c>
      <x:c r="J36" s="36" t="str"/>
    </x:row>
    <x:row r="37" ht="28" customHeight="1">
      <x:c r="A37" s="35" t="str">
        <x:v>AL-032</x:v>
      </x:c>
      <x:c r="B37" s="36" t="str">
        <x:v>Review</x:v>
      </x:c>
      <x:c r="C37" s="36" t="str">
        <x:v>Summarize customer issues</x:v>
      </x:c>
      <x:c r="D37" s="36" t="str">
        <x:v>Support summary</x:v>
      </x:c>
      <x:c r="E37" s="37" t="n">
        <x:v>46294</x:v>
      </x:c>
      <x:c r="F37" s="36" t="str">
        <x:v>Not started</x:v>
      </x:c>
      <x:c r="G37" s="36" t="str">
        <x:v>Review</x:v>
      </x:c>
      <x:c r="H37" s="36" t="str">
        <x:v>Support</x:v>
      </x:c>
      <x:c r="I37" s="36" t="str">
        <x:v>Med</x:v>
      </x:c>
      <x:c r="J37" s="36" t="str"/>
    </x:row>
    <x:row r="38" ht="28" customHeight="1">
      <x:c r="A38" s="35" t="str">
        <x:v>AL-033</x:v>
      </x:c>
      <x:c r="B38" s="36" t="str">
        <x:v>Review</x:v>
      </x:c>
      <x:c r="C38" s="36" t="str">
        <x:v>Close decision log</x:v>
      </x:c>
      <x:c r="D38" s="36" t="str">
        <x:v>Decision log</x:v>
      </x:c>
      <x:c r="E38" s="37" t="n">
        <x:v>46295</x:v>
      </x:c>
      <x:c r="F38" s="36" t="str">
        <x:v>Not started</x:v>
      </x:c>
      <x:c r="G38" s="36" t="str">
        <x:v>Review</x:v>
      </x:c>
      <x:c r="H38" s="36" t="str">
        <x:v>PM</x:v>
      </x:c>
      <x:c r="I38" s="36" t="str">
        <x:v>Low</x:v>
      </x:c>
      <x:c r="J38" s="36" t="str"/>
    </x:row>
    <x:row r="39" ht="28" customHeight="1">
      <x:c r="A39" s="35" t="str">
        <x:v>AL-034</x:v>
      </x:c>
      <x:c r="B39" s="36" t="str">
        <x:v>Review</x:v>
      </x:c>
      <x:c r="C39" s="36" t="str">
        <x:v>Share leadership readout</x:v>
      </x:c>
      <x:c r="D39" s="36" t="str">
        <x:v>Readout deck</x:v>
      </x:c>
      <x:c r="E39" s="37" t="n">
        <x:v>46295</x:v>
      </x:c>
      <x:c r="F39" s="36" t="str">
        <x:v>Not started</x:v>
      </x:c>
      <x:c r="G39" s="36" t="str">
        <x:v>Review</x:v>
      </x:c>
      <x:c r="H39" s="36" t="str">
        <x:v>Comms</x:v>
      </x:c>
      <x:c r="I39" s="36" t="str">
        <x:v>Low</x:v>
      </x:c>
      <x:c r="J39" s="36" t="str"/>
    </x:row>
    <x:row r="40" ht="28" customHeight="1">
      <x:c r="A40" s="35" t="str">
        <x:v>AL-035</x:v>
      </x:c>
      <x:c r="B40" s="36" t="str">
        <x:v>Review</x:v>
      </x:c>
      <x:c r="C40" s="36" t="str">
        <x:v>Archive evidence set</x:v>
      </x:c>
      <x:c r="D40" s="36" t="str">
        <x:v>Evidence index</x:v>
      </x:c>
      <x:c r="E40" s="37" t="n">
        <x:v>46295</x:v>
      </x:c>
      <x:c r="F40" s="36" t="str">
        <x:v>Not started</x:v>
      </x:c>
      <x:c r="G40" s="36" t="str">
        <x:v>Review</x:v>
      </x:c>
      <x:c r="H40" s="36" t="str">
        <x:v>PM</x:v>
      </x:c>
      <x:c r="I40" s="36" t="str">
        <x:v>Low</x:v>
      </x:c>
      <x:c r="J40" s="36" t="str"/>
    </x:row>
    <x:row r="41" ht="28" customHeight="1">
      <x:c r="A41" s="35" t="str">
        <x:v>AL-036</x:v>
      </x:c>
      <x:c r="B41" s="36" t="str">
        <x:v>Review</x:v>
      </x:c>
      <x:c r="C41" s="36" t="str">
        <x:v>Plan beta handoff</x:v>
      </x:c>
      <x:c r="D41" s="36" t="str">
        <x:v>Handoff note</x:v>
      </x:c>
      <x:c r="E41" s="37" t="n">
        <x:v>46296</x:v>
      </x:c>
      <x:c r="F41" s="36" t="str">
        <x:v>Not started</x:v>
      </x:c>
      <x:c r="G41" s="36" t="str">
        <x:v>Review</x:v>
      </x:c>
      <x:c r="H41" s="36" t="str">
        <x:v>PM</x:v>
      </x:c>
      <x:c r="I41" s="36" t="str">
        <x:v>Med</x:v>
      </x:c>
      <x:c r="J41" s="36" t="str"/>
    </x:row>
    <x:row r="42" ht="28" customHeight="1">
      <x:c r="A42" s="35" t="str">
        <x:v>AL-037</x:v>
      </x:c>
      <x:c r="B42" s="36" t="str">
        <x:v>Review</x:v>
      </x:c>
      <x:c r="C42" s="36" t="str">
        <x:v>Retrospective</x:v>
      </x:c>
      <x:c r="D42" s="36" t="str">
        <x:v>Retro record</x:v>
      </x:c>
      <x:c r="E42" s="37" t="n">
        <x:v>46297</x:v>
      </x:c>
      <x:c r="F42" s="36" t="str">
        <x:v>Not started</x:v>
      </x:c>
      <x:c r="G42" s="36" t="str">
        <x:v>Review</x:v>
      </x:c>
      <x:c r="H42" s="36" t="str">
        <x:v>PM</x:v>
      </x:c>
      <x:c r="I42" s="36" t="str">
        <x:v>Low</x:v>
      </x:c>
      <x:c r="J42" s="36" t="str"/>
    </x:row>
    <x:row r="43" ht="28" customHeight="1">
      <x:c r="A43" s="35" t="str">
        <x:v>AL-038</x:v>
      </x:c>
      <x:c r="B43" s="36" t="str">
        <x:v>Review</x:v>
      </x:c>
      <x:c r="C43" s="36" t="str">
        <x:v>Confirm rollback retirement</x:v>
      </x:c>
      <x:c r="D43" s="36" t="str">
        <x:v>Change record</x:v>
      </x:c>
      <x:c r="E43" s="37" t="n">
        <x:v>46298</x:v>
      </x:c>
      <x:c r="F43" s="36" t="str">
        <x:v>Not started</x:v>
      </x:c>
      <x:c r="G43" s="36" t="str">
        <x:v>Review</x:v>
      </x:c>
      <x:c r="H43" s="36" t="str">
        <x:v>Engineering</x:v>
      </x:c>
      <x:c r="I43" s="36" t="str">
        <x:v>Med</x:v>
      </x:c>
      <x:c r="J43" s="36" t="str"/>
    </x:row>
    <x:row r="44" ht="28" customHeight="1">
      <x:c r="A44" s="35" t="str">
        <x:v>AL-039</x:v>
      </x:c>
      <x:c r="B44" s="36" t="str">
        <x:v>Review</x:v>
      </x:c>
      <x:c r="C44" s="36" t="str">
        <x:v>Capture Q4 dependencies</x:v>
      </x:c>
      <x:c r="D44" s="36" t="str">
        <x:v>Dependency list</x:v>
      </x:c>
      <x:c r="E44" s="37" t="n">
        <x:v>46299</x:v>
      </x:c>
      <x:c r="F44" s="36" t="str">
        <x:v>Not started</x:v>
      </x:c>
      <x:c r="G44" s="36" t="str">
        <x:v>Review</x:v>
      </x:c>
      <x:c r="H44" s="36" t="str">
        <x:v>PM</x:v>
      </x:c>
      <x:c r="I44" s="36" t="str">
        <x:v>Med</x:v>
      </x:c>
      <x:c r="J44" s="36" t="str"/>
    </x:row>
    <x:row r="45" ht="28" customHeight="1">
      <x:c r="A45" s="35" t="str">
        <x:v>AL-040</x:v>
      </x:c>
      <x:c r="B45" s="36" t="str">
        <x:v>Review</x:v>
      </x:c>
      <x:c r="C45" s="36" t="str">
        <x:v>Validate comms follow-up</x:v>
      </x:c>
      <x:c r="D45" s="36" t="str">
        <x:v>Message record</x:v>
      </x:c>
      <x:c r="E45" s="37" t="n">
        <x:v>46300</x:v>
      </x:c>
      <x:c r="F45" s="36" t="str">
        <x:v>Not started</x:v>
      </x:c>
      <x:c r="G45" s="36" t="str">
        <x:v>Review</x:v>
      </x:c>
      <x:c r="H45" s="36" t="str">
        <x:v>Comms</x:v>
      </x:c>
      <x:c r="I45" s="36" t="str">
        <x:v>Low</x:v>
      </x:c>
      <x:c r="J45" s="36" t="str"/>
    </x:row>
  </x:sheetData>
  <x:mergeCells>
    <x:mergeCell ref="A1:J1"/>
  </x:mergeCells>
  <x:conditionalFormatting sqref="F6:F45">
    <x:cfRule type="containsText" dxfId="0" priority="1" operator="containsText" text="Ready"/>
    <x:cfRule type="containsText" dxfId="1" priority="2" operator="containsText" text="In progress"/>
    <x:cfRule type="containsText" dxfId="2" priority="3" operator="containsText" text="Not started"/>
  </x:conditionalFormatting>
  <x:dataValidations count="3">
    <x:dataValidation type="list" sqref="F6:F45">
      <x:formula1>Lists!$A$2:$A$4</x:formula1>
    </x:dataValidation>
    <x:dataValidation type="list" sqref="G6:G45">
      <x:formula1>Lists!$B$2:$B$6</x:formula1>
    </x:dataValidation>
    <x:dataValidation type="list" sqref="H6:H45">
      <x:formula1>Lists!$C$2:$C$6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4" t="str">
        <x:v>Status</x:v>
      </x:c>
      <x:c r="B1" s="4" t="str">
        <x:v>Gate</x:v>
      </x:c>
      <x:c r="C1" s="4" t="str">
        <x:v>Owner</x:v>
      </x:c>
    </x:row>
    <x:row r="2">
      <x:c r="A2" s="2" t="str">
        <x:v>Not started</x:v>
      </x:c>
      <x:c r="B2" s="2" t="str">
        <x:v>Internal exit</x:v>
      </x:c>
      <x:c r="C2" s="2" t="str">
        <x:v>PM</x:v>
      </x:c>
    </x:row>
    <x:row r="3">
      <x:c r="A3" s="2" t="str">
        <x:v>In progress</x:v>
      </x:c>
      <x:c r="B3" s="2" t="str">
        <x:v>Pilot entry</x:v>
      </x:c>
      <x:c r="C3" s="2" t="str">
        <x:v>Engineering</x:v>
      </x:c>
    </x:row>
    <x:row r="4">
      <x:c r="A4" s="2" t="str">
        <x:v>Ready</x:v>
      </x:c>
      <x:c r="B4" s="2" t="str">
        <x:v>M-27</x:v>
      </x:c>
      <x:c r="C4" s="2" t="str">
        <x:v>Analytics</x:v>
      </x:c>
    </x:row>
    <x:row r="5">
      <x:c r="A5" s="2"/>
      <x:c r="B5" s="2" t="str">
        <x:v>Guided rollout</x:v>
      </x:c>
      <x:c r="C5" s="2" t="str">
        <x:v>Support</x:v>
      </x:c>
    </x:row>
    <x:row r="6">
      <x:c r="A6" s="2"/>
      <x:c r="B6" s="2" t="str">
        <x:v>Review</x:v>
      </x:c>
      <x:c r="C6" s="2" t="str">
        <x:v>Comms</x:v>
      </x:c>
    </x:row>
  </x:sheetData>
  <x:pageMargins left="0.7" right="0.7" top="0.75" bottom="0.75" header="0.3" footer="0.3"/>
</x:worksheet>
</file>