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8df32bbb8c4c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" sheetId="1" r:id="R779ee7ad563541f7"/>
    <x:sheet xmlns:r="http://schemas.openxmlformats.org/officeDocument/2006/relationships" name="Model" sheetId="2" r:id="R5e1e060742a0496a"/>
    <x:sheet xmlns:r="http://schemas.openxmlformats.org/officeDocument/2006/relationships" name="Dashboard" sheetId="3" r:id="R4d40751aa5e549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9434A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3642"/>
      </x:patternFill>
    </x:fill>
    <x:fill>
      <x:patternFill patternType="solid">
        <x:fgColor rgb="FFE8F1F2"/>
      </x:patternFill>
    </x:fill>
    <x:fill>
      <x:patternFill patternType="solid">
        <x:fgColor rgb="FF1F5D6A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a53cd4dc8e4c7e" /><Relationship Type="http://schemas.openxmlformats.org/officeDocument/2006/relationships/theme" Target="/xl/theme/theme1.xml" Id="R1abb9dda2b38416b" /><Relationship Type="http://schemas.openxmlformats.org/officeDocument/2006/relationships/sharedStrings" Target="/xl/sharedStrings.xml" Id="R2a9312eadb0843d0" /><Relationship Type="http://schemas.openxmlformats.org/officeDocument/2006/relationships/worksheet" Target="/xl/worksheets/sheet1.xml" Id="R779ee7ad563541f7" /><Relationship Type="http://schemas.openxmlformats.org/officeDocument/2006/relationships/worksheet" Target="/xl/worksheets/sheet2.xml" Id="R5e1e060742a0496a" /><Relationship Type="http://schemas.openxmlformats.org/officeDocument/2006/relationships/worksheet" Target="/xl/worksheets/sheet3.xml" Id="R4d40751aa5e549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4" customHeight="1">
      <x:c r="A1" s="2" t="str">
        <x:v>Source | Product health inputs</x:v>
      </x:c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Product Alpha Q3 | synthetic snapshot as-of 2026-07-13</x:v>
      </x:c>
      <x:c r="B2" s="4"/>
      <x:c r="C2" s="4"/>
      <x:c r="D2" s="4"/>
      <x:c r="E2" s="4"/>
      <x:c r="F2" s="4"/>
      <x:c r="G2" s="4"/>
      <x:c r="H2" s="4"/>
    </x:row>
    <x:row r="4">
      <x:c r="A4" s="7" t="str">
        <x:v>Measure</x:v>
      </x:c>
      <x:c r="B4" s="7" t="str">
        <x:v>Baseline</x:v>
      </x:c>
      <x:c r="C4" s="7" t="str">
        <x:v>Target</x:v>
      </x:c>
      <x:c r="D4" s="7" t="str">
        <x:v>As-of</x:v>
      </x:c>
    </x:row>
    <x:row r="5">
      <x:c r="A5" t="str">
        <x:v>Adoption rate</x:v>
      </x:c>
      <x:c r="B5" s="8" t="n">
        <x:v>0.1838709677</x:v>
      </x:c>
      <x:c r="C5" s="8" t="n">
        <x:v>0.26</x:v>
      </x:c>
      <x:c r="D5" s="9" t="n">
        <x:v>46216</x:v>
      </x:c>
    </x:row>
    <x:row r="6">
      <x:c r="A6" t="str">
        <x:v>Activated workspaces</x:v>
      </x:c>
      <x:c r="B6" t="n">
        <x:v>228</x:v>
      </x:c>
      <x:c r="C6" t="n">
        <x:v>323</x:v>
      </x:c>
      <x:c r="D6" s="9" t="n">
        <x:v>46216</x:v>
      </x:c>
    </x:row>
    <x:row r="7">
      <x:c r="A7" t="str">
        <x:v>WAU among adopters</x:v>
      </x:c>
      <x:c r="B7" t="n">
        <x:v>228</x:v>
      </x:c>
      <x:c r="C7" t="n">
        <x:v>250</x:v>
      </x:c>
      <x:c r="D7" s="9" t="n">
        <x:v>46216</x:v>
      </x:c>
    </x:row>
    <x:row r="8">
      <x:c r="A8" t="str">
        <x:v>D30 retention</x:v>
      </x:c>
      <x:c r="B8" s="8" t="n">
        <x:v>0.6710526316</x:v>
      </x:c>
      <x:c r="C8" s="8" t="n">
        <x:v>0.7</x:v>
      </x:c>
      <x:c r="D8" s="9" t="n">
        <x:v>46216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8" hidden="0" customWidth="1"/>
  </x:cols>
  <x:sheetData>
    <x:row r="1" ht="24" customHeight="1">
      <x:c r="A1" s="2" t="str">
        <x:v>Model | Health calculations</x:v>
      </x:c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All dashboard outputs link to Source and use editable formulas.</x:v>
      </x:c>
      <x:c r="B2" s="4"/>
      <x:c r="C2" s="4"/>
      <x:c r="D2" s="4"/>
      <x:c r="E2" s="4"/>
      <x:c r="F2" s="4"/>
      <x:c r="G2" s="4"/>
      <x:c r="H2" s="4"/>
    </x:row>
    <x:row r="4">
      <x:c r="A4" s="7" t="str">
        <x:v>Measure</x:v>
      </x:c>
      <x:c r="B4" s="7" t="str">
        <x:v>Actual</x:v>
      </x:c>
      <x:c r="C4" s="7" t="str">
        <x:v>Target</x:v>
      </x:c>
      <x:c r="D4" s="7" t="str">
        <x:v>Gap to target</x:v>
      </x:c>
    </x:row>
    <x:row r="5">
      <x:c r="A5" t="str">
        <x:v>Adoption rate</x:v>
      </x:c>
      <x:c r="B5" s="8" t="n">
        <x:f>'Source'!B5</x:f>
        <x:v>0.1838709677</x:v>
      </x:c>
      <x:c r="C5" s="8" t="n">
        <x:f>'Source'!C5</x:f>
        <x:v>0.26</x:v>
      </x:c>
      <x:c r="D5" s="8" t="n">
        <x:f>B5-C5</x:f>
        <x:v>-0.07612903230000001</x:v>
      </x:c>
    </x:row>
    <x:row r="6">
      <x:c r="A6" t="str">
        <x:v>Activated workspaces</x:v>
      </x:c>
      <x:c r="B6" t="n">
        <x:f>'Source'!B6</x:f>
        <x:v>228</x:v>
      </x:c>
      <x:c r="C6" t="n">
        <x:f>'Source'!C6</x:f>
        <x:v>323</x:v>
      </x:c>
      <x:c r="D6" t="n">
        <x:f>B6-C6</x:f>
        <x:v>-95</x:v>
      </x:c>
    </x:row>
    <x:row r="7">
      <x:c r="A7" t="str">
        <x:v>WAU among adopters</x:v>
      </x:c>
      <x:c r="B7" t="n">
        <x:f>'Source'!B7</x:f>
        <x:v>228</x:v>
      </x:c>
      <x:c r="C7" t="n">
        <x:f>'Source'!C7</x:f>
        <x:v>250</x:v>
      </x:c>
      <x:c r="D7" t="n">
        <x:f>B7-C7</x:f>
        <x:v>-22</x:v>
      </x:c>
    </x:row>
    <x:row r="8">
      <x:c r="A8" t="str">
        <x:v>D30 retention</x:v>
      </x:c>
      <x:c r="B8" s="8" t="n">
        <x:f>'Source'!B8</x:f>
        <x:v>0.6710526316</x:v>
      </x:c>
      <x:c r="C8" s="8" t="n">
        <x:f>'Source'!C8</x:f>
        <x:v>0.7</x:v>
      </x:c>
      <x:c r="D8" s="8" t="n">
        <x:f>B8-C8</x:f>
        <x:v>-0.028947368400000006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6" max="6" width="28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4" customHeight="1">
      <x:c r="A1" s="2" t="str">
        <x:v>Q3 product health | intervention required</x:v>
      </x:c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Separate rate and workspace-count scales; adoption remains the priority.</x:v>
      </x:c>
      <x:c r="B2" s="4"/>
      <x:c r="C2" s="4"/>
      <x:c r="D2" s="4"/>
      <x:c r="E2" s="4"/>
      <x:c r="F2" s="4"/>
      <x:c r="G2" s="4"/>
      <x:c r="H2" s="4"/>
    </x:row>
    <x:row r="4">
      <x:c r="A4" s="7" t="str">
        <x:v>Rate KPIs</x:v>
      </x:c>
      <x:c r="B4" s="7" t="str">
        <x:v>Actual</x:v>
      </x:c>
      <x:c r="C4" s="7" t="str">
        <x:v>Target</x:v>
      </x:c>
      <x:c r="D4" s="7" t="str">
        <x:v>Gap</x:v>
      </x:c>
      <x:c r="F4" s="7" t="str">
        <x:v>Workspace-count KPIs</x:v>
      </x:c>
      <x:c r="G4" s="7" t="str">
        <x:v>Actual</x:v>
      </x:c>
      <x:c r="H4" s="7" t="str">
        <x:v>Target</x:v>
      </x:c>
      <x:c r="I4" s="7" t="str">
        <x:v>Gap</x:v>
      </x:c>
    </x:row>
    <x:row r="5">
      <x:c r="A5" t="str">
        <x:v>Adoption rate</x:v>
      </x:c>
      <x:c r="B5" s="8" t="n">
        <x:f>'Model'!B5</x:f>
        <x:v>0.1838709677</x:v>
      </x:c>
      <x:c r="C5" s="8" t="n">
        <x:f>'Model'!C5</x:f>
        <x:v>0.26</x:v>
      </x:c>
      <x:c r="D5" s="8" t="n">
        <x:f>'Model'!D5</x:f>
        <x:v>-0.07612903230000001</x:v>
      </x:c>
      <x:c r="F5" t="str">
        <x:v>Activated workspaces</x:v>
      </x:c>
      <x:c r="G5" t="n">
        <x:f>'Model'!B6</x:f>
        <x:v>228</x:v>
      </x:c>
      <x:c r="H5" t="n">
        <x:f>'Model'!C6</x:f>
        <x:v>323</x:v>
      </x:c>
      <x:c r="I5" t="n">
        <x:f>'Model'!D6</x:f>
        <x:v>-95</x:v>
      </x:c>
    </x:row>
    <x:row r="6">
      <x:c r="A6" t="str">
        <x:v>D30 retention</x:v>
      </x:c>
      <x:c r="B6" s="8" t="n">
        <x:f>'Model'!B8</x:f>
        <x:v>0.6710526316</x:v>
      </x:c>
      <x:c r="C6" s="8" t="n">
        <x:f>'Model'!C8</x:f>
        <x:v>0.7</x:v>
      </x:c>
      <x:c r="D6" s="8" t="n">
        <x:f>'Model'!D8</x:f>
        <x:v>-0.028947368400000006</x:v>
      </x:c>
      <x:c r="F6" t="str">
        <x:v>WAU among adopters</x:v>
      </x:c>
      <x:c r="G6" t="n">
        <x:f>'Model'!B7</x:f>
        <x:v>228</x:v>
      </x:c>
      <x:c r="H6" t="n">
        <x:f>'Model'!C7</x:f>
        <x:v>250</x:v>
      </x:c>
      <x:c r="I6" t="n">
        <x:f>'Model'!D7</x:f>
        <x:v>-22</x:v>
      </x:c>
    </x:row>
    <x:row r="7">
      <x:c r="A7" s="4" t="str">
        <x:v>Rate interpretation</x:v>
      </x:c>
      <x:c r="B7" s="4" t="str">
        <x:v>Adoption is 7.6pp below target</x:v>
      </x:c>
      <x:c r="C7" s="4"/>
      <x:c r="D7" s="4"/>
      <x:c r="F7" s="4" t="str">
        <x:v>Count interpretation</x:v>
      </x:c>
      <x:c r="G7" s="4" t="str">
        <x:v>95 additional activations needed</x:v>
      </x:c>
      <x:c r="H7" s="4"/>
      <x:c r="I7" s="4"/>
    </x:row>
    <x:row r="9">
      <x:c r="A9" s="12" t="str">
        <x:v>Decision: prioritize assisted setup to close the adoption-rate gap while monitoring usage and D30 retention.</x:v>
      </x:c>
      <x:c r="B9" s="12"/>
      <x:c r="C9" s="12"/>
      <x:c r="D9" s="12"/>
      <x:c r="E9" s="12"/>
      <x:c r="F9" s="12"/>
      <x:c r="G9" s="12"/>
      <x:c r="H9" s="12"/>
    </x:row>
    <x:row r="10">
      <x:c r="A10" s="12"/>
      <x:c r="B10" s="12"/>
      <x:c r="C10" s="12"/>
      <x:c r="D10" s="12"/>
      <x:c r="E10" s="12"/>
      <x:c r="F10" s="12"/>
      <x:c r="G10" s="12"/>
      <x:c r="H10" s="12"/>
    </x:row>
  </x:sheetData>
  <x:mergeCells>
    <x:mergeCell ref="A1:H1"/>
    <x:mergeCell ref="A2:H2"/>
    <x:mergeCell ref="A9:H10"/>
  </x:mergeCells>
  <x:pageMargins left="0.7" right="0.7" top="0.75" bottom="0.75" header="0.3" footer="0.3"/>
</x:worksheet>
</file>