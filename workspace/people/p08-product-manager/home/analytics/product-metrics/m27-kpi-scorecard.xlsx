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999deac85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" sheetId="1" r:id="R470c512a5f574017"/>
    <x:sheet xmlns:r="http://schemas.openxmlformats.org/officeDocument/2006/relationships" name="Model" sheetId="2" r:id="R512ec26d93484e5d"/>
    <x:sheet xmlns:r="http://schemas.openxmlformats.org/officeDocument/2006/relationships" name="Dashboard" sheetId="3" r:id="Ra6531250497840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9434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642"/>
      </x:patternFill>
    </x:fill>
    <x:fill>
      <x:patternFill patternType="solid">
        <x:fgColor rgb="FFE8F1F2"/>
      </x:patternFill>
    </x:fill>
    <x:fill>
      <x:patternFill patternType="solid">
        <x:fgColor rgb="FF1F5D6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1a4e5d1944608" /><Relationship Type="http://schemas.openxmlformats.org/officeDocument/2006/relationships/theme" Target="/xl/theme/theme1.xml" Id="R0a8de161c8bc41bb" /><Relationship Type="http://schemas.openxmlformats.org/officeDocument/2006/relationships/sharedStrings" Target="/xl/sharedStrings.xml" Id="Rdd998698705e4f77" /><Relationship Type="http://schemas.openxmlformats.org/officeDocument/2006/relationships/worksheet" Target="/xl/worksheets/sheet1.xml" Id="R470c512a5f574017" /><Relationship Type="http://schemas.openxmlformats.org/officeDocument/2006/relationships/worksheet" Target="/xl/worksheets/sheet2.xml" Id="R512ec26d93484e5d" /><Relationship Type="http://schemas.openxmlformats.org/officeDocument/2006/relationships/worksheet" Target="/xl/worksheets/sheet3.xml" Id="Ra6531250497840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</x:cols>
  <x:sheetData>
    <x:row r="1" ht="24" customHeight="1">
      <x:c r="A1" s="3" t="str">
        <x:v>Source | M-27 KPI inputs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Product Alpha Q3 | as-of 2026-07-13</x:v>
      </x:c>
      <x:c r="B2" s="6"/>
      <x:c r="C2" s="6"/>
      <x:c r="D2" s="6"/>
      <x:c r="E2" s="6"/>
      <x:c r="F2" s="6"/>
      <x:c r="G2" s="6"/>
      <x:c r="H2" s="6"/>
    </x:row>
    <x:row r="4">
      <x:c r="A4" s="9" t="str">
        <x:v>KPI</x:v>
      </x:c>
      <x:c r="B4" s="9" t="str">
        <x:v>Actual</x:v>
      </x:c>
      <x:c r="C4" s="9" t="str">
        <x:v>Target</x:v>
      </x:c>
    </x:row>
    <x:row r="5">
      <x:c r="A5" t="str">
        <x:v>Adoption rate</x:v>
      </x:c>
      <x:c r="B5" s="10" t="n">
        <x:v>0.1838709677</x:v>
      </x:c>
      <x:c r="C5" s="10" t="n">
        <x:v>0.26</x:v>
      </x:c>
    </x:row>
    <x:row r="6">
      <x:c r="A6" t="str">
        <x:v>Activated workspaces</x:v>
      </x:c>
      <x:c r="B6" t="n">
        <x:v>228</x:v>
      </x:c>
      <x:c r="C6" t="n">
        <x:v>323</x:v>
      </x:c>
    </x:row>
    <x:row r="7">
      <x:c r="A7" t="str">
        <x:v>Weekly active adopters</x:v>
      </x:c>
      <x:c r="B7" t="n">
        <x:v>228</x:v>
      </x:c>
      <x:c r="C7" t="n">
        <x:v>250</x:v>
      </x:c>
    </x:row>
    <x:row r="8">
      <x:c r="A8" t="str">
        <x:v>30-day retention</x:v>
      </x:c>
      <x:c r="B8" s="10" t="n">
        <x:v>0.6710526316</x:v>
      </x:c>
      <x:c r="C8" s="10" t="n">
        <x:v>0.7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</x:cols>
  <x:sheetData>
    <x:row r="1" ht="24" customHeight="1">
      <x:c r="A1" s="3" t="str">
        <x:v>Model | Gap and status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M-27 is scheduled for 2026-09-18</x:v>
      </x:c>
      <x:c r="B2" s="6"/>
      <x:c r="C2" s="6"/>
      <x:c r="D2" s="6"/>
      <x:c r="E2" s="6"/>
      <x:c r="F2" s="6"/>
      <x:c r="G2" s="6"/>
      <x:c r="H2" s="6"/>
    </x:row>
    <x:row r="4">
      <x:c r="A4" s="9" t="str">
        <x:v>KPI</x:v>
      </x:c>
      <x:c r="B4" s="9" t="str">
        <x:v>Actual</x:v>
      </x:c>
      <x:c r="C4" s="9" t="str">
        <x:v>Target</x:v>
      </x:c>
      <x:c r="D4" s="9" t="str">
        <x:v>Gap</x:v>
      </x:c>
      <x:c r="E4" s="9" t="str">
        <x:v>Status</x:v>
      </x:c>
    </x:row>
    <x:row r="5">
      <x:c r="A5" t="str">
        <x:v>Adoption rate</x:v>
      </x:c>
      <x:c r="B5" s="10" t="n">
        <x:f>'Source'!B5</x:f>
        <x:v>0.1838709677</x:v>
      </x:c>
      <x:c r="C5" s="10" t="n">
        <x:f>'Source'!C5</x:f>
        <x:v>0.26</x:v>
      </x:c>
      <x:c r="D5" s="10" t="n">
        <x:f>C5-B5</x:f>
        <x:v>0.07612903230000001</x:v>
      </x:c>
      <x:c r="E5" t="str">
        <x:f>IF(D5&lt;=0,"On target","Needs action")</x:f>
        <x:v>Needs action</x:v>
      </x:c>
    </x:row>
    <x:row r="6">
      <x:c r="A6" t="str">
        <x:v>Activated workspaces</x:v>
      </x:c>
      <x:c r="B6" t="n">
        <x:f>'Source'!B6</x:f>
        <x:v>228</x:v>
      </x:c>
      <x:c r="C6" t="n">
        <x:f>'Source'!C6</x:f>
        <x:v>323</x:v>
      </x:c>
      <x:c r="D6" t="n">
        <x:f>C6-B6</x:f>
        <x:v>95</x:v>
      </x:c>
      <x:c r="E6" t="str">
        <x:f>IF(D6&lt;=0,"On target","Needs action")</x:f>
        <x:v>Needs action</x:v>
      </x:c>
    </x:row>
    <x:row r="7">
      <x:c r="A7" t="str">
        <x:v>Weekly active adopters</x:v>
      </x:c>
      <x:c r="B7" t="n">
        <x:f>'Source'!B7</x:f>
        <x:v>228</x:v>
      </x:c>
      <x:c r="C7" t="n">
        <x:f>'Source'!C7</x:f>
        <x:v>250</x:v>
      </x:c>
      <x:c r="D7" t="n">
        <x:f>C7-B7</x:f>
        <x:v>22</x:v>
      </x:c>
      <x:c r="E7" t="str">
        <x:f>IF(D7&lt;=0,"On target","Needs action")</x:f>
        <x:v>Needs action</x:v>
      </x:c>
    </x:row>
    <x:row r="8">
      <x:c r="A8" t="str">
        <x:v>30-day retention</x:v>
      </x:c>
      <x:c r="B8" s="10" t="n">
        <x:f>'Source'!B8</x:f>
        <x:v>0.6710526316</x:v>
      </x:c>
      <x:c r="C8" s="10" t="n">
        <x:f>'Source'!C8</x:f>
        <x:v>0.7</x:v>
      </x:c>
      <x:c r="D8" s="10" t="n">
        <x:f>C8-B8</x:f>
        <x:v>0.028947368400000006</x:v>
      </x:c>
      <x:c r="E8" t="str">
        <x:f>IF(D8&lt;=0,"On target","Needs action")</x:f>
        <x:v>Needs action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</x:cols>
  <x:sheetData>
    <x:row r="1" ht="24" customHeight="1">
      <x:c r="A1" s="3" t="str">
        <x:v>M-27 KPI scorecard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Primary decision: prioritize assisted setup experiments to close a 7.6pp adoption gap.</x:v>
      </x:c>
      <x:c r="B2" s="6"/>
      <x:c r="C2" s="6"/>
      <x:c r="D2" s="6"/>
      <x:c r="E2" s="6"/>
      <x:c r="F2" s="6"/>
      <x:c r="G2" s="6"/>
      <x:c r="H2" s="6"/>
    </x:row>
    <x:row r="4">
      <x:c r="A4" s="9" t="str">
        <x:f>'Model'!A4</x:f>
        <x:v>KPI</x:v>
      </x:c>
      <x:c r="B4" s="9" t="str">
        <x:f>'Model'!B4</x:f>
        <x:v>Actual</x:v>
      </x:c>
      <x:c r="C4" s="9" t="str">
        <x:f>'Model'!C4</x:f>
        <x:v>Target</x:v>
      </x:c>
      <x:c r="D4" s="9" t="str">
        <x:f>'Model'!D4</x:f>
        <x:v>Gap</x:v>
      </x:c>
      <x:c r="E4" s="9" t="str">
        <x:f>'Model'!E4</x:f>
        <x:v>Status</x:v>
      </x:c>
    </x:row>
    <x:row r="5">
      <x:c r="A5" t="str">
        <x:f>'Model'!A5</x:f>
        <x:v>Adoption rate</x:v>
      </x:c>
      <x:c r="B5" s="10" t="n">
        <x:f>'Model'!B5</x:f>
        <x:v>0.1838709677</x:v>
      </x:c>
      <x:c r="C5" s="10" t="n">
        <x:f>'Model'!C5</x:f>
        <x:v>0.26</x:v>
      </x:c>
      <x:c r="D5" s="10" t="n">
        <x:f>'Model'!D5</x:f>
        <x:v>0.07612903230000001</x:v>
      </x:c>
      <x:c r="E5" t="str">
        <x:f>'Model'!E5</x:f>
        <x:v>Needs action</x:v>
      </x:c>
    </x:row>
    <x:row r="6">
      <x:c r="A6" t="str">
        <x:f>'Model'!A6</x:f>
        <x:v>Activated workspaces</x:v>
      </x:c>
      <x:c r="B6" t="n">
        <x:f>'Model'!B6</x:f>
        <x:v>228</x:v>
      </x:c>
      <x:c r="C6" t="n">
        <x:f>'Model'!C6</x:f>
        <x:v>323</x:v>
      </x:c>
      <x:c r="D6" t="n">
        <x:f>'Model'!D6</x:f>
        <x:v>95</x:v>
      </x:c>
      <x:c r="E6" t="str">
        <x:f>'Model'!E6</x:f>
        <x:v>Needs action</x:v>
      </x:c>
    </x:row>
    <x:row r="7">
      <x:c r="A7" t="str">
        <x:f>'Model'!A7</x:f>
        <x:v>Weekly active adopters</x:v>
      </x:c>
      <x:c r="B7" t="n">
        <x:f>'Model'!B7</x:f>
        <x:v>228</x:v>
      </x:c>
      <x:c r="C7" t="n">
        <x:f>'Model'!C7</x:f>
        <x:v>250</x:v>
      </x:c>
      <x:c r="D7" t="n">
        <x:f>'Model'!D7</x:f>
        <x:v>22</x:v>
      </x:c>
      <x:c r="E7" t="str">
        <x:f>'Model'!E7</x:f>
        <x:v>Needs action</x:v>
      </x:c>
    </x:row>
    <x:row r="8">
      <x:c r="A8" t="str">
        <x:f>'Model'!A8</x:f>
        <x:v>30-day retention</x:v>
      </x:c>
      <x:c r="B8" s="10" t="n">
        <x:f>'Model'!B8</x:f>
        <x:v>0.6710526316</x:v>
      </x:c>
      <x:c r="C8" s="10" t="n">
        <x:f>'Model'!C8</x:f>
        <x:v>0.7</x:v>
      </x:c>
      <x:c r="D8" s="10" t="n">
        <x:f>'Model'!D8</x:f>
        <x:v>0.028947368400000006</x:v>
      </x:c>
      <x:c r="E8" t="str">
        <x:f>'Model'!E8</x:f>
        <x:v>Needs action</x:v>
      </x:c>
    </x:row>
  </x:sheetData>
  <x:mergeCells>
    <x:mergeCell ref="A1:H1"/>
    <x:mergeCell ref="A2:H2"/>
  </x:mergeCells>
  <x:pageMargins left="0.7" right="0.7" top="0.75" bottom="0.75" header="0.3" footer="0.3"/>
</x:worksheet>
</file>