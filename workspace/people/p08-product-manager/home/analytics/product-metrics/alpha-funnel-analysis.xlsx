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157f5cb0c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8f078517e2e64377"/>
    <x:sheet xmlns:r="http://schemas.openxmlformats.org/officeDocument/2006/relationships" name="Model" sheetId="2" r:id="Reeb32dc60ccf44da"/>
    <x:sheet xmlns:r="http://schemas.openxmlformats.org/officeDocument/2006/relationships" name="Dashboard" sheetId="3" r:id="R4bd4cb2be18f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34A"/>
      <x:name val="Carlito"/>
    </x:font>
    <x:font>
      <x:b/>
      <x:sz val="11"/>
      <x:color rgb="FFFFFFFF"/>
      <x:name val="Carlito"/>
    </x:font>
    <x:font>
      <x:b/>
      <x:sz val="11"/>
      <x:color rgb="FF1436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2"/>
      </x:patternFill>
    </x:fill>
    <x:fill>
      <x:patternFill patternType="solid">
        <x:fgColor rgb="FFE8F1F2"/>
      </x:patternFill>
    </x:fill>
    <x:fill>
      <x:patternFill patternType="solid">
        <x:fgColor rgb="FF1F5D6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78fa6fc5b4f17" /><Relationship Type="http://schemas.openxmlformats.org/officeDocument/2006/relationships/theme" Target="/xl/theme/theme1.xml" Id="R8194c86de7eb462a" /><Relationship Type="http://schemas.openxmlformats.org/officeDocument/2006/relationships/sharedStrings" Target="/xl/sharedStrings.xml" Id="R7e30aa8b076e4a21" /><Relationship Type="http://schemas.openxmlformats.org/officeDocument/2006/relationships/worksheet" Target="/xl/worksheets/sheet1.xml" Id="R8f078517e2e64377" /><Relationship Type="http://schemas.openxmlformats.org/officeDocument/2006/relationships/worksheet" Target="/xl/worksheets/sheet2.xml" Id="Reeb32dc60ccf44da" /><Relationship Type="http://schemas.openxmlformats.org/officeDocument/2006/relationships/worksheet" Target="/xl/worksheets/sheet3.xml" Id="R4bd4cb2be18f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2" t="str">
        <x:v>Source | Product Alpha Q3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Synthetic export | as-of 2026-07-13 | all counts are workspaces</x:v>
      </x:c>
      <x:c r="B2" s="4"/>
      <x:c r="C2" s="4"/>
      <x:c r="D2" s="4"/>
      <x:c r="E2" s="4"/>
      <x:c r="F2" s="4"/>
      <x:c r="G2" s="4"/>
      <x:c r="H2" s="4"/>
    </x:row>
    <x:row r="4">
      <x:c r="A4" s="7" t="str">
        <x:v>Cohort</x:v>
      </x:c>
      <x:c r="B4" s="7" t="str">
        <x:v>Eligible</x:v>
      </x:c>
      <x:c r="C4" s="7" t="str">
        <x:v>Activated</x:v>
      </x:c>
      <x:c r="D4" s="7" t="str">
        <x:v>14d rate</x:v>
      </x:c>
      <x:c r="E4" s="7" t="str">
        <x:v>Window days</x:v>
      </x:c>
    </x:row>
    <x:row r="5">
      <x:c r="A5" t="str">
        <x:v>Jun W1</x:v>
      </x:c>
      <x:c r="B5" s="8" t="n">
        <x:v>310</x:v>
      </x:c>
      <x:c r="C5" s="8" t="n">
        <x:v>55</x:v>
      </x:c>
      <x:c r="D5" s="9" t="n">
        <x:f>C5/B5</x:f>
        <x:v>0.1774193548387097</x:v>
      </x:c>
      <x:c r="E5" t="n">
        <x:v>14</x:v>
      </x:c>
    </x:row>
    <x:row r="6">
      <x:c r="A6" t="str">
        <x:v>Jun W2</x:v>
      </x:c>
      <x:c r="B6" s="8" t="n">
        <x:v>305</x:v>
      </x:c>
      <x:c r="C6" s="8" t="n">
        <x:v>56</x:v>
      </x:c>
      <x:c r="D6" s="9" t="n">
        <x:f>C6/B6</x:f>
        <x:v>0.18360655737704917</x:v>
      </x:c>
      <x:c r="E6" t="n">
        <x:v>14</x:v>
      </x:c>
    </x:row>
    <x:row r="7">
      <x:c r="A7" t="str">
        <x:v>Jun W3</x:v>
      </x:c>
      <x:c r="B7" s="8" t="n">
        <x:v>315</x:v>
      </x:c>
      <x:c r="C7" s="8" t="n">
        <x:v>61</x:v>
      </x:c>
      <x:c r="D7" s="9" t="n">
        <x:f>C7/B7</x:f>
        <x:v>0.19365079365079366</x:v>
      </x:c>
      <x:c r="E7" t="n">
        <x:v>14</x:v>
      </x:c>
    </x:row>
    <x:row r="8">
      <x:c r="A8" t="str">
        <x:v>Jun W4</x:v>
      </x:c>
      <x:c r="B8" s="8" t="n">
        <x:v>310</x:v>
      </x:c>
      <x:c r="C8" s="8" t="n">
        <x:v>56</x:v>
      </x:c>
      <x:c r="D8" s="9" t="n">
        <x:f>C8/B8</x:f>
        <x:v>0.18064516129032257</x:v>
      </x:c>
      <x:c r="E8" t="n">
        <x:v>14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 ht="24" customHeight="1">
      <x:c r="A1" s="2" t="str">
        <x:v>Model | Activation funnel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Formula-driven conversion from eligibility to M-27 adoption objective</x:v>
      </x:c>
      <x:c r="B2" s="4"/>
      <x:c r="C2" s="4"/>
      <x:c r="D2" s="4"/>
      <x:c r="E2" s="4"/>
      <x:c r="F2" s="4"/>
      <x:c r="G2" s="4"/>
      <x:c r="H2" s="4"/>
    </x:row>
    <x:row r="4">
      <x:c r="A4" s="7" t="str">
        <x:v>Stage</x:v>
      </x:c>
      <x:c r="B4" s="7" t="str">
        <x:v>Workspaces</x:v>
      </x:c>
      <x:c r="C4" s="7" t="str">
        <x:v>Conversion</x:v>
      </x:c>
    </x:row>
    <x:row r="5">
      <x:c r="A5" t="str">
        <x:v>Eligible</x:v>
      </x:c>
      <x:c r="B5" s="8" t="n">
        <x:v>1240</x:v>
      </x:c>
      <x:c r="C5" s="9" t="n">
        <x:f>B5/B5</x:f>
        <x:v>1</x:v>
      </x:c>
    </x:row>
    <x:row r="6">
      <x:c r="A6" t="str">
        <x:v>Invited</x:v>
      </x:c>
      <x:c r="B6" s="8" t="n">
        <x:v>1080</x:v>
      </x:c>
      <x:c r="C6" s="9" t="n">
        <x:f>B6/B6</x:f>
        <x:v>1</x:v>
      </x:c>
    </x:row>
    <x:row r="7">
      <x:c r="A7" t="str">
        <x:v>Setup complete</x:v>
      </x:c>
      <x:c r="B7" s="8" t="n">
        <x:v>412</x:v>
      </x:c>
      <x:c r="C7" s="9" t="n">
        <x:f>B7/B7</x:f>
        <x:v>1</x:v>
      </x:c>
    </x:row>
    <x:row r="8">
      <x:c r="A8" t="str">
        <x:v>Adopted</x:v>
      </x:c>
      <x:c r="B8" s="8" t="n">
        <x:f>SUM('Source'!C5:C8)</x:f>
        <x:v>228</x:v>
      </x:c>
      <x:c r="C8" s="9" t="n">
        <x:f>B8/B8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8" hidden="0" customWidth="1"/>
    <x:col min="7" max="7" width="22" hidden="0" customWidth="1"/>
    <x:col min="8" max="8" width="34" hidden="0" customWidth="1"/>
  </x:cols>
  <x:sheetData>
    <x:row r="1" ht="24" customHeight="1">
      <x:c r="A1" s="2" t="str">
        <x:v>Decision | Remove setup friction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Adoption is 18.4% vs 26.0% Q3 target; recover 95 additional workspaces by M-27.</x:v>
      </x:c>
      <x:c r="B2" s="4"/>
      <x:c r="C2" s="4"/>
      <x:c r="D2" s="4"/>
      <x:c r="E2" s="4"/>
      <x:c r="F2" s="4"/>
      <x:c r="G2" s="4"/>
      <x:c r="H2" s="4"/>
    </x:row>
    <x:row r="4">
      <x:c r="A4" s="7" t="str">
        <x:v>Metric</x:v>
      </x:c>
      <x:c r="B4" s="7" t="str">
        <x:v>Value</x:v>
      </x:c>
      <x:c r="D4" s="7" t="str">
        <x:v>Cohort</x:v>
      </x:c>
      <x:c r="E4" s="7" t="str">
        <x:v>14d activation</x:v>
      </x:c>
      <x:c r="G4" s="7" t="str">
        <x:v>Takeaway</x:v>
      </x:c>
      <x:c r="H4" s="7" t="str"/>
    </x:row>
    <x:row r="5">
      <x:c r="A5" t="str">
        <x:v>Eligible workspaces</x:v>
      </x:c>
      <x:c r="B5" s="8" t="n">
        <x:f>'Model'!B5</x:f>
        <x:v>1240</x:v>
      </x:c>
      <x:c r="D5" t="str">
        <x:v>Jun W1</x:v>
      </x:c>
      <x:c r="E5" s="9" t="n">
        <x:f>55/310</x:f>
        <x:v>0.1774193548387097</x:v>
      </x:c>
      <x:c r="G5" s="10" t="str">
        <x:v>Observed range</x:v>
      </x:c>
      <x:c r="H5" t="str">
        <x:v>17.7%–19.4%</x:v>
      </x:c>
    </x:row>
    <x:row r="6">
      <x:c r="A6" t="str">
        <x:v>Adopted workspaces</x:v>
      </x:c>
      <x:c r="B6" s="8" t="n">
        <x:f>'Model'!B8</x:f>
        <x:v>228</x:v>
      </x:c>
      <x:c r="D6" t="str">
        <x:v>Jun W2</x:v>
      </x:c>
      <x:c r="E6" s="9" t="n">
        <x:f>56/305</x:f>
        <x:v>0.18360655737704917</x:v>
      </x:c>
      <x:c r="G6" s="10" t="str">
        <x:v>Interpretation</x:v>
      </x:c>
      <x:c r="H6" t="str">
        <x:v>Flat across June cohorts</x:v>
      </x:c>
    </x:row>
    <x:row r="7">
      <x:c r="A7" t="str">
        <x:v>Current adoption</x:v>
      </x:c>
      <x:c r="B7" s="9" t="n">
        <x:f>B6/B5</x:f>
        <x:v>0.18387096774193548</x:v>
      </x:c>
      <x:c r="D7" t="str">
        <x:v>Jun W3</x:v>
      </x:c>
      <x:c r="E7" s="9" t="n">
        <x:f>61/315</x:f>
        <x:v>0.19365079365079366</x:v>
      </x:c>
      <x:c r="G7" s="10" t="str">
        <x:v>Action</x:v>
      </x:c>
      <x:c r="H7" t="str">
        <x:v>Test assisted setup variants</x:v>
      </x:c>
    </x:row>
    <x:row r="8">
      <x:c r="A8" t="str">
        <x:v>Gap to target</x:v>
      </x:c>
      <x:c r="B8" s="9" t="n">
        <x:f>0.26-B7</x:f>
        <x:v>0.07612903225806453</x:v>
      </x:c>
      <x:c r="D8" t="str">
        <x:v>Jun W4</x:v>
      </x:c>
      <x:c r="E8" s="9" t="n">
        <x:f>56/310</x:f>
        <x:v>0.18064516129032257</x:v>
      </x:c>
      <x:c r="G8" s="10" t="str">
        <x:v>Decision date</x:v>
      </x:c>
      <x:c r="H8" t="str">
        <x:v>M-27 · 2026-09-18</x:v>
      </x:c>
    </x:row>
  </x:sheetData>
  <x:mergeCells>
    <x:mergeCell ref="A1:H1"/>
    <x:mergeCell ref="A2:H2"/>
  </x:mergeCells>
  <x:pageMargins left="0.7" right="0.7" top="0.75" bottom="0.75" header="0.3" footer="0.3"/>
</x:worksheet>
</file>