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9bd02e49f49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74fe6b8ee0a40d9"/>
    <x:sheet xmlns:r="http://schemas.openxmlformats.org/officeDocument/2006/relationships" name="Critical path" sheetId="2" r:id="Ra0cc9b6c6572484a"/>
    <x:sheet xmlns:r="http://schemas.openxmlformats.org/officeDocument/2006/relationships" name="Gate actions" sheetId="3" r:id="Rc3ad7674efe44c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%"/>
    <x:numFmt numFmtId="202" formatCode="#,##0"/>
    <x:numFmt numFmtId="203" formatCode="0%"/>
    <x:numFmt numFmtId="204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2E75B6"/>
      </x:patternFill>
    </x:fill>
  </x:fills>
  <x:borders count="10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bottom style="thin">
        <x:color rgb="FFD6DEE8"/>
      </x:bottom>
    </x:border>
    <x:border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top style="thin">
        <x:color rgb="FFD6DEE8"/>
      </x:top>
    </x:border>
    <x:border>
      <x:left style="thin">
        <x:color rgb="FFD6DEE8"/>
      </x:left>
      <x:right style="thin">
        <x:color rgb="FFD6DEE8"/>
      </x:right>
      <x:top style="thin">
        <x:color rgb="FFD6DEE8"/>
      </x:top>
    </x:border>
    <x:border>
      <x:left style="thin">
        <x:color rgb="FFD6DEE8"/>
      </x:left>
      <x:top style="thin">
        <x:color rgb="FFD6DEE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203" fontId="0" fillId="0" borderId="1" xfId="0" applyNumberFormat="1" applyFont="1" applyFill="1" applyBorder="1"/>
    <x:xf numFmtId="204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3" fontId="0" fillId="0" borderId="8" xfId="0" applyNumberFormat="1" applyFont="1" applyFill="1" applyBorder="1"/>
    <x:xf numFmtId="204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3e479af2f547ac" /><Relationship Type="http://schemas.openxmlformats.org/officeDocument/2006/relationships/theme" Target="/xl/theme/theme1.xml" Id="R45a83bd438344016" /><Relationship Type="http://schemas.openxmlformats.org/officeDocument/2006/relationships/sharedStrings" Target="/xl/sharedStrings.xml" Id="Ra41ddfc09d7c48e7" /><Relationship Type="http://schemas.openxmlformats.org/officeDocument/2006/relationships/worksheet" Target="/xl/worksheets/sheet1.xml" Id="R474fe6b8ee0a40d9" /><Relationship Type="http://schemas.openxmlformats.org/officeDocument/2006/relationships/worksheet" Target="/xl/worksheets/sheet2.xml" Id="Ra0cc9b6c6572484a" /><Relationship Type="http://schemas.openxmlformats.org/officeDocument/2006/relationships/worksheet" Target="/xl/worksheets/sheet3.xml" Id="Rc3ad7674efe44c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Dependency control tower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Product Alpha Q3 | Snapshot 2026-07-13 | M-27 guided rollout gate: 2026-09-18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4" customHeight="1">
      <x:c r="A3" s="20" t="str">
        <x:v>Snapshot</x:v>
      </x:c>
      <x:c r="B3" s="16" t="n">
        <x:v>46216</x:v>
      </x:c>
      <x:c r="C3" s="15"/>
      <x:c r="D3" s="20" t="str">
        <x:v>Open dependencies</x:v>
      </x:c>
      <x:c r="E3" s="15" t="n">
        <x:f>COUNTA('Critical path'!A7:A28)</x:f>
        <x:v>22</x:v>
      </x:c>
      <x:c r="F3" s="15"/>
      <x:c r="G3" s="20" t="str">
        <x:v>Gate</x:v>
      </x:c>
      <x:c r="H3" s="16" t="n">
        <x:v>46283</x:v>
      </x:c>
    </x:row>
    <x:row r="4" ht="24" customHeight="1">
      <x:c r="A4" s="20" t="str">
        <x:v>Adoption baseline</x:v>
      </x:c>
      <x:c r="B4" s="17" t="n">
        <x:v>0.184</x:v>
      </x:c>
      <x:c r="C4" s="15"/>
      <x:c r="D4" s="20" t="str">
        <x:v>Blocked</x:v>
      </x:c>
      <x:c r="E4" s="15" t="n">
        <x:f>COUNTIF('Critical path'!E7:E28,"Blocked")</x:f>
        <x:v>1</x:v>
      </x:c>
      <x:c r="F4" s="15"/>
      <x:c r="G4" s="20" t="str">
        <x:v>Gate confidence</x:v>
      </x:c>
      <x:c r="H4" s="17" t="n">
        <x:f>AVERAGE('Critical path'!H7:H28)</x:f>
        <x:v>0.7313636363636362</x:v>
      </x:c>
    </x:row>
    <x:row r="5" ht="24" customHeight="1">
      <x:c r="A5" s="20" t="str">
        <x:v>Adoption target</x:v>
      </x:c>
      <x:c r="B5" s="17" t="n">
        <x:v>0.26</x:v>
      </x:c>
      <x:c r="C5" s="15"/>
      <x:c r="D5" s="20" t="str">
        <x:v>At risk</x:v>
      </x:c>
      <x:c r="E5" s="15" t="n">
        <x:f>COUNTIF('Critical path'!E7:E28,"At risk")</x:f>
        <x:v>5</x:v>
      </x:c>
      <x:c r="F5" s="15"/>
      <x:c r="G5" s="20" t="str">
        <x:v>Health green</x:v>
      </x:c>
      <x:c r="H5" s="15" t="n">
        <x:f>COUNTIF('Critical path'!N7:N28,"Green")</x:f>
        <x:v>12</x:v>
      </x:c>
    </x:row>
    <x:row r="6" ht="24" customHeight="1">
      <x:c r="A6" s="20" t="str">
        <x:v>Synthetic workspaces</x:v>
      </x:c>
      <x:c r="B6" s="18" t="n">
        <x:v>1240</x:v>
      </x:c>
      <x:c r="C6" s="15"/>
      <x:c r="D6" s="20" t="str">
        <x:v>Critical severity</x:v>
      </x:c>
      <x:c r="E6" s="15" t="n">
        <x:f>COUNTIF('Critical path'!G7:G28,"Critical")</x:f>
        <x:v>5</x:v>
      </x:c>
      <x:c r="F6" s="15"/>
      <x:c r="G6" s="20" t="str">
        <x:v>Due in 14d</x:v>
      </x:c>
      <x:c r="H6" s="15" t="n">
        <x:f>COUNTIF('Critical path'!M7:M28,"&lt;=14")</x:f>
        <x:v>2</x:v>
      </x:c>
    </x:row>
    <x:row r="9">
      <x:c r="A9" s="22" t="str">
        <x:v>Decision frame</x:v>
      </x:c>
      <x:c r="B9" s="22"/>
      <x:c r="C9" s="22"/>
      <x:c r="D9" s="22"/>
      <x:c r="E9" s="22"/>
      <x:c r="F9" s="22"/>
      <x:c r="G9" s="22"/>
      <x:c r="H9" s="22"/>
    </x:row>
    <x:row r="10">
      <x:c r="A10" s="25" t="str">
        <x:v>The program must raise adoption from 18.4% to 26.0% across 1,240 synthetic workspaces while preserving a 2026-09-18 M-27 gate. Escalate any blocked critical dependency, any confidence below 70%, or any deliverable due within 14 days without a verified mitigation.</x:v>
      </x:c>
      <x:c r="B10" s="25"/>
      <x:c r="C10" s="25"/>
      <x:c r="D10" s="25"/>
      <x:c r="E10" s="25"/>
      <x:c r="F10" s="25"/>
      <x:c r="G10" s="25"/>
      <x:c r="H10" s="25"/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25"/>
      <x:c r="B12" s="25"/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</x:sheetData>
  <x:mergeCells>
    <x:mergeCell ref="A1:N1"/>
    <x:mergeCell ref="A2:N2"/>
    <x:mergeCell ref="A9:H9"/>
    <x:mergeCell ref="A10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19" hidden="0" customWidth="1"/>
    <x:col min="4" max="4" width="22" hidden="0" customWidth="1"/>
    <x:col min="5" max="5" width="14" hidden="0" customWidth="1"/>
    <x:col min="6" max="6" width="13" hidden="0" customWidth="1"/>
    <x:col min="7" max="7" width="12" hidden="0" customWidth="1"/>
    <x:col min="8" max="8" width="12" hidden="0" customWidth="1"/>
    <x:col min="9" max="9" width="26" hidden="0" customWidth="1"/>
    <x:col min="10" max="10" width="27" hidden="0" customWidth="1"/>
    <x:col min="11" max="11" width="32" hidden="0" customWidth="1"/>
    <x:col min="12" max="12" width="15" hidden="0" customWidth="1"/>
    <x:col min="13" max="13" width="12" hidden="0" customWidth="1"/>
    <x:col min="14" max="14" width="12" hidden="0" customWidth="1"/>
  </x:cols>
  <x:sheetData>
    <x:row r="1" ht="28" customHeight="1">
      <x:c r="A1" s="4" t="str">
        <x:v>M-27 critical path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Formula-driven days-at-risk and health. Source of truth: Product Alpha Q3 dependency register.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26" t="str">
        <x:v>Snapshot date</x:v>
      </x:c>
      <x:c r="B3" s="8" t="n">
        <x:v>46216</x:v>
      </x:c>
    </x:row>
    <x:row r="6" ht="29" customHeight="1">
      <x:c r="A6" s="32" t="str">
        <x:v>ID</x:v>
      </x:c>
      <x:c r="B6" s="33" t="str">
        <x:v>Dependency</x:v>
      </x:c>
      <x:c r="C6" s="33" t="str">
        <x:v>Upstream team</x:v>
      </x:c>
      <x:c r="D6" s="33" t="str">
        <x:v>Owner role</x:v>
      </x:c>
      <x:c r="E6" s="33" t="str">
        <x:v>Status</x:v>
      </x:c>
      <x:c r="F6" s="33" t="str">
        <x:v>Due date</x:v>
      </x:c>
      <x:c r="G6" s="33" t="str">
        <x:v>Severity</x:v>
      </x:c>
      <x:c r="H6" s="33" t="str">
        <x:v>Confidence</x:v>
      </x:c>
      <x:c r="I6" s="33" t="str">
        <x:v>Upstream deliverable</x:v>
      </x:c>
      <x:c r="J6" s="33" t="str">
        <x:v>Downstream outcome</x:v>
      </x:c>
      <x:c r="K6" s="33" t="str">
        <x:v>Mitigation</x:v>
      </x:c>
      <x:c r="L6" s="33" t="str">
        <x:v>Workstream</x:v>
      </x:c>
      <x:c r="M6" s="33" t="str">
        <x:v>Days at risk</x:v>
      </x:c>
      <x:c r="N6" s="34" t="str">
        <x:v>Health</x:v>
      </x:c>
    </x:row>
    <x:row r="7" ht="29" customHeight="1">
      <x:c r="A7" s="45" t="str">
        <x:v>D-01</x:v>
      </x:c>
      <x:c r="B7" s="15" t="str">
        <x:v>SSO metadata confirmation</x:v>
      </x:c>
      <x:c r="C7" s="15" t="str">
        <x:v>Platform Identity</x:v>
      </x:c>
      <x:c r="D7" s="15" t="str">
        <x:v>Identity Lead</x:v>
      </x:c>
      <x:c r="E7" s="15" t="str">
        <x:v>In progress</x:v>
      </x:c>
      <x:c r="F7" s="16" t="n">
        <x:v>46227</x:v>
      </x:c>
      <x:c r="G7" s="15" t="str">
        <x:v>High</x:v>
      </x:c>
      <x:c r="H7" s="46" t="n">
        <x:v>0.75</x:v>
      </x:c>
      <x:c r="I7" s="15" t="str">
        <x:v>M-27 pilot enrollment</x:v>
      </x:c>
      <x:c r="J7" s="15" t="str">
        <x:v>Tenant invitation</x:v>
      </x:c>
      <x:c r="K7" s="15" t="str">
        <x:v>Security review weekly</x:v>
      </x:c>
      <x:c r="L7" s="15" t="str">
        <x:v>Identity</x:v>
      </x:c>
      <x:c r="M7" s="47" t="n">
        <x:f>MAX(0,F7-$B$3)</x:f>
        <x:v>11</x:v>
      </x:c>
      <x:c r="N7" s="48" t="str">
        <x:f>IF(E7="Blocked","Red",IF(OR(E7="At risk",G7="Critical",M7&lt;14,K7=""),"Amber",IF(H7&lt;0.7,"Amber","Green")))</x:f>
        <x:v>Amber</x:v>
      </x:c>
    </x:row>
    <x:row r="8" ht="29" customHeight="1">
      <x:c r="A8" s="45" t="str">
        <x:v>D-02</x:v>
      </x:c>
      <x:c r="B8" s="15" t="str">
        <x:v>API rate-limit baseline</x:v>
      </x:c>
      <x:c r="C8" s="15" t="str">
        <x:v>Core Platform</x:v>
      </x:c>
      <x:c r="D8" s="15" t="str">
        <x:v>Platform Architect</x:v>
      </x:c>
      <x:c r="E8" s="15" t="str">
        <x:v>In progress</x:v>
      </x:c>
      <x:c r="F8" s="16" t="n">
        <x:v>46232</x:v>
      </x:c>
      <x:c r="G8" s="15" t="str">
        <x:v>Critical</x:v>
      </x:c>
      <x:c r="H8" s="46" t="n">
        <x:v>0.65</x:v>
      </x:c>
      <x:c r="I8" s="15" t="str">
        <x:v>Guided rollout API calls</x:v>
      </x:c>
      <x:c r="J8" s="15" t="str">
        <x:v>Pilot task completion</x:v>
      </x:c>
      <x:c r="K8" s="15" t="str">
        <x:v>Load-test 1,240 synthetic workspaces</x:v>
      </x:c>
      <x:c r="L8" s="15" t="str">
        <x:v>Platform</x:v>
      </x:c>
      <x:c r="M8" s="47" t="n">
        <x:f>MAX(0,F8-$B$3)</x:f>
        <x:v>16</x:v>
      </x:c>
      <x:c r="N8" s="48" t="str">
        <x:f>IF(E8="Blocked","Red",IF(OR(E8="At risk",G8="Critical",M8&lt;14,K8=""),"Amber",IF(H8&lt;0.7,"Amber","Green")))</x:f>
        <x:v>Amber</x:v>
      </x:c>
    </x:row>
    <x:row r="9" ht="29" customHeight="1">
      <x:c r="A9" s="45" t="str">
        <x:v>D-03</x:v>
      </x:c>
      <x:c r="B9" s="15" t="str">
        <x:v>Event taxonomy v3</x:v>
      </x:c>
      <x:c r="C9" s="15" t="str">
        <x:v>Data Foundations</x:v>
      </x:c>
      <x:c r="D9" s="15" t="str">
        <x:v>Analytics PM</x:v>
      </x:c>
      <x:c r="E9" s="15" t="str">
        <x:v>At risk</x:v>
      </x:c>
      <x:c r="F9" s="16" t="n">
        <x:v>46237</x:v>
      </x:c>
      <x:c r="G9" s="15" t="str">
        <x:v>High</x:v>
      </x:c>
      <x:c r="H9" s="46" t="n">
        <x:v>0.55</x:v>
      </x:c>
      <x:c r="I9" s="15" t="str">
        <x:v>Adoption instrumentation</x:v>
      </x:c>
      <x:c r="J9" s="15" t="str">
        <x:v>Weekly adoption scorecard</x:v>
      </x:c>
      <x:c r="K9" s="15" t="str">
        <x:v>Freeze v2 mapping and backfill</x:v>
      </x:c>
      <x:c r="L9" s="15" t="str">
        <x:v>Analytics</x:v>
      </x:c>
      <x:c r="M9" s="47" t="n">
        <x:f>MAX(0,F9-$B$3)</x:f>
        <x:v>21</x:v>
      </x:c>
      <x:c r="N9" s="48" t="str">
        <x:f>IF(E9="Blocked","Red",IF(OR(E9="At risk",G9="Critical",M9&lt;14,K9=""),"Amber",IF(H9&lt;0.7,"Amber","Green")))</x:f>
        <x:v>Amber</x:v>
      </x:c>
    </x:row>
    <x:row r="10" ht="29" customHeight="1">
      <x:c r="A10" s="45" t="str">
        <x:v>D-04</x:v>
      </x:c>
      <x:c r="B10" s="15" t="str">
        <x:v>Consent copy approval</x:v>
      </x:c>
      <x:c r="C10" s="15" t="str">
        <x:v>Trust Operations</x:v>
      </x:c>
      <x:c r="D10" s="15" t="str">
        <x:v>Privacy Counsel</x:v>
      </x:c>
      <x:c r="E10" s="15" t="str">
        <x:v>In progress</x:v>
      </x:c>
      <x:c r="F10" s="16" t="n">
        <x:v>46234</x:v>
      </x:c>
      <x:c r="G10" s="15" t="str">
        <x:v>Medium</x:v>
      </x:c>
      <x:c r="H10" s="46" t="n">
        <x:v>0.85</x:v>
      </x:c>
      <x:c r="I10" s="15" t="str">
        <x:v>Invite experience</x:v>
      </x:c>
      <x:c r="J10" s="15" t="str">
        <x:v>Pilot activation</x:v>
      </x:c>
      <x:c r="K10" s="15" t="str">
        <x:v>Pre-review localized variants</x:v>
      </x:c>
      <x:c r="L10" s="15" t="str">
        <x:v>Trust</x:v>
      </x:c>
      <x:c r="M10" s="47" t="n">
        <x:f>MAX(0,F10-$B$3)</x:f>
        <x:v>18</x:v>
      </x:c>
      <x:c r="N10" s="48" t="str">
        <x:f>IF(E10="Blocked","Red",IF(OR(E10="At risk",G10="Critical",M10&lt;14,K10=""),"Amber",IF(H10&lt;0.7,"Amber","Green")))</x:f>
        <x:v>Green</x:v>
      </x:c>
    </x:row>
    <x:row r="11" ht="29" customHeight="1">
      <x:c r="A11" s="45" t="str">
        <x:v>D-05</x:v>
      </x:c>
      <x:c r="B11" s="15" t="str">
        <x:v>Lifecycle email templates</x:v>
      </x:c>
      <x:c r="C11" s="15" t="str">
        <x:v>Growth Operations</x:v>
      </x:c>
      <x:c r="D11" s="15" t="str">
        <x:v>Lifecycle Manager</x:v>
      </x:c>
      <x:c r="E11" s="15" t="str">
        <x:v>On track</x:v>
      </x:c>
      <x:c r="F11" s="16" t="n">
        <x:v>46241</x:v>
      </x:c>
      <x:c r="G11" s="15" t="str">
        <x:v>Medium</x:v>
      </x:c>
      <x:c r="H11" s="46" t="n">
        <x:v>0.9</x:v>
      </x:c>
      <x:c r="I11" s="15" t="str">
        <x:v>Activation nudges</x:v>
      </x:c>
      <x:c r="J11" s="15" t="str">
        <x:v>Adoption lift</x:v>
      </x:c>
      <x:c r="K11" s="15" t="str">
        <x:v>Use approved copy modules</x:v>
      </x:c>
      <x:c r="L11" s="15" t="str">
        <x:v>Growth</x:v>
      </x:c>
      <x:c r="M11" s="47" t="n">
        <x:f>MAX(0,F11-$B$3)</x:f>
        <x:v>25</x:v>
      </x:c>
      <x:c r="N11" s="48" t="str">
        <x:f>IF(E11="Blocked","Red",IF(OR(E11="At risk",G11="Critical",M11&lt;14,K11=""),"Amber",IF(H11&lt;0.7,"Amber","Green")))</x:f>
        <x:v>Green</x:v>
      </x:c>
    </x:row>
    <x:row r="12" ht="29" customHeight="1">
      <x:c r="A12" s="45" t="str">
        <x:v>D-06</x:v>
      </x:c>
      <x:c r="B12" s="15" t="str">
        <x:v>Support runbook training</x:v>
      </x:c>
      <x:c r="C12" s="15" t="str">
        <x:v>Customer Experience</x:v>
      </x:c>
      <x:c r="D12" s="15" t="str">
        <x:v>Support Enablement</x:v>
      </x:c>
      <x:c r="E12" s="15" t="str">
        <x:v>In progress</x:v>
      </x:c>
      <x:c r="F12" s="16" t="n">
        <x:v>46248</x:v>
      </x:c>
      <x:c r="G12" s="15" t="str">
        <x:v>High</x:v>
      </x:c>
      <x:c r="H12" s="46" t="n">
        <x:v>0.7</x:v>
      </x:c>
      <x:c r="I12" s="15" t="str">
        <x:v>Guided rollout readiness</x:v>
      </x:c>
      <x:c r="J12" s="15" t="str">
        <x:v>Escalation response</x:v>
      </x:c>
      <x:c r="K12" s="15" t="str">
        <x:v>Train 18 regional agents</x:v>
      </x:c>
      <x:c r="L12" s="15" t="str">
        <x:v>CX</x:v>
      </x:c>
      <x:c r="M12" s="47" t="n">
        <x:f>MAX(0,F12-$B$3)</x:f>
        <x:v>32</x:v>
      </x:c>
      <x:c r="N12" s="48" t="str">
        <x:f>IF(E12="Blocked","Red",IF(OR(E12="At risk",G12="Critical",M12&lt;14,K12=""),"Amber",IF(H12&lt;0.7,"Amber","Green")))</x:f>
        <x:v>Green</x:v>
      </x:c>
    </x:row>
    <x:row r="13" ht="29" customHeight="1">
      <x:c r="A13" s="45" t="str">
        <x:v>D-07</x:v>
      </x:c>
      <x:c r="B13" s="15" t="str">
        <x:v>Billing entitlement mapping</x:v>
      </x:c>
      <x:c r="C13" s="15" t="str">
        <x:v>Monetization Systems</x:v>
      </x:c>
      <x:c r="D13" s="15" t="str">
        <x:v>Billing Product Lead</x:v>
      </x:c>
      <x:c r="E13" s="15" t="str">
        <x:v>Blocked</x:v>
      </x:c>
      <x:c r="F13" s="16" t="n">
        <x:v>46244</x:v>
      </x:c>
      <x:c r="G13" s="15" t="str">
        <x:v>Critical</x:v>
      </x:c>
      <x:c r="H13" s="46" t="n">
        <x:v>0.4</x:v>
      </x:c>
      <x:c r="I13" s="15" t="str">
        <x:v>Feature access check</x:v>
      </x:c>
      <x:c r="J13" s="15" t="str">
        <x:v>Pilot enrollment</x:v>
      </x:c>
      <x:c r="K13" s="15" t="str">
        <x:v>Fallback to allowlist for beta</x:v>
      </x:c>
      <x:c r="L13" s="15" t="str">
        <x:v>Monetization</x:v>
      </x:c>
      <x:c r="M13" s="47" t="n">
        <x:f>MAX(0,F13-$B$3)</x:f>
        <x:v>28</x:v>
      </x:c>
      <x:c r="N13" s="48" t="str">
        <x:f>IF(E13="Blocked","Red",IF(OR(E13="At risk",G13="Critical",M13&lt;14,K13=""),"Amber",IF(H13&lt;0.7,"Amber","Green")))</x:f>
        <x:v>Red</x:v>
      </x:c>
    </x:row>
    <x:row r="14" ht="29" customHeight="1">
      <x:c r="A14" s="45" t="str">
        <x:v>D-08</x:v>
      </x:c>
      <x:c r="B14" s="15" t="str">
        <x:v>Workspace migration dry run</x:v>
      </x:c>
      <x:c r="C14" s="15" t="str">
        <x:v>Delivery Engineering</x:v>
      </x:c>
      <x:c r="D14" s="15" t="str">
        <x:v>Migration Manager</x:v>
      </x:c>
      <x:c r="E14" s="15" t="str">
        <x:v>At risk</x:v>
      </x:c>
      <x:c r="F14" s="16" t="n">
        <x:v>46251</x:v>
      </x:c>
      <x:c r="G14" s="15" t="str">
        <x:v>High</x:v>
      </x:c>
      <x:c r="H14" s="46" t="n">
        <x:v>0.6</x:v>
      </x:c>
      <x:c r="I14" s="15" t="str">
        <x:v>Existing customer eligibility</x:v>
      </x:c>
      <x:c r="J14" s="15" t="str">
        <x:v>Cohort expansion</x:v>
      </x:c>
      <x:c r="K14" s="15" t="str">
        <x:v>Run 100-workspace rehearsal</x:v>
      </x:c>
      <x:c r="L14" s="15" t="str">
        <x:v>Delivery</x:v>
      </x:c>
      <x:c r="M14" s="47" t="n">
        <x:f>MAX(0,F14-$B$3)</x:f>
        <x:v>35</x:v>
      </x:c>
      <x:c r="N14" s="48" t="str">
        <x:f>IF(E14="Blocked","Red",IF(OR(E14="At risk",G14="Critical",M14&lt;14,K14=""),"Amber",IF(H14&lt;0.7,"Amber","Green")))</x:f>
        <x:v>Amber</x:v>
      </x:c>
    </x:row>
    <x:row r="15" ht="29" customHeight="1">
      <x:c r="A15" s="45" t="str">
        <x:v>D-09</x:v>
      </x:c>
      <x:c r="B15" s="15" t="str">
        <x:v>Accessibility audit</x:v>
      </x:c>
      <x:c r="C15" s="15" t="str">
        <x:v>Experience Quality</x:v>
      </x:c>
      <x:c r="D15" s="15" t="str">
        <x:v>Accessibility Lead</x:v>
      </x:c>
      <x:c r="E15" s="15" t="str">
        <x:v>In progress</x:v>
      </x:c>
      <x:c r="F15" s="16" t="n">
        <x:v>46255</x:v>
      </x:c>
      <x:c r="G15" s="15" t="str">
        <x:v>Medium</x:v>
      </x:c>
      <x:c r="H15" s="46" t="n">
        <x:v>0.8</x:v>
      </x:c>
      <x:c r="I15" s="15" t="str">
        <x:v>Release candidate</x:v>
      </x:c>
      <x:c r="J15" s="15" t="str">
        <x:v>M-27 gate evidence</x:v>
      </x:c>
      <x:c r="K15" s="15" t="str">
        <x:v>Test screen reader flow and keyboard nav</x:v>
      </x:c>
      <x:c r="L15" s="15" t="str">
        <x:v>Quality</x:v>
      </x:c>
      <x:c r="M15" s="47" t="n">
        <x:f>MAX(0,F15-$B$3)</x:f>
        <x:v>39</x:v>
      </x:c>
      <x:c r="N15" s="48" t="str">
        <x:f>IF(E15="Blocked","Red",IF(OR(E15="At risk",G15="Critical",M15&lt;14,K15=""),"Amber",IF(H15&lt;0.7,"Amber","Green")))</x:f>
        <x:v>Green</x:v>
      </x:c>
    </x:row>
    <x:row r="16" ht="29" customHeight="1">
      <x:c r="A16" s="45" t="str">
        <x:v>D-10</x:v>
      </x:c>
      <x:c r="B16" s="15" t="str">
        <x:v>Partner integration sandbox</x:v>
      </x:c>
      <x:c r="C16" s="15" t="str">
        <x:v>Partner Engineering</x:v>
      </x:c>
      <x:c r="D16" s="15" t="str">
        <x:v>Partner Manager</x:v>
      </x:c>
      <x:c r="E16" s="15" t="str">
        <x:v>At risk</x:v>
      </x:c>
      <x:c r="F16" s="16" t="n">
        <x:v>46252</x:v>
      </x:c>
      <x:c r="G16" s="15" t="str">
        <x:v>High</x:v>
      </x:c>
      <x:c r="H16" s="46" t="n">
        <x:v>0.5</x:v>
      </x:c>
      <x:c r="I16" s="15" t="str">
        <x:v>Partner workflow validation</x:v>
      </x:c>
      <x:c r="J16" s="15" t="str">
        <x:v>Partner cohort entry</x:v>
      </x:c>
      <x:c r="K16" s="15" t="str">
        <x:v>Hold twice-weekly sandbox office hours</x:v>
      </x:c>
      <x:c r="L16" s="15" t="str">
        <x:v>Partners</x:v>
      </x:c>
      <x:c r="M16" s="47" t="n">
        <x:f>MAX(0,F16-$B$3)</x:f>
        <x:v>36</x:v>
      </x:c>
      <x:c r="N16" s="48" t="str">
        <x:f>IF(E16="Blocked","Red",IF(OR(E16="At risk",G16="Critical",M16&lt;14,K16=""),"Amber",IF(H16&lt;0.7,"Amber","Green")))</x:f>
        <x:v>Amber</x:v>
      </x:c>
    </x:row>
    <x:row r="17" ht="29" customHeight="1">
      <x:c r="A17" s="45" t="str">
        <x:v>D-11</x:v>
      </x:c>
      <x:c r="B17" s="15" t="str">
        <x:v>Security threat assessment</x:v>
      </x:c>
      <x:c r="C17" s="15" t="str">
        <x:v>Product Security</x:v>
      </x:c>
      <x:c r="D17" s="15" t="str">
        <x:v>Security Architect</x:v>
      </x:c>
      <x:c r="E17" s="15" t="str">
        <x:v>On track</x:v>
      </x:c>
      <x:c r="F17" s="16" t="n">
        <x:v>46246</x:v>
      </x:c>
      <x:c r="G17" s="15" t="str">
        <x:v>Critical</x:v>
      </x:c>
      <x:c r="H17" s="46" t="n">
        <x:v>0.9</x:v>
      </x:c>
      <x:c r="I17" s="15" t="str">
        <x:v>Release candidate</x:v>
      </x:c>
      <x:c r="J17" s="15" t="str">
        <x:v>M-27 gate evidence</x:v>
      </x:c>
      <x:c r="K17" s="15" t="str">
        <x:v>Track findings in security triage</x:v>
      </x:c>
      <x:c r="L17" s="15" t="str">
        <x:v>Security</x:v>
      </x:c>
      <x:c r="M17" s="47" t="n">
        <x:f>MAX(0,F17-$B$3)</x:f>
        <x:v>30</x:v>
      </x:c>
      <x:c r="N17" s="48" t="str">
        <x:f>IF(E17="Blocked","Red",IF(OR(E17="At risk",G17="Critical",M17&lt;14,K17=""),"Amber",IF(H17&lt;0.7,"Amber","Green")))</x:f>
        <x:v>Amber</x:v>
      </x:c>
    </x:row>
    <x:row r="18" ht="29" customHeight="1">
      <x:c r="A18" s="45" t="str">
        <x:v>D-12</x:v>
      </x:c>
      <x:c r="B18" s="15" t="str">
        <x:v>Legal DPA addendum</x:v>
      </x:c>
      <x:c r="C18" s="15" t="str">
        <x:v>Commercial Legal</x:v>
      </x:c>
      <x:c r="D18" s="15" t="str">
        <x:v>Commercial Counsel</x:v>
      </x:c>
      <x:c r="E18" s="15" t="str">
        <x:v>In progress</x:v>
      </x:c>
      <x:c r="F18" s="16" t="n">
        <x:v>46262</x:v>
      </x:c>
      <x:c r="G18" s="15" t="str">
        <x:v>High</x:v>
      </x:c>
      <x:c r="H18" s="46" t="n">
        <x:v>0.7</x:v>
      </x:c>
      <x:c r="I18" s="15" t="str">
        <x:v>Enterprise pilot contracts</x:v>
      </x:c>
      <x:c r="J18" s="15" t="str">
        <x:v>Enterprise cohort entry</x:v>
      </x:c>
      <x:c r="K18" s="15" t="str">
        <x:v>Use standard addendum with redline SLA</x:v>
      </x:c>
      <x:c r="L18" s="15" t="str">
        <x:v>Legal</x:v>
      </x:c>
      <x:c r="M18" s="47" t="n">
        <x:f>MAX(0,F18-$B$3)</x:f>
        <x:v>46</x:v>
      </x:c>
      <x:c r="N18" s="48" t="str">
        <x:f>IF(E18="Blocked","Red",IF(OR(E18="At risk",G18="Critical",M18&lt;14,K18=""),"Amber",IF(H18&lt;0.7,"Amber","Green")))</x:f>
        <x:v>Green</x:v>
      </x:c>
    </x:row>
    <x:row r="19" ht="29" customHeight="1">
      <x:c r="A19" s="45" t="str">
        <x:v>D-13</x:v>
      </x:c>
      <x:c r="B19" s="15" t="str">
        <x:v>In-app guidance localization</x:v>
      </x:c>
      <x:c r="C19" s="15" t="str">
        <x:v>Content Design</x:v>
      </x:c>
      <x:c r="D19" s="15" t="str">
        <x:v>Content Strategist</x:v>
      </x:c>
      <x:c r="E19" s="15" t="str">
        <x:v>On track</x:v>
      </x:c>
      <x:c r="F19" s="16" t="n">
        <x:v>46258</x:v>
      </x:c>
      <x:c r="G19" s="15" t="str">
        <x:v>Medium</x:v>
      </x:c>
      <x:c r="H19" s="46" t="n">
        <x:v>0.88</x:v>
      </x:c>
      <x:c r="I19" s="15" t="str">
        <x:v>International pilot</x:v>
      </x:c>
      <x:c r="J19" s="15" t="str">
        <x:v>Activation completion</x:v>
      </x:c>
      <x:c r="K19" s="15" t="str">
        <x:v>Prioritize JP and DE critical paths</x:v>
      </x:c>
      <x:c r="L19" s="15" t="str">
        <x:v>Content</x:v>
      </x:c>
      <x:c r="M19" s="47" t="n">
        <x:f>MAX(0,F19-$B$3)</x:f>
        <x:v>42</x:v>
      </x:c>
      <x:c r="N19" s="48" t="str">
        <x:f>IF(E19="Blocked","Red",IF(OR(E19="At risk",G19="Critical",M19&lt;14,K19=""),"Amber",IF(H19&lt;0.7,"Amber","Green")))</x:f>
        <x:v>Green</x:v>
      </x:c>
    </x:row>
    <x:row r="20" ht="29" customHeight="1">
      <x:c r="A20" s="45" t="str">
        <x:v>D-14</x:v>
      </x:c>
      <x:c r="B20" s="15" t="str">
        <x:v>Experiment flag provisioning</x:v>
      </x:c>
      <x:c r="C20" s="15" t="str">
        <x:v>Release Engineering</x:v>
      </x:c>
      <x:c r="D20" s="15" t="str">
        <x:v>Release Manager</x:v>
      </x:c>
      <x:c r="E20" s="15" t="str">
        <x:v>On track</x:v>
      </x:c>
      <x:c r="F20" s="16" t="n">
        <x:v>46239</x:v>
      </x:c>
      <x:c r="G20" s="15" t="str">
        <x:v>High</x:v>
      </x:c>
      <x:c r="H20" s="46" t="n">
        <x:v>0.92</x:v>
      </x:c>
      <x:c r="I20" s="15" t="str">
        <x:v>Cohort controls</x:v>
      </x:c>
      <x:c r="J20" s="15" t="str">
        <x:v>Staged rollout</x:v>
      </x:c>
      <x:c r="K20" s="15" t="str">
        <x:v>Validate kill switch in preprod</x:v>
      </x:c>
      <x:c r="L20" s="15" t="str">
        <x:v>Release</x:v>
      </x:c>
      <x:c r="M20" s="47" t="n">
        <x:f>MAX(0,F20-$B$3)</x:f>
        <x:v>23</x:v>
      </x:c>
      <x:c r="N20" s="48" t="str">
        <x:f>IF(E20="Blocked","Red",IF(OR(E20="At risk",G20="Critical",M20&lt;14,K20=""),"Amber",IF(H20&lt;0.7,"Amber","Green")))</x:f>
        <x:v>Green</x:v>
      </x:c>
    </x:row>
    <x:row r="21" ht="29" customHeight="1">
      <x:c r="A21" s="45" t="str">
        <x:v>D-15</x:v>
      </x:c>
      <x:c r="B21" s="15" t="str">
        <x:v>Data retention job validation</x:v>
      </x:c>
      <x:c r="C21" s="15" t="str">
        <x:v>Data Infrastructure</x:v>
      </x:c>
      <x:c r="D21" s="15" t="str">
        <x:v>Data Steward</x:v>
      </x:c>
      <x:c r="E21" s="15" t="str">
        <x:v>In progress</x:v>
      </x:c>
      <x:c r="F21" s="16" t="n">
        <x:v>46260</x:v>
      </x:c>
      <x:c r="G21" s="15" t="str">
        <x:v>High</x:v>
      </x:c>
      <x:c r="H21" s="46" t="n">
        <x:v>0.73</x:v>
      </x:c>
      <x:c r="I21" s="15" t="str">
        <x:v>Compliance signoff</x:v>
      </x:c>
      <x:c r="J21" s="15" t="str">
        <x:v>M-27 gate evidence</x:v>
      </x:c>
      <x:c r="K21" s="15" t="str">
        <x:v>Run retention job against synthetic cohort</x:v>
      </x:c>
      <x:c r="L21" s="15" t="str">
        <x:v>Data</x:v>
      </x:c>
      <x:c r="M21" s="47" t="n">
        <x:f>MAX(0,F21-$B$3)</x:f>
        <x:v>44</x:v>
      </x:c>
      <x:c r="N21" s="48" t="str">
        <x:f>IF(E21="Blocked","Red",IF(OR(E21="At risk",G21="Critical",M21&lt;14,K21=""),"Amber",IF(H21&lt;0.7,"Amber","Green")))</x:f>
        <x:v>Green</x:v>
      </x:c>
    </x:row>
    <x:row r="22" ht="29" customHeight="1">
      <x:c r="A22" s="45" t="str">
        <x:v>D-16</x:v>
      </x:c>
      <x:c r="B22" s="15" t="str">
        <x:v>Sales enablement brief</x:v>
      </x:c>
      <x:c r="C22" s="15" t="str">
        <x:v>Revenue Enablement</x:v>
      </x:c>
      <x:c r="D22" s="15" t="str">
        <x:v>Field Enablement Lead</x:v>
      </x:c>
      <x:c r="E22" s="15" t="str">
        <x:v>On track</x:v>
      </x:c>
      <x:c r="F22" s="16" t="n">
        <x:v>46253</x:v>
      </x:c>
      <x:c r="G22" s="15" t="str">
        <x:v>Low</x:v>
      </x:c>
      <x:c r="H22" s="46" t="n">
        <x:v>0.95</x:v>
      </x:c>
      <x:c r="I22" s="15" t="str">
        <x:v>Field feedback loop</x:v>
      </x:c>
      <x:c r="J22" s="15" t="str">
        <x:v>Pipeline visibility</x:v>
      </x:c>
      <x:c r="K22" s="15" t="str">
        <x:v>Publish FAQ and objection guide</x:v>
      </x:c>
      <x:c r="L22" s="15" t="str">
        <x:v>Revenue</x:v>
      </x:c>
      <x:c r="M22" s="47" t="n">
        <x:f>MAX(0,F22-$B$3)</x:f>
        <x:v>37</x:v>
      </x:c>
      <x:c r="N22" s="48" t="str">
        <x:f>IF(E22="Blocked","Red",IF(OR(E22="At risk",G22="Critical",M22&lt;14,K22=""),"Amber",IF(H22&lt;0.7,"Amber","Green")))</x:f>
        <x:v>Green</x:v>
      </x:c>
    </x:row>
    <x:row r="23" ht="29" customHeight="1">
      <x:c r="A23" s="45" t="str">
        <x:v>D-17</x:v>
      </x:c>
      <x:c r="B23" s="15" t="str">
        <x:v>Mobile notification service check</x:v>
      </x:c>
      <x:c r="C23" s="15" t="str">
        <x:v>Mobile Platform</x:v>
      </x:c>
      <x:c r="D23" s="15" t="str">
        <x:v>Mobile Engineering Lead</x:v>
      </x:c>
      <x:c r="E23" s="15" t="str">
        <x:v>At risk</x:v>
      </x:c>
      <x:c r="F23" s="16" t="n">
        <x:v>46250</x:v>
      </x:c>
      <x:c r="G23" s="15" t="str">
        <x:v>Medium</x:v>
      </x:c>
      <x:c r="H23" s="46" t="n">
        <x:v>0.58</x:v>
      </x:c>
      <x:c r="I23" s="15" t="str">
        <x:v>Mobile activation</x:v>
      </x:c>
      <x:c r="J23" s="15" t="str">
        <x:v>Activation completion</x:v>
      </x:c>
      <x:c r="K23" s="15" t="str">
        <x:v>Use email fallback for unsupported devices</x:v>
      </x:c>
      <x:c r="L23" s="15" t="str">
        <x:v>Mobile</x:v>
      </x:c>
      <x:c r="M23" s="47" t="n">
        <x:f>MAX(0,F23-$B$3)</x:f>
        <x:v>34</x:v>
      </x:c>
      <x:c r="N23" s="48" t="str">
        <x:f>IF(E23="Blocked","Red",IF(OR(E23="At risk",G23="Critical",M23&lt;14,K23=""),"Amber",IF(H23&lt;0.7,"Amber","Green")))</x:f>
        <x:v>Amber</x:v>
      </x:c>
    </x:row>
    <x:row r="24" ht="29" customHeight="1">
      <x:c r="A24" s="45" t="str">
        <x:v>D-18</x:v>
      </x:c>
      <x:c r="B24" s="15" t="str">
        <x:v>Provisioning SLA confirmation</x:v>
      </x:c>
      <x:c r="C24" s="15" t="str">
        <x:v>Customer Operations</x:v>
      </x:c>
      <x:c r="D24" s="15" t="str">
        <x:v>Operations Lead</x:v>
      </x:c>
      <x:c r="E24" s="15" t="str">
        <x:v>In progress</x:v>
      </x:c>
      <x:c r="F24" s="16" t="n">
        <x:v>46245</x:v>
      </x:c>
      <x:c r="G24" s="15" t="str">
        <x:v>High</x:v>
      </x:c>
      <x:c r="H24" s="46" t="n">
        <x:v>0.78</x:v>
      </x:c>
      <x:c r="I24" s="15" t="str">
        <x:v>Pilot onboarding</x:v>
      </x:c>
      <x:c r="J24" s="15" t="str">
        <x:v>Time-to-value</x:v>
      </x:c>
      <x:c r="K24" s="15" t="str">
        <x:v>Measure queue with 48h response target</x:v>
      </x:c>
      <x:c r="L24" s="15" t="str">
        <x:v>Operations</x:v>
      </x:c>
      <x:c r="M24" s="47" t="n">
        <x:f>MAX(0,F24-$B$3)</x:f>
        <x:v>29</x:v>
      </x:c>
      <x:c r="N24" s="48" t="str">
        <x:f>IF(E24="Blocked","Red",IF(OR(E24="At risk",G24="Critical",M24&lt;14,K24=""),"Amber",IF(H24&lt;0.7,"Amber","Green")))</x:f>
        <x:v>Green</x:v>
      </x:c>
    </x:row>
    <x:row r="25" ht="29" customHeight="1">
      <x:c r="A25" s="45" t="str">
        <x:v>D-19</x:v>
      </x:c>
      <x:c r="B25" s="15" t="str">
        <x:v>Usage export schema</x:v>
      </x:c>
      <x:c r="C25" s="15" t="str">
        <x:v>Reporting Platform</x:v>
      </x:c>
      <x:c r="D25" s="15" t="str">
        <x:v>Reporting PM</x:v>
      </x:c>
      <x:c r="E25" s="15" t="str">
        <x:v>On track</x:v>
      </x:c>
      <x:c r="F25" s="16" t="n">
        <x:v>46266</x:v>
      </x:c>
      <x:c r="G25" s="15" t="str">
        <x:v>Medium</x:v>
      </x:c>
      <x:c r="H25" s="46" t="n">
        <x:v>0.86</x:v>
      </x:c>
      <x:c r="I25" s="15" t="str">
        <x:v>Admin reporting</x:v>
      </x:c>
      <x:c r="J25" s="15" t="str">
        <x:v>Pilot renewal signal</x:v>
      </x:c>
      <x:c r="K25" s="15" t="str">
        <x:v>Ship v1 fields with documented gaps</x:v>
      </x:c>
      <x:c r="L25" s="15" t="str">
        <x:v>Reporting</x:v>
      </x:c>
      <x:c r="M25" s="47" t="n">
        <x:f>MAX(0,F25-$B$3)</x:f>
        <x:v>50</x:v>
      </x:c>
      <x:c r="N25" s="48" t="str">
        <x:f>IF(E25="Blocked","Red",IF(OR(E25="At risk",G25="Critical",M25&lt;14,K25=""),"Amber",IF(H25&lt;0.7,"Amber","Green")))</x:f>
        <x:v>Green</x:v>
      </x:c>
    </x:row>
    <x:row r="26" ht="29" customHeight="1">
      <x:c r="A26" s="45" t="str">
        <x:v>D-20</x:v>
      </x:c>
      <x:c r="B26" s="15" t="str">
        <x:v>Executive gate packet</x:v>
      </x:c>
      <x:c r="C26" s="15" t="str">
        <x:v>Program Management</x:v>
      </x:c>
      <x:c r="D26" s="15" t="str">
        <x:v>Program Director</x:v>
      </x:c>
      <x:c r="E26" s="15" t="str">
        <x:v>In progress</x:v>
      </x:c>
      <x:c r="F26" s="16" t="n">
        <x:v>46276</x:v>
      </x:c>
      <x:c r="G26" s="15" t="str">
        <x:v>Critical</x:v>
      </x:c>
      <x:c r="H26" s="46" t="n">
        <x:v>0.68</x:v>
      </x:c>
      <x:c r="I26" s="15" t="str">
        <x:v>M-27 guided rollout gate</x:v>
      </x:c>
      <x:c r="J26" s="15" t="str">
        <x:v>2026-09-18 gate decision</x:v>
      </x:c>
      <x:c r="K26" s="15" t="str">
        <x:v>Refresh evidence every Friday</x:v>
      </x:c>
      <x:c r="L26" s="15" t="str">
        <x:v>Program</x:v>
      </x:c>
      <x:c r="M26" s="47" t="n">
        <x:f>MAX(0,F26-$B$3)</x:f>
        <x:v>60</x:v>
      </x:c>
      <x:c r="N26" s="48" t="str">
        <x:f>IF(E26="Blocked","Red",IF(OR(E26="At risk",G26="Critical",M26&lt;14,K26=""),"Amber",IF(H26&lt;0.7,"Amber","Green")))</x:f>
        <x:v>Amber</x:v>
      </x:c>
    </x:row>
    <x:row r="27" ht="29" customHeight="1">
      <x:c r="A27" s="45" t="str">
        <x:v>D-21</x:v>
      </x:c>
      <x:c r="B27" s="15" t="str">
        <x:v>Synthetic workspace load test</x:v>
      </x:c>
      <x:c r="C27" s="15" t="str">
        <x:v>Quality Engineering</x:v>
      </x:c>
      <x:c r="D27" s="15" t="str">
        <x:v>Performance Lead</x:v>
      </x:c>
      <x:c r="E27" s="15" t="str">
        <x:v>At risk</x:v>
      </x:c>
      <x:c r="F27" s="16" t="n">
        <x:v>46243</x:v>
      </x:c>
      <x:c r="G27" s="15" t="str">
        <x:v>Critical</x:v>
      </x:c>
      <x:c r="H27" s="46" t="n">
        <x:v>0.52</x:v>
      </x:c>
      <x:c r="I27" s="15" t="str">
        <x:v>API baseline</x:v>
      </x:c>
      <x:c r="J27" s="15" t="str">
        <x:v>M-27 gate evidence</x:v>
      </x:c>
      <x:c r="K27" s="15" t="str">
        <x:v>Simulate 1,240 workspaces with 20% burst</x:v>
      </x:c>
      <x:c r="L27" s="15" t="str">
        <x:v>Quality</x:v>
      </x:c>
      <x:c r="M27" s="47" t="n">
        <x:f>MAX(0,F27-$B$3)</x:f>
        <x:v>27</x:v>
      </x:c>
      <x:c r="N27" s="48" t="str">
        <x:f>IF(E27="Blocked","Red",IF(OR(E27="At risk",G27="Critical",M27&lt;14,K27=""),"Amber",IF(H27&lt;0.7,"Amber","Green")))</x:f>
        <x:v>Amber</x:v>
      </x:c>
    </x:row>
    <x:row r="28" ht="29" customHeight="1">
      <x:c r="A28" s="49" t="str">
        <x:v>D-22</x:v>
      </x:c>
      <x:c r="B28" s="50" t="str">
        <x:v>Adoption cohort definition</x:v>
      </x:c>
      <x:c r="C28" s="50" t="str">
        <x:v>Product Analytics</x:v>
      </x:c>
      <x:c r="D28" s="50" t="str">
        <x:v>Insights Lead</x:v>
      </x:c>
      <x:c r="E28" s="50" t="str">
        <x:v>On track</x:v>
      </x:c>
      <x:c r="F28" s="51" t="n">
        <x:v>46230</x:v>
      </x:c>
      <x:c r="G28" s="50" t="str">
        <x:v>High</x:v>
      </x:c>
      <x:c r="H28" s="52" t="n">
        <x:v>0.89</x:v>
      </x:c>
      <x:c r="I28" s="50" t="str">
        <x:v>18.4% to 26.0% target</x:v>
      </x:c>
      <x:c r="J28" s="50" t="str">
        <x:v>Weekly adoption scorecard</x:v>
      </x:c>
      <x:c r="K28" s="50" t="str">
        <x:v>Lock denominator and cohort exclusions</x:v>
      </x:c>
      <x:c r="L28" s="50" t="str">
        <x:v>Analytics</x:v>
      </x:c>
      <x:c r="M28" s="53" t="n">
        <x:f>MAX(0,F28-$B$3)</x:f>
        <x:v>14</x:v>
      </x:c>
      <x:c r="N28" s="54" t="str">
        <x:f>IF(E28="Blocked","Red",IF(OR(E28="At risk",G28="Critical",M28&lt;14,K28=""),"Amber",IF(H28&lt;0.7,"Amber","Green")))</x:f>
        <x:v>Green</x:v>
      </x:c>
    </x:row>
  </x:sheetData>
  <x:mergeCells>
    <x:mergeCell ref="A1:N1"/>
    <x:mergeCell ref="A2:N2"/>
  </x:mergeCells>
  <x:conditionalFormatting sqref="E7:E28">
    <x:cfRule type="containsText" dxfId="0" priority="1" operator="containsText" text="Blocked"/>
    <x:cfRule type="containsText" dxfId="1" priority="2" operator="containsText" text="At risk"/>
  </x:conditionalFormatting>
  <x:conditionalFormatting sqref="M7:M28">
    <x:cfRule type="cellIs" dxfId="2" priority="3" operator="lessThanOrEqual">
      <x:formula>14</x:formula>
    </x:cfRule>
  </x:conditionalFormatting>
  <x:dataValidations count="2">
    <x:dataValidation type="list" sqref="E7:E28">
      <x:formula1>"On track,In progress,At risk,Blocked"</x:formula1>
    </x:dataValidation>
    <x:dataValidation type="list" sqref="G7:G28">
      <x:formula1>"Low,Medium,High,Critical"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2" hidden="0" customWidth="1"/>
    <x:col min="4" max="4" width="30" hidden="0" customWidth="1"/>
    <x:col min="5" max="5" width="14" hidden="0" customWidth="1"/>
    <x:col min="6" max="6" width="28" hidden="0" customWidth="1"/>
  </x:cols>
  <x:sheetData>
    <x:row r="1" ht="28" customHeight="1">
      <x:c r="A1" s="4" t="str">
        <x:v>Gate actions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Role-based follow-up queue. Update status and mitigation in the source register; derived health remains formula-driven.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32" t="str">
        <x:v>Escalation trigger</x:v>
      </x:c>
      <x:c r="B4" s="33" t="str">
        <x:v>Cadence</x:v>
      </x:c>
      <x:c r="C4" s="33" t="str">
        <x:v>Decision owner</x:v>
      </x:c>
      <x:c r="D4" s="33" t="str">
        <x:v>Evidence</x:v>
      </x:c>
      <x:c r="E4" s="33" t="str">
        <x:v>Next review</x:v>
      </x:c>
      <x:c r="F4" s="34" t="str">
        <x:v>Exit condition</x:v>
      </x:c>
    </x:row>
    <x:row r="5" ht="30" customHeight="1">
      <x:c r="A5" s="45" t="str">
        <x:v>Critical blocked dependency</x:v>
      </x:c>
      <x:c r="B5" s="15" t="str">
        <x:v>48 hours</x:v>
      </x:c>
      <x:c r="C5" s="15" t="str">
        <x:v>Program Director</x:v>
      </x:c>
      <x:c r="D5" s="15" t="str">
        <x:v>Owner recovery plan</x:v>
      </x:c>
      <x:c r="E5" s="15" t="str">
        <x:v>2026-07-15</x:v>
      </x:c>
      <x:c r="F5" s="48" t="str">
        <x:v>Unblock date confirmed</x:v>
      </x:c>
    </x:row>
    <x:row r="6" ht="30" customHeight="1">
      <x:c r="A6" s="45" t="str">
        <x:v>Confidence below 70%</x:v>
      </x:c>
      <x:c r="B6" s="15" t="str">
        <x:v>Weekly</x:v>
      </x:c>
      <x:c r="C6" s="15" t="str">
        <x:v>Product Manager</x:v>
      </x:c>
      <x:c r="D6" s="15" t="str">
        <x:v>Mitigation and dependency map</x:v>
      </x:c>
      <x:c r="E6" s="15" t="str">
        <x:v>2026-07-17</x:v>
      </x:c>
      <x:c r="F6" s="48" t="str">
        <x:v>Confidence at or above 70%</x:v>
      </x:c>
    </x:row>
    <x:row r="7" ht="30" customHeight="1">
      <x:c r="A7" s="45" t="str">
        <x:v>Due in 14 days</x:v>
      </x:c>
      <x:c r="B7" s="15" t="str">
        <x:v>Twice weekly</x:v>
      </x:c>
      <x:c r="C7" s="15" t="str">
        <x:v>Workstream lead</x:v>
      </x:c>
      <x:c r="D7" s="15" t="str">
        <x:v>Readiness checklist</x:v>
      </x:c>
      <x:c r="E7" s="15" t="str">
        <x:v>2026-07-16</x:v>
      </x:c>
      <x:c r="F7" s="48" t="str">
        <x:v>Acceptance evidence attached</x:v>
      </x:c>
    </x:row>
    <x:row r="8" ht="30" customHeight="1">
      <x:c r="A8" s="45" t="str">
        <x:v>Gate evidence incomplete</x:v>
      </x:c>
      <x:c r="B8" s="15" t="str">
        <x:v>Friday</x:v>
      </x:c>
      <x:c r="C8" s="15" t="str">
        <x:v>Release Manager</x:v>
      </x:c>
      <x:c r="D8" s="15" t="str">
        <x:v>M-27 evidence packet</x:v>
      </x:c>
      <x:c r="E8" s="15" t="str">
        <x:v>2026-08-28</x:v>
      </x:c>
      <x:c r="F8" s="48" t="str">
        <x:v>Gate packet accepted</x:v>
      </x:c>
    </x:row>
    <x:row r="9" ht="30" customHeight="1">
      <x:c r="A9" s="49" t="str">
        <x:v>Adoption below weekly path</x:v>
      </x:c>
      <x:c r="B9" s="50" t="str">
        <x:v>Monday</x:v>
      </x:c>
      <x:c r="C9" s="50" t="str">
        <x:v>Growth Operations</x:v>
      </x:c>
      <x:c r="D9" s="50" t="str">
        <x:v>Cohort scorecard</x:v>
      </x:c>
      <x:c r="E9" s="50" t="str">
        <x:v>2026-07-20</x:v>
      </x:c>
      <x:c r="F9" s="54" t="str">
        <x:v>Path to 26.0% restored</x:v>
      </x:c>
    </x:row>
  </x:sheetData>
  <x:mergeCells>
    <x:mergeCell ref="A1:N1"/>
    <x:mergeCell ref="A2:N2"/>
  </x:mergeCells>
  <x:pageMargins left="0.7" right="0.7" top="0.75" bottom="0.75" header="0.3" footer="0.3"/>
</x:worksheet>
</file>