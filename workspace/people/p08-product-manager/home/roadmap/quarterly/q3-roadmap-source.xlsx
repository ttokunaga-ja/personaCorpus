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98f507d01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2042360f11644aee"/>
    <x:sheet xmlns:r="http://schemas.openxmlformats.org/officeDocument/2006/relationships" name="Metrics" sheetId="2" r:id="R9763ff8f6043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12B"/>
      <x:name val="Carlito"/>
    </x:font>
    <x:font>
      <x:b/>
      <x:sz val="18"/>
      <x:color rgb="FF1021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12B"/>
      </x:patternFill>
    </x:fill>
    <x:fill>
      <x:patternFill patternType="solid">
        <x:fgColor rgb="FF50C7B3"/>
      </x:patternFill>
    </x:fill>
  </x:fills>
  <x:borders count="2">
    <x:border/>
    <x:border>
      <x:left style="thin">
        <x:color rgb="FFD6DFE3"/>
      </x:left>
      <x:right style="thin">
        <x:color rgb="FFD6DFE3"/>
      </x:right>
      <x:top style="thin">
        <x:color rgb="FFD6DFE3"/>
      </x:top>
      <x:bottom style="thin">
        <x:color rgb="FFD6DFE3"/>
      </x:bottom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  <x:xf numFmtId="0" fontId="2" fillId="3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c77282e3f4fd5" /><Relationship Type="http://schemas.openxmlformats.org/officeDocument/2006/relationships/theme" Target="/xl/theme/theme1.xml" Id="Rf8ad50ff78df4ed6" /><Relationship Type="http://schemas.openxmlformats.org/officeDocument/2006/relationships/sharedStrings" Target="/xl/sharedStrings.xml" Id="R5259ecfaff8b478e" /><Relationship Type="http://schemas.openxmlformats.org/officeDocument/2006/relationships/worksheet" Target="/xl/worksheets/sheet1.xml" Id="R2042360f11644aee" /><Relationship Type="http://schemas.openxmlformats.org/officeDocument/2006/relationships/worksheet" Target="/xl/worksheets/sheet2.xml" Id="R9763ff8f604344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Juniper Works · Product Alpha Q3 roadmap source</x:v>
      </x:c>
      <x:c r="B1" s="9"/>
      <x:c r="C1" s="9"/>
      <x:c r="D1" s="9"/>
      <x:c r="E1" s="9"/>
      <x:c r="F1" s="9"/>
      <x:c r="G1" s="9"/>
    </x:row>
    <x:row r="2">
      <x:c r="A2" s="9"/>
      <x:c r="B2" s="9"/>
      <x:c r="C2" s="9"/>
      <x:c r="D2" s="9"/>
      <x:c r="E2" s="9"/>
      <x:c r="F2" s="9"/>
      <x:c r="G2" s="9"/>
    </x:row>
    <x:row r="3">
      <x:c r="A3" s="10" t="str">
        <x:v>Workstream</x:v>
      </x:c>
      <x:c r="B3" s="10" t="str">
        <x:v>Owner role</x:v>
      </x:c>
      <x:c r="C3" s="10" t="str">
        <x:v>Start</x:v>
      </x:c>
      <x:c r="D3" s="10" t="str">
        <x:v>Gate / dependency</x:v>
      </x:c>
      <x:c r="E3" s="10" t="str">
        <x:v>Confidence</x:v>
      </x:c>
      <x:c r="F3" s="10" t="str">
        <x:v>Workspaces</x:v>
      </x:c>
      <x:c r="G3" s="10" t="str">
        <x:v>Adoption</x:v>
      </x:c>
    </x:row>
    <x:row r="4">
      <x:c r="A4" s="9" t="str">
        <x:v>Discovery closure</x:v>
      </x:c>
      <x:c r="B4" s="9" t="str">
        <x:v>PM</x:v>
      </x:c>
      <x:c r="C4" s="9" t="str">
        <x:v>2026-07-13</x:v>
      </x:c>
      <x:c r="D4" s="9" t="str">
        <x:v>Research synthesis</x:v>
      </x:c>
      <x:c r="E4" s="9" t="str">
        <x:v>High</x:v>
      </x:c>
      <x:c r="F4" s="9" t="n">
        <x:v>1240</x:v>
      </x:c>
      <x:c r="G4" s="11" t="n">
        <x:v>0.184</x:v>
      </x:c>
    </x:row>
    <x:row r="5">
      <x:c r="A5" s="9" t="str">
        <x:v>Enablement + pilot</x:v>
      </x:c>
      <x:c r="B5" s="9" t="str">
        <x:v>Enablement Lead</x:v>
      </x:c>
      <x:c r="C5" s="9" t="str">
        <x:v>2026-08-03</x:v>
      </x:c>
      <x:c r="D5" s="9" t="str">
        <x:v>Support readiness</x:v>
      </x:c>
      <x:c r="E5" s="9" t="str">
        <x:v>Medium</x:v>
      </x:c>
      <x:c r="F5" s="9" t="n">
        <x:v>1240</x:v>
      </x:c>
      <x:c r="G5" s="11" t="n">
        <x:v>0.205</x:v>
      </x:c>
    </x:row>
    <x:row r="6">
      <x:c r="A6" s="9" t="str">
        <x:v>Guided rollout</x:v>
      </x:c>
      <x:c r="B6" s="9" t="str">
        <x:v>Launch Lead</x:v>
      </x:c>
      <x:c r="C6" s="9" t="str">
        <x:v>2026-09-01</x:v>
      </x:c>
      <x:c r="D6" s="9" t="str">
        <x:v>M-27 · 2026-09-18</x:v>
      </x:c>
      <x:c r="E6" s="9" t="str">
        <x:v>Medium</x:v>
      </x:c>
      <x:c r="F6" s="9" t="n">
        <x:v>1240</x:v>
      </x:c>
      <x:c r="G6" s="11" t="n">
        <x:v>0.233</x:v>
      </x:c>
    </x:row>
    <x:row r="7">
      <x:c r="A7" s="9" t="str">
        <x:v>Q3 target</x:v>
      </x:c>
      <x:c r="B7" s="9" t="str">
        <x:v>Portfolio PM</x:v>
      </x:c>
      <x:c r="C7" s="9" t="str">
        <x:v>2026-09-30</x:v>
      </x:c>
      <x:c r="D7" s="9" t="str">
        <x:v>Gate approval</x:v>
      </x:c>
      <x:c r="E7" s="9" t="str">
        <x:v>Medium</x:v>
      </x:c>
      <x:c r="F7" s="9" t="n">
        <x:v>1240</x:v>
      </x:c>
      <x:c r="G7" s="11" t="n">
        <x:v>0.26</x:v>
      </x:c>
    </x:row>
    <x:row r="8">
      <x:c r="A8" s="9"/>
      <x:c r="B8" s="9"/>
      <x:c r="C8" s="9"/>
      <x:c r="D8" s="9"/>
      <x:c r="E8" s="9"/>
      <x:c r="F8" s="9"/>
      <x:c r="G8" s="9"/>
    </x:row>
    <x:row r="9">
      <x:c r="A9" s="12" t="str">
        <x:v>Milestone</x:v>
      </x:c>
      <x:c r="B9" s="12" t="str">
        <x:v>Decision</x:v>
      </x:c>
      <x:c r="C9" s="12" t="str">
        <x:v>Date</x:v>
      </x:c>
      <x:c r="D9" s="12" t="str">
        <x:v>Owner role</x:v>
      </x:c>
      <x:c r="E9" s="12" t="str">
        <x:v>Dependency</x:v>
      </x:c>
      <x:c r="F9" s="12" t="str">
        <x:v>Readiness</x:v>
      </x:c>
      <x:c r="G9" s="12" t="str">
        <x:v>Status</x:v>
      </x:c>
    </x:row>
    <x:row r="10">
      <x:c r="A10" s="9" t="str">
        <x:v>Discovery close</x:v>
      </x:c>
      <x:c r="B10" s="9" t="str">
        <x:v>Evidence accepted</x:v>
      </x:c>
      <x:c r="C10" s="9" t="str">
        <x:v>2026-07-31</x:v>
      </x:c>
      <x:c r="D10" s="9" t="str">
        <x:v>PM</x:v>
      </x:c>
      <x:c r="E10" s="9" t="str">
        <x:v>Research synthesis</x:v>
      </x:c>
      <x:c r="F10" s="13" t="n">
        <x:f>IF(E10="Research synthesis",0.9,0.8)</x:f>
        <x:v>0.9</x:v>
      </x:c>
      <x:c r="G10" s="9" t="str">
        <x:v>Planned</x:v>
      </x:c>
    </x:row>
    <x:row r="11">
      <x:c r="A11" s="9" t="str">
        <x:v>Pilot launch</x:v>
      </x:c>
      <x:c r="B11" s="9" t="str">
        <x:v>Enablement confirmed</x:v>
      </x:c>
      <x:c r="C11" s="9" t="str">
        <x:v>2026-08-14</x:v>
      </x:c>
      <x:c r="D11" s="9" t="str">
        <x:v>Enablement Lead</x:v>
      </x:c>
      <x:c r="E11" s="9" t="str">
        <x:v>Support readiness</x:v>
      </x:c>
      <x:c r="F11" s="13" t="n">
        <x:f>IF(E11="Support readiness",0.75,0.6)</x:f>
        <x:v>0.75</x:v>
      </x:c>
      <x:c r="G11" s="9" t="str">
        <x:v>Planned</x:v>
      </x:c>
    </x:row>
    <x:row r="12">
      <x:c r="A12" s="9" t="str">
        <x:v>M-27</x:v>
      </x:c>
      <x:c r="B12" s="9" t="str">
        <x:v>Guided rollout gate</x:v>
      </x:c>
      <x:c r="C12" s="9" t="str">
        <x:v>2026-09-18</x:v>
      </x:c>
      <x:c r="D12" s="9" t="str">
        <x:v>Launch Lead</x:v>
      </x:c>
      <x:c r="E12" s="9" t="str">
        <x:v>Executive approval</x:v>
      </x:c>
      <x:c r="F12" s="13">
        <x:f>IF(F12&gt;=0.8,1,0.7)</x:f>
      </x:c>
      <x:c r="G12" s="9" t="str">
        <x:v>Decision</x:v>
      </x:c>
    </x:row>
    <x:row r="13">
      <x:c r="A13" s="9" t="str">
        <x:v>Beta Q4</x:v>
      </x:c>
      <x:c r="B13" s="9" t="str">
        <x:v>Discovery handoff</x:v>
      </x:c>
      <x:c r="C13" s="9" t="str">
        <x:v>2026-09-28</x:v>
      </x:c>
      <x:c r="D13" s="9" t="str">
        <x:v>Beta PM</x:v>
      </x:c>
      <x:c r="E13" s="9" t="str">
        <x:v>Capacity release</x:v>
      </x:c>
      <x:c r="F13" s="13" t="n">
        <x:f>IF(G12="Decision",0.7,0.5)</x:f>
        <x:v>0.7</x:v>
      </x:c>
      <x:c r="G13" s="9" t="str">
        <x:v>Pending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8" t="str">
        <x:v>Adoption metrics · formula-driven</x:v>
      </x:c>
      <x:c r="B1" s="9"/>
      <x:c r="C1" s="9"/>
      <x:c r="D1" s="9"/>
      <x:c r="E1" s="9"/>
    </x:row>
    <x:row r="2">
      <x:c r="A2" s="9"/>
      <x:c r="B2" s="9"/>
      <x:c r="C2" s="9"/>
      <x:c r="D2" s="9"/>
      <x:c r="E2" s="9"/>
    </x:row>
    <x:row r="3">
      <x:c r="A3" s="10" t="str">
        <x:v>Period</x:v>
      </x:c>
      <x:c r="B3" s="10" t="str">
        <x:v>Adoption</x:v>
      </x:c>
      <x:c r="C3" s="10" t="str">
        <x:v>Target</x:v>
      </x:c>
      <x:c r="D3" s="10" t="str">
        <x:v>Variance</x:v>
      </x:c>
      <x:c r="E3" s="10" t="str">
        <x:v>Synthetic workspaces</x:v>
      </x:c>
    </x:row>
    <x:row r="4">
      <x:c r="A4" s="9" t="str">
        <x:v>Baseline</x:v>
      </x:c>
      <x:c r="B4" s="11" t="n">
        <x:v>0.184</x:v>
      </x:c>
      <x:c r="C4" s="11" t="n">
        <x:v>0.184</x:v>
      </x:c>
      <x:c r="D4" s="11" t="n">
        <x:f>B4-C4</x:f>
        <x:v>0</x:v>
      </x:c>
      <x:c r="E4" s="9" t="n">
        <x:v>1240</x:v>
      </x:c>
    </x:row>
    <x:row r="5">
      <x:c r="A5" s="9" t="str">
        <x:v>Aug pilot</x:v>
      </x:c>
      <x:c r="B5" s="11" t="n">
        <x:v>0.205</x:v>
      </x:c>
      <x:c r="C5" s="11" t="n">
        <x:v>0.21</x:v>
      </x:c>
      <x:c r="D5" s="11" t="n">
        <x:f>B5-C5</x:f>
        <x:v>-0.0050000000000000044</x:v>
      </x:c>
      <x:c r="E5" s="9" t="n">
        <x:v>1240</x:v>
      </x:c>
    </x:row>
    <x:row r="6">
      <x:c r="A6" s="9" t="str">
        <x:v>Sep rollout</x:v>
      </x:c>
      <x:c r="B6" s="11" t="n">
        <x:v>0.233</x:v>
      </x:c>
      <x:c r="C6" s="11" t="n">
        <x:v>0.24</x:v>
      </x:c>
      <x:c r="D6" s="11" t="n">
        <x:f>B6-C6</x:f>
        <x:v>-0.0069999999999999785</x:v>
      </x:c>
      <x:c r="E6" s="9" t="n">
        <x:v>1240</x:v>
      </x:c>
    </x:row>
    <x:row r="7">
      <x:c r="A7" s="9" t="str">
        <x:v>Q3 target</x:v>
      </x:c>
      <x:c r="B7" s="11" t="n">
        <x:v>0.26</x:v>
      </x:c>
      <x:c r="C7" s="11" t="n">
        <x:v>0.26</x:v>
      </x:c>
      <x:c r="D7" s="11" t="n">
        <x:f>B7-C7</x:f>
        <x:v>0</x:v>
      </x:c>
      <x:c r="E7" s="9" t="n">
        <x:v>1240</x:v>
      </x:c>
    </x:row>
  </x:sheetData>
  <x:mergeCells>
    <x:mergeCell ref="A1:E1"/>
  </x:mergeCells>
  <x:pageMargins left="0.7" right="0.7" top="0.75" bottom="0.75" header="0.3" footer="0.3"/>
</x:worksheet>
</file>