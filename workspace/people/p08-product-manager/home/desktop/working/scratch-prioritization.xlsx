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39358a48345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zation" sheetId="1" r:id="R14709ac8782a41f6"/>
    <x:sheet xmlns:r="http://schemas.openxmlformats.org/officeDocument/2006/relationships" name="Lists" sheetId="2" r:id="R9f4d57069d04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4E68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4"/>
      </x:patternFill>
    </x:fill>
    <x:fill>
      <x:patternFill patternType="solid">
        <x:fgColor rgb="FF2C7A7B"/>
      </x:patternFill>
    </x:fill>
  </x:fills>
  <x:borders count="10">
    <x:border/>
    <x:border>
      <x:right style="thin">
        <x:color rgb="FFD6E2E8"/>
      </x:right>
      <x:bottom style="thin">
        <x:color rgb="FFD6E2E8"/>
      </x:bottom>
    </x:border>
    <x:border>
      <x:left style="thin">
        <x:color rgb="FFD6E2E8"/>
      </x:left>
      <x:right style="thin">
        <x:color rgb="FFD6E2E8"/>
      </x:right>
      <x:bottom style="thin">
        <x:color rgb="FFD6E2E8"/>
      </x:bottom>
    </x:border>
    <x:border>
      <x:left style="thin">
        <x:color rgb="FFD6E2E8"/>
      </x:left>
      <x:bottom style="thin">
        <x:color rgb="FFD6E2E8"/>
      </x:bottom>
    </x:border>
    <x:border>
      <x:right style="thin">
        <x:color rgb="FFD6E2E8"/>
      </x:right>
      <x:top style="thin">
        <x:color rgb="FFD6E2E8"/>
      </x:top>
      <x:bottom style="thin">
        <x:color rgb="FFD6E2E8"/>
      </x:bottom>
    </x:border>
    <x:border>
      <x:left style="thin">
        <x:color rgb="FFD6E2E8"/>
      </x:left>
      <x:right style="thin">
        <x:color rgb="FFD6E2E8"/>
      </x:right>
      <x:top style="thin">
        <x:color rgb="FFD6E2E8"/>
      </x:top>
      <x:bottom style="thin">
        <x:color rgb="FFD6E2E8"/>
      </x:bottom>
    </x:border>
    <x:border>
      <x:left style="thin">
        <x:color rgb="FFD6E2E8"/>
      </x:left>
      <x:top style="thin">
        <x:color rgb="FFD6E2E8"/>
      </x:top>
      <x:bottom style="thin">
        <x:color rgb="FFD6E2E8"/>
      </x:bottom>
    </x:border>
    <x:border>
      <x:right style="thin">
        <x:color rgb="FFD6E2E8"/>
      </x:right>
      <x:top style="thin">
        <x:color rgb="FFD6E2E8"/>
      </x:top>
    </x:border>
    <x:border>
      <x:left style="thin">
        <x:color rgb="FFD6E2E8"/>
      </x:left>
      <x:right style="thin">
        <x:color rgb="FFD6E2E8"/>
      </x:right>
      <x:top style="thin">
        <x:color rgb="FFD6E2E8"/>
      </x:top>
    </x:border>
    <x:border>
      <x:left style="thin">
        <x:color rgb="FFD6E2E8"/>
      </x:left>
      <x:top style="thin">
        <x:color rgb="FFD6E2E8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42d97d16494b8d" /><Relationship Type="http://schemas.openxmlformats.org/officeDocument/2006/relationships/theme" Target="/xl/theme/theme1.xml" Id="R2ee319780f0345d1" /><Relationship Type="http://schemas.openxmlformats.org/officeDocument/2006/relationships/sharedStrings" Target="/xl/sharedStrings.xml" Id="Rb7c8c09fa2be481c" /><Relationship Type="http://schemas.openxmlformats.org/officeDocument/2006/relationships/worksheet" Target="/xl/worksheets/sheet1.xml" Id="R14709ac8782a41f6" /><Relationship Type="http://schemas.openxmlformats.org/officeDocument/2006/relationships/worksheet" Target="/xl/worksheets/sheet2.xml" Id="R9f4d57069d0444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2" hidden="0" customWidth="1"/>
    <x:col min="4" max="4" width="12" hidden="0" customWidth="1"/>
    <x:col min="5" max="5" width="13" hidden="0" customWidth="1"/>
    <x:col min="6" max="6" width="12" hidden="0" customWidth="1"/>
    <x:col min="7" max="7" width="12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</x:cols>
  <x:sheetData>
    <x:row r="1" ht="30" customHeight="1">
      <x:c r="A1" s="4" t="str">
        <x:v>Juniper Works | Product Alpha Q3 | M-27 prioritization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7" t="str">
        <x:v>Working model: RICE and WSJF score candidate work against the 2026-09-18 M-27 cut line. Baseline adoption: 18.4%; Q3 target: 26.0%; 1,240 synthetic workspaces.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24" customHeight="1">
      <x:c r="A4" s="11" t="str">
        <x:v>Initiative</x:v>
      </x:c>
      <x:c r="B4" s="11" t="str">
        <x:v>Status</x:v>
      </x:c>
      <x:c r="C4" s="11" t="str">
        <x:v>Reach</x:v>
      </x:c>
      <x:c r="D4" s="11" t="str">
        <x:v>Impact</x:v>
      </x:c>
      <x:c r="E4" s="11" t="str">
        <x:v>Confidence</x:v>
      </x:c>
      <x:c r="F4" s="11" t="str">
        <x:v>Effort</x:v>
      </x:c>
      <x:c r="G4" s="11" t="str">
        <x:v>RICE</x:v>
      </x:c>
      <x:c r="H4" s="11" t="str">
        <x:v>Job Size</x:v>
      </x:c>
      <x:c r="I4" s="11" t="str">
        <x:v>Time Criticality</x:v>
      </x:c>
      <x:c r="J4" s="11" t="str">
        <x:v>Risk Reduction</x:v>
      </x:c>
      <x:c r="K4" s="11" t="str">
        <x:v>WSJF</x:v>
      </x:c>
    </x:row>
    <x:row r="5" ht="24" customHeight="1">
      <x:c r="A5" s="30" t="str">
        <x:v>Guided setup checklist</x:v>
      </x:c>
      <x:c r="B5" s="22" t="str">
        <x:v>Candidate</x:v>
      </x:c>
      <x:c r="C5" s="33" t="n">
        <x:v>1240</x:v>
      </x:c>
      <x:c r="D5" s="22" t="n">
        <x:v>3</x:v>
      </x:c>
      <x:c r="E5" s="36" t="n">
        <x:v>0.8</x:v>
      </x:c>
      <x:c r="F5" s="22" t="n">
        <x:v>4</x:v>
      </x:c>
      <x:c r="G5" s="39" t="n">
        <x:f>C5*D5*E5/F5</x:f>
        <x:v>744</x:v>
      </x:c>
      <x:c r="H5" s="22" t="n">
        <x:v>5</x:v>
      </x:c>
      <x:c r="I5" s="22" t="n">
        <x:v>8</x:v>
      </x:c>
      <x:c r="J5" s="22" t="n">
        <x:v>5</x:v>
      </x:c>
      <x:c r="K5" s="42" t="n">
        <x:f>(I5+J5)/H5</x:f>
        <x:v>2.6</x:v>
      </x:c>
    </x:row>
    <x:row r="6" ht="24" customHeight="1">
      <x:c r="A6" s="31" t="str">
        <x:v>Weekly adoption pulse</x:v>
      </x:c>
      <x:c r="B6" s="25" t="str">
        <x:v>Candidate</x:v>
      </x:c>
      <x:c r="C6" s="34" t="n">
        <x:v>1240</x:v>
      </x:c>
      <x:c r="D6" s="25" t="n">
        <x:v>2</x:v>
      </x:c>
      <x:c r="E6" s="37" t="n">
        <x:v>0.7</x:v>
      </x:c>
      <x:c r="F6" s="25" t="n">
        <x:v>5</x:v>
      </x:c>
      <x:c r="G6" s="40" t="n">
        <x:f>C6*D6*E6/F6</x:f>
        <x:v>347.2</x:v>
      </x:c>
      <x:c r="H6" s="25" t="n">
        <x:v>6</x:v>
      </x:c>
      <x:c r="I6" s="25" t="n">
        <x:v>9</x:v>
      </x:c>
      <x:c r="J6" s="25" t="n">
        <x:v>4</x:v>
      </x:c>
      <x:c r="K6" s="43" t="n">
        <x:f>(I6+J6)/H6</x:f>
        <x:v>2.1666666666666665</x:v>
      </x:c>
    </x:row>
    <x:row r="7" ht="24" customHeight="1">
      <x:c r="A7" s="31" t="str">
        <x:v>Empty-state rewrite</x:v>
      </x:c>
      <x:c r="B7" s="25" t="str">
        <x:v>Committed</x:v>
      </x:c>
      <x:c r="C7" s="34" t="n">
        <x:v>1240</x:v>
      </x:c>
      <x:c r="D7" s="25" t="n">
        <x:v>1</x:v>
      </x:c>
      <x:c r="E7" s="37" t="n">
        <x:v>0.9</x:v>
      </x:c>
      <x:c r="F7" s="25" t="n">
        <x:v>2</x:v>
      </x:c>
      <x:c r="G7" s="40" t="n">
        <x:f>C7*D7*E7/F7</x:f>
        <x:v>558</x:v>
      </x:c>
      <x:c r="H7" s="25" t="n">
        <x:v>2</x:v>
      </x:c>
      <x:c r="I7" s="25" t="n">
        <x:v>7</x:v>
      </x:c>
      <x:c r="J7" s="25" t="n">
        <x:v>4</x:v>
      </x:c>
      <x:c r="K7" s="43" t="n">
        <x:f>(I7+J7)/H7</x:f>
        <x:v>5.5</x:v>
      </x:c>
    </x:row>
    <x:row r="8" ht="24" customHeight="1">
      <x:c r="A8" s="31" t="str">
        <x:v>Advanced CSV export</x:v>
      </x:c>
      <x:c r="B8" s="25" t="str">
        <x:v>Deferred</x:v>
      </x:c>
      <x:c r="C8" s="34" t="n">
        <x:v>280</x:v>
      </x:c>
      <x:c r="D8" s="25" t="n">
        <x:v>2</x:v>
      </x:c>
      <x:c r="E8" s="37" t="n">
        <x:v>0.6</x:v>
      </x:c>
      <x:c r="F8" s="25" t="n">
        <x:v>8</x:v>
      </x:c>
      <x:c r="G8" s="40" t="n">
        <x:f>C8*D8*E8/F8</x:f>
        <x:v>42</x:v>
      </x:c>
      <x:c r="H8" s="25" t="n">
        <x:v>10</x:v>
      </x:c>
      <x:c r="I8" s="25" t="n">
        <x:v>3</x:v>
      </x:c>
      <x:c r="J8" s="25" t="n">
        <x:v>2</x:v>
      </x:c>
      <x:c r="K8" s="43" t="n">
        <x:f>(I8+J8)/H8</x:f>
        <x:v>0.5</x:v>
      </x:c>
    </x:row>
    <x:row r="9" ht="24" customHeight="1">
      <x:c r="A9" s="32" t="str">
        <x:v>Admin reminder nudges</x:v>
      </x:c>
      <x:c r="B9" s="28" t="str">
        <x:v>Candidate</x:v>
      </x:c>
      <x:c r="C9" s="35" t="n">
        <x:v>860</x:v>
      </x:c>
      <x:c r="D9" s="28" t="n">
        <x:v>2</x:v>
      </x:c>
      <x:c r="E9" s="38" t="n">
        <x:v>0.5</x:v>
      </x:c>
      <x:c r="F9" s="28" t="n">
        <x:v>6</x:v>
      </x:c>
      <x:c r="G9" s="41" t="n">
        <x:f>C9*D9*E9/F9</x:f>
        <x:v>143.33333333333334</x:v>
      </x:c>
      <x:c r="H9" s="28" t="n">
        <x:v>7</x:v>
      </x:c>
      <x:c r="I9" s="28" t="n">
        <x:v>6</x:v>
      </x:c>
      <x:c r="J9" s="28" t="n">
        <x:v>3</x:v>
      </x:c>
      <x:c r="K9" s="44" t="n">
        <x:f>(I9+J9)/H9</x:f>
        <x:v>1.2857142857142858</x:v>
      </x:c>
    </x:row>
    <x:row r="12">
      <x:c r="A12" s="45" t="str">
        <x:v>Decision guide</x:v>
      </x:c>
      <x:c r="B12" s="45"/>
      <x:c r="C12" s="45"/>
      <x:c r="D12" s="45"/>
    </x:row>
    <x:row r="13">
      <x:c r="A13" s="48" t="str">
        <x:v>Metric</x:v>
      </x:c>
      <x:c r="B13" s="48" t="str">
        <x:v>Formula</x:v>
      </x:c>
      <x:c r="C13" s="48" t="str">
        <x:v>Use</x:v>
      </x:c>
      <x:c r="D13" s="48" t="str">
        <x:v>Note</x:v>
      </x:c>
    </x:row>
    <x:row r="14">
      <x:c r="A14" s="46" t="str">
        <x:v>RICE</x:v>
      </x:c>
      <x:c r="B14" s="46" t="str">
        <x:v>Reach × Impact × Confidence ÷ Effort</x:v>
      </x:c>
      <x:c r="C14" s="46" t="str">
        <x:v>Rank expected adoption lift</x:v>
      </x:c>
      <x:c r="D14" s="46" t="str">
        <x:v>Higher is better</x:v>
      </x:c>
    </x:row>
    <x:row r="15">
      <x:c r="A15" s="46" t="str">
        <x:v>WSJF</x:v>
      </x:c>
      <x:c r="B15" s="46" t="str">
        <x:v>(Time Criticality + Risk Reduction) ÷ Job Size</x:v>
      </x:c>
      <x:c r="C15" s="46" t="str">
        <x:v>Sequence within the release cut</x:v>
      </x:c>
      <x:c r="D15" s="46" t="str">
        <x:v>Higher is better</x:v>
      </x:c>
    </x:row>
    <x:row r="16">
      <x:c r="A16" s="46" t="str">
        <x:v>Release gate</x:v>
      </x:c>
      <x:c r="B16" s="46" t="str">
        <x:v>M-27 on 2026-09-18</x:v>
      </x:c>
      <x:c r="C16" s="46" t="str">
        <x:v>Hold schema-dependent CSV export</x:v>
      </x:c>
      <x:c r="D16" s="46" t="str">
        <x:v>Synthetic planning only</x:v>
      </x:c>
    </x:row>
  </x:sheetData>
  <x:mergeCells>
    <x:mergeCell ref="A1:K1"/>
    <x:mergeCell ref="A2:K2"/>
    <x:mergeCell ref="A12:D12"/>
  </x:mergeCells>
  <x:conditionalFormatting sqref="G5:G9">
    <x:cfRule type="colorScale" priority="1">
      <x:colorScale>
        <x:cfvo type="min"/>
        <x:cfvo type="percentile" val="50"/>
        <x:cfvo type="max"/>
        <x:color rgb="FFFEE2E2"/>
        <x:color rgb="FFFFF0CC"/>
        <x:color rgb="FFDDEFEA"/>
      </x:colorScale>
    </x:cfRule>
  </x:conditionalFormatting>
  <x:conditionalFormatting sqref="K5:K9">
    <x:cfRule type="dataBar" priority="2">
      <x:dataBar>
        <x:cfvo type="min"/>
        <x:cfvo type="max"/>
        <x:color rgb="FF2C7A7B"/>
      </x:dataBar>
      <x:extLst>
        <x:ext xmlns:x14="http://schemas.microsoft.com/office/spreadsheetml/2009/9/main" uri="{B025F937-C7B1-47D3-B67F-A62EFF666E3E}">
          <x14:id>{17C16B86-CFD2-A19D-15B6-90769E7A4EDE}</x14:id>
        </x:ext>
      </x:extLst>
    </x:cfRule>
  </x:conditionalFormatting>
  <x:dataValidations count="2">
    <x:dataValidation type="list" sqref="B5:B9">
      <x:formula1>'Lists'!$A$2:$A$4</x:formula1>
    </x:dataValidation>
    <x:dataValidation type="list" sqref="E5:E9">
      <x:formula1>"0.5,0.7,0.8,0.9"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7C16B86-CFD2-A19D-15B6-90769E7A4EDE}">
            <x14:dataBar gradient="1">
              <x14:cfvo type="min"/>
              <x14:cfvo type="max"/>
              <x14:fillColor rgb="FF2C7A7B"/>
            </x14:dataBar>
          </x14:cfRule>
          <xm:sqref>K5:K9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Status</x:v>
      </x:c>
      <x:c r="B1" t="str">
        <x:v>Confidence</x:v>
      </x:c>
    </x:row>
    <x:row r="2">
      <x:c r="A2" t="str">
        <x:v>Candidate</x:v>
      </x:c>
      <x:c r="B2" t="str">
        <x:v>High</x:v>
      </x:c>
    </x:row>
    <x:row r="3">
      <x:c r="A3" t="str">
        <x:v>Committed</x:v>
      </x:c>
      <x:c r="B3" t="str">
        <x:v>Medium</x:v>
      </x:c>
    </x:row>
    <x:row r="4">
      <x:c r="A4" t="str">
        <x:v>Deferred</x:v>
      </x:c>
      <x:c r="B4" t="str">
        <x:v>Low</x:v>
      </x:c>
    </x:row>
  </x:sheetData>
  <x:pageMargins left="0.7" right="0.7" top="0.75" bottom="0.75" header="0.3" footer="0.3"/>
</x:worksheet>
</file>