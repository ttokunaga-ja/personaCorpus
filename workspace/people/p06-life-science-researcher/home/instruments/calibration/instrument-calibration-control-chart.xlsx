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362d5ee5c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Chart" sheetId="1" r:id="R665ca3c37d394450"/>
    <x:sheet xmlns:r="http://schemas.openxmlformats.org/officeDocument/2006/relationships" name="Read Me" sheetId="2" r:id="R80291e4f665d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83B56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D9EAF3"/>
      </x:patternFill>
    </x:fill>
  </x:fills>
  <x:borders count="3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left style="thin">
        <x:color rgb="FFD9E1E6"/>
      </x:left>
      <x:right style="thin">
        <x:color rgb="FFD9E1E6"/>
      </x:right>
      <x:top style="thin">
        <x:color rgb="FFD9E1E6"/>
      </x:top>
      <x:bottom style="thin">
        <x:color rgb="FFD9E1E6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3" borderId="2" xfId="0" applyNumberFormat="1" applyFont="1" applyFill="1" applyBorder="1"/>
    <x:xf numFmtId="0" fontId="3" fillId="3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3ba4e3b60d4994" /><Relationship Type="http://schemas.openxmlformats.org/officeDocument/2006/relationships/theme" Target="/xl/theme/theme1.xml" Id="Rab0120e4ad6f4967" /><Relationship Type="http://schemas.openxmlformats.org/officeDocument/2006/relationships/sharedStrings" Target="/xl/sharedStrings.xml" Id="Rac6b35cc3140433a" /><Relationship Type="http://schemas.openxmlformats.org/officeDocument/2006/relationships/worksheet" Target="/xl/worksheets/sheet1.xml" Id="R665ca3c37d394450" /><Relationship Type="http://schemas.openxmlformats.org/officeDocument/2006/relationships/worksheet" Target="/xl/worksheets/sheet2.xml" Id="R80291e4f665d43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1.439998626708984" hidden="0" customWidth="1"/>
    <x:col min="2" max="2" width="21" hidden="0" customWidth="1"/>
    <x:col min="3" max="3" width="7.670000076293945" hidden="0" customWidth="1"/>
    <x:col min="4" max="4" width="5.440000057220459" hidden="0" customWidth="1"/>
    <x:col min="5" max="5" width="8.4399995803833" hidden="0" customWidth="1"/>
    <x:col min="6" max="6" width="17.559999465942383" hidden="0" customWidth="1"/>
    <x:col min="7" max="7" width="6.889999866485596" hidden="0" customWidth="1"/>
    <x:col min="8" max="8" width="12.5600004196167" hidden="0" customWidth="1"/>
  </x:cols>
  <x:sheetData>
    <x:row r="1">
      <x:c r="A1" s="3" t="str">
        <x:v>Orchid Cellworks | Synthetic Calibration Control Chart</x:v>
      </x:c>
      <x:c r="B1" s="3"/>
      <x:c r="C1" s="3"/>
      <x:c r="D1" s="3"/>
      <x:c r="E1" s="3"/>
      <x:c r="F1" s="3"/>
      <x:c r="G1" s="3"/>
    </x:row>
    <x:row r="3">
      <x:c r="A3" s="7" t="str">
        <x:v>Date</x:v>
      </x:c>
      <x:c r="B3" s="7" t="str">
        <x:v>Instrument</x:v>
      </x:c>
      <x:c r="C3" s="7" t="str">
        <x:v>Blank AU</x:v>
      </x:c>
      <x:c r="D3" s="7" t="str">
        <x:v>Slope</x:v>
      </x:c>
      <x:c r="E3" s="7" t="str">
        <x:v>R squared</x:v>
      </x:c>
      <x:c r="F3" s="7" t="str">
        <x:v>Assay control (ng/mL)</x:v>
      </x:c>
      <x:c r="G3" s="7" t="str">
        <x:v>Status</x:v>
      </x:c>
      <x:c r="H3" s="7" t="str">
        <x:v>Mean control</x:v>
      </x:c>
    </x:row>
    <x:row r="4">
      <x:c r="A4" s="9" t="str">
        <x:v>2026-07-08</x:v>
      </x:c>
      <x:c r="B4" s="8" t="str">
        <x:v>SpectraNova SN-4</x:v>
      </x:c>
      <x:c r="C4" s="10" t="n">
        <x:v>0.021</x:v>
      </x:c>
      <x:c r="D4" s="10" t="n">
        <x:v>0.997</x:v>
      </x:c>
      <x:c r="E4" s="10" t="n">
        <x:v>0.9989</x:v>
      </x:c>
      <x:c r="F4" s="10" t="n">
        <x:v>6.7</x:v>
      </x:c>
      <x:c r="G4" s="8" t="str">
        <x:v>ACCEPT</x:v>
      </x:c>
      <x:c r="H4" s="11" t="n">
        <x:f>AVERAGE(F4:F9)</x:f>
        <x:v>6.8</x:v>
      </x:c>
    </x:row>
    <x:row r="5">
      <x:c r="A5" s="9" t="str">
        <x:v>2026-07-09</x:v>
      </x:c>
      <x:c r="B5" s="8" t="str">
        <x:v>SpectraNova SN-4</x:v>
      </x:c>
      <x:c r="C5" s="10" t="n">
        <x:v>0.02</x:v>
      </x:c>
      <x:c r="D5" s="10" t="n">
        <x:v>0.998</x:v>
      </x:c>
      <x:c r="E5" s="10" t="n">
        <x:v>0.999</x:v>
      </x:c>
      <x:c r="F5" s="10" t="n">
        <x:v>6.8</x:v>
      </x:c>
      <x:c r="G5" s="8" t="str">
        <x:v>ACCEPT</x:v>
      </x:c>
      <x:c r="H5" s="8"/>
    </x:row>
    <x:row r="6">
      <x:c r="A6" s="9" t="str">
        <x:v>2026-07-10</x:v>
      </x:c>
      <x:c r="B6" s="8" t="str">
        <x:v>SpectraNova SN-4</x:v>
      </x:c>
      <x:c r="C6" s="10" t="n">
        <x:v>0.02</x:v>
      </x:c>
      <x:c r="D6" s="10" t="n">
        <x:v>0.999</x:v>
      </x:c>
      <x:c r="E6" s="10" t="n">
        <x:v>0.9991</x:v>
      </x:c>
      <x:c r="F6" s="10" t="n">
        <x:v>6.8</x:v>
      </x:c>
      <x:c r="G6" s="8" t="str">
        <x:v>ACCEPT</x:v>
      </x:c>
      <x:c r="H6" s="8" t="str">
        <x:v>Reference</x:v>
      </x:c>
    </x:row>
    <x:row r="7">
      <x:c r="A7" s="9" t="str">
        <x:v>2026-07-11</x:v>
      </x:c>
      <x:c r="B7" s="8" t="str">
        <x:v>SpectraNova SN-4</x:v>
      </x:c>
      <x:c r="C7" s="10" t="n">
        <x:v>0.019</x:v>
      </x:c>
      <x:c r="D7" s="10" t="n">
        <x:v>0.998</x:v>
      </x:c>
      <x:c r="E7" s="10" t="n">
        <x:v>0.999</x:v>
      </x:c>
      <x:c r="F7" s="10" t="n">
        <x:v>6.9</x:v>
      </x:c>
      <x:c r="G7" s="8" t="str">
        <x:v>ACCEPT</x:v>
      </x:c>
      <x:c r="H7" s="8" t="str">
        <x:v>Study Alpha</x:v>
      </x:c>
    </x:row>
    <x:row r="8">
      <x:c r="A8" s="9" t="str">
        <x:v>2026-07-12</x:v>
      </x:c>
      <x:c r="B8" s="8" t="str">
        <x:v>SpectraNova SN-4</x:v>
      </x:c>
      <x:c r="C8" s="10" t="n">
        <x:v>0.02</x:v>
      </x:c>
      <x:c r="D8" s="10" t="n">
        <x:v>0.998</x:v>
      </x:c>
      <x:c r="E8" s="10" t="n">
        <x:v>0.9992</x:v>
      </x:c>
      <x:c r="F8" s="10" t="n">
        <x:v>6.8</x:v>
      </x:c>
      <x:c r="G8" s="8" t="str">
        <x:v>ACCEPT</x:v>
      </x:c>
      <x:c r="H8" s="8" t="str">
        <x:v>cohort A-24</x:v>
      </x:c>
    </x:row>
    <x:row r="9">
      <x:c r="A9" s="9" t="str">
        <x:v>2026-07-13</x:v>
      </x:c>
      <x:c r="B9" s="8" t="str">
        <x:v>SpectraNova SN-4</x:v>
      </x:c>
      <x:c r="C9" s="10" t="n">
        <x:v>0.02</x:v>
      </x:c>
      <x:c r="D9" s="10" t="n">
        <x:v>0.998</x:v>
      </x:c>
      <x:c r="E9" s="10" t="n">
        <x:v>0.9992</x:v>
      </x:c>
      <x:c r="F9" s="10" t="n">
        <x:v>6.8</x:v>
      </x:c>
      <x:c r="G9" s="8" t="str">
        <x:v>ACCEPT</x:v>
      </x:c>
      <x:c r="H9" s="8" t="str">
        <x:v>2026-07-13</x:v>
      </x:c>
    </x:row>
    <x:row r="10">
      <x:c r="A10" s="8"/>
      <x:c r="B10" s="8"/>
      <x:c r="C10" s="8"/>
      <x:c r="D10" s="8"/>
      <x:c r="E10" s="8"/>
      <x:c r="F10" s="8"/>
      <x:c r="G10" s="8"/>
      <x:c r="H10" s="8" t="str">
        <x:v>assay 6.8 ng/mL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88999938964844" hidden="0" customWidth="1"/>
    <x:col min="2" max="2" width="13" hidden="0" customWidth="1"/>
  </x:cols>
  <x:sheetData>
    <x:row r="1">
      <x:c r="A1" s="2" t="str">
        <x:v>Synthetic Laboratory Record - Data Notes</x:v>
      </x:c>
      <x:c r="B1" s="2"/>
      <x:c r="C1" s="2"/>
      <x:c r="D1" s="2"/>
    </x:row>
    <x:row r="3">
      <x:c r="A3" s="13" t="str">
        <x:v>Organization</x:v>
      </x:c>
      <x:c r="B3" s="8" t="str">
        <x:v>Orchid Cellworks</x:v>
      </x:c>
    </x:row>
    <x:row r="4">
      <x:c r="A4" s="13" t="str">
        <x:v>Study</x:v>
      </x:c>
      <x:c r="B4" s="8" t="str">
        <x:v>Study Alpha</x:v>
      </x:c>
    </x:row>
    <x:row r="5">
      <x:c r="A5" s="13" t="str">
        <x:v>Cohort</x:v>
      </x:c>
      <x:c r="B5" s="8" t="str">
        <x:v>cohort A-24</x:v>
      </x:c>
    </x:row>
    <x:row r="6">
      <x:c r="A6" s="13" t="str">
        <x:v>Reference date</x:v>
      </x:c>
      <x:c r="B6" s="8" t="str">
        <x:v>2026-07-13</x:v>
      </x:c>
    </x:row>
    <x:row r="7">
      <x:c r="A7" s="13" t="str">
        <x:v>Control value</x:v>
      </x:c>
      <x:c r="B7" s="8" t="str">
        <x:v>assay 6.8 ng/mL</x:v>
      </x:c>
    </x:row>
  </x:sheetData>
  <x:mergeCells>
    <x:mergeCell ref="A1:D1"/>
  </x:mergeCells>
  <x:pageMargins left="0.7" right="0.7" top="0.75" bottom="0.75" header="0.3" footer="0.3"/>
</x:worksheet>
</file>