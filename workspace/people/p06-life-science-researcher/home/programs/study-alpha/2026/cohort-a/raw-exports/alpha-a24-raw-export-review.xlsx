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7c19c1f6e4b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Export" sheetId="1" r:id="R023b30cc0f924b07"/>
    <x:sheet xmlns:r="http://schemas.openxmlformats.org/officeDocument/2006/relationships" name="QC Summary" sheetId="2" r:id="R95b8d4f9d18b4d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54E70"/>
      </x:patternFill>
    </x:fill>
  </x:fills>
  <x:borders count="2">
    <x:border/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7ac0d3fcb14daf" /><Relationship Type="http://schemas.openxmlformats.org/officeDocument/2006/relationships/theme" Target="/xl/theme/theme1.xml" Id="R3ddf583305584d0f" /><Relationship Type="http://schemas.openxmlformats.org/officeDocument/2006/relationships/sharedStrings" Target="/xl/sharedStrings.xml" Id="R9cee0fca3a3e41a1" /><Relationship Type="http://schemas.openxmlformats.org/officeDocument/2006/relationships/worksheet" Target="/xl/worksheets/sheet1.xml" Id="R023b30cc0f924b07" /><Relationship Type="http://schemas.openxmlformats.org/officeDocument/2006/relationships/worksheet" Target="/xl/worksheets/sheet2.xml" Id="R95b8d4f9d18b4d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t="str">
        <x:v>Orchid Cellworks | Study Alpha | 2026-07-13 | cohort A-24 | assay 6.8 ng/mL</x:v>
      </x:c>
    </x:row>
    <x:row r="3">
      <x:c r="A3" s="6" t="str">
        <x:v>Synthetic Sample ID</x:v>
      </x:c>
      <x:c r="B3" s="6" t="str">
        <x:v>Study</x:v>
      </x:c>
      <x:c r="C3" s="6" t="str">
        <x:v>Cohort</x:v>
      </x:c>
      <x:c r="D3" s="6" t="str">
        <x:v>Protocol Run</x:v>
      </x:c>
      <x:c r="E3" s="6" t="str">
        <x:v>Run ID</x:v>
      </x:c>
      <x:c r="F3" s="6" t="str">
        <x:v>Assay (ng/mL)</x:v>
      </x:c>
      <x:c r="G3" s="6" t="str">
        <x:v>Replicate 1</x:v>
      </x:c>
      <x:c r="H3" s="6" t="str">
        <x:v>Replicate 2</x:v>
      </x:c>
      <x:c r="I3" s="6" t="str">
        <x:v>Mean (ng/mL)</x:v>
      </x:c>
      <x:c r="J3" s="6" t="str">
        <x:v>QC Status</x:v>
      </x:c>
    </x:row>
    <x:row r="4">
      <x:c r="A4" s="7" t="str">
        <x:v>OCW-A24-001</x:v>
      </x:c>
      <x:c r="B4" s="7" t="str">
        <x:v>Study Alpha</x:v>
      </x:c>
      <x:c r="C4" s="7" t="str">
        <x:v>cohort A-24</x:v>
      </x:c>
      <x:c r="D4" s="7" t="str">
        <x:v>OCW-BIO-017</x:v>
      </x:c>
      <x:c r="E4" s="7" t="str">
        <x:v>ALPHA-A24-R03</x:v>
      </x:c>
      <x:c r="F4" s="8" t="n">
        <x:v>6.2</x:v>
      </x:c>
      <x:c r="G4" s="8" t="n">
        <x:v>6.16</x:v>
      </x:c>
      <x:c r="H4" s="8" t="n">
        <x:v>6.23</x:v>
      </x:c>
      <x:c r="I4" s="8" t="n">
        <x:f>AVERAGE(G4:H4)</x:f>
        <x:v>6.195</x:v>
      </x:c>
      <x:c r="J4" s="7" t="str">
        <x:v>PASS</x:v>
      </x:c>
    </x:row>
    <x:row r="5">
      <x:c r="A5" s="7" t="str">
        <x:v>OCW-A24-002</x:v>
      </x:c>
      <x:c r="B5" s="7" t="str">
        <x:v>Study Alpha</x:v>
      </x:c>
      <x:c r="C5" s="7" t="str">
        <x:v>cohort A-24</x:v>
      </x:c>
      <x:c r="D5" s="7" t="str">
        <x:v>OCW-BIO-017</x:v>
      </x:c>
      <x:c r="E5" s="7" t="str">
        <x:v>ALPHA-A24-R03</x:v>
      </x:c>
      <x:c r="F5" s="8" t="n">
        <x:v>6.5</x:v>
      </x:c>
      <x:c r="G5" s="8" t="n">
        <x:v>6.46</x:v>
      </x:c>
      <x:c r="H5" s="8" t="n">
        <x:v>6.53</x:v>
      </x:c>
      <x:c r="I5" s="8" t="n">
        <x:f>AVERAGE(G5:H5)</x:f>
        <x:v>6.495</x:v>
      </x:c>
      <x:c r="J5" s="7" t="str">
        <x:v>PASS</x:v>
      </x:c>
    </x:row>
    <x:row r="6">
      <x:c r="A6" s="7" t="str">
        <x:v>OCW-A24-003</x:v>
      </x:c>
      <x:c r="B6" s="7" t="str">
        <x:v>Study Alpha</x:v>
      </x:c>
      <x:c r="C6" s="7" t="str">
        <x:v>cohort A-24</x:v>
      </x:c>
      <x:c r="D6" s="7" t="str">
        <x:v>OCW-BIO-017</x:v>
      </x:c>
      <x:c r="E6" s="7" t="str">
        <x:v>ALPHA-A24-R03</x:v>
      </x:c>
      <x:c r="F6" s="8" t="n">
        <x:v>6.7</x:v>
      </x:c>
      <x:c r="G6" s="8" t="n">
        <x:v>6.66</x:v>
      </x:c>
      <x:c r="H6" s="8" t="n">
        <x:v>6.73</x:v>
      </x:c>
      <x:c r="I6" s="8" t="n">
        <x:f>AVERAGE(G6:H6)</x:f>
        <x:v>6.695</x:v>
      </x:c>
      <x:c r="J6" s="7" t="str">
        <x:v>PASS</x:v>
      </x:c>
    </x:row>
    <x:row r="7">
      <x:c r="A7" s="7" t="str">
        <x:v>OCW-A24-004</x:v>
      </x:c>
      <x:c r="B7" s="7" t="str">
        <x:v>Study Alpha</x:v>
      </x:c>
      <x:c r="C7" s="7" t="str">
        <x:v>cohort A-24</x:v>
      </x:c>
      <x:c r="D7" s="7" t="str">
        <x:v>OCW-BIO-017</x:v>
      </x:c>
      <x:c r="E7" s="7" t="str">
        <x:v>ALPHA-A24-R03</x:v>
      </x:c>
      <x:c r="F7" s="8" t="n">
        <x:v>6.8</x:v>
      </x:c>
      <x:c r="G7" s="8" t="n">
        <x:v>6.76</x:v>
      </x:c>
      <x:c r="H7" s="8" t="n">
        <x:v>6.83</x:v>
      </x:c>
      <x:c r="I7" s="8" t="n">
        <x:f>AVERAGE(G7:H7)</x:f>
        <x:v>6.795</x:v>
      </x:c>
      <x:c r="J7" s="7" t="str">
        <x:v>PASS</x:v>
      </x:c>
    </x:row>
    <x:row r="8">
      <x:c r="A8" s="7" t="str">
        <x:v>OCW-A24-005</x:v>
      </x:c>
      <x:c r="B8" s="7" t="str">
        <x:v>Study Alpha</x:v>
      </x:c>
      <x:c r="C8" s="7" t="str">
        <x:v>cohort A-24</x:v>
      </x:c>
      <x:c r="D8" s="7" t="str">
        <x:v>OCW-BIO-017</x:v>
      </x:c>
      <x:c r="E8" s="7" t="str">
        <x:v>ALPHA-A24-R03</x:v>
      </x:c>
      <x:c r="F8" s="8" t="n">
        <x:v>6.9</x:v>
      </x:c>
      <x:c r="G8" s="8" t="n">
        <x:v>6.86</x:v>
      </x:c>
      <x:c r="H8" s="8" t="n">
        <x:v>6.930000000000001</x:v>
      </x:c>
      <x:c r="I8" s="8" t="n">
        <x:f>AVERAGE(G8:H8)</x:f>
        <x:v>6.8950000000000005</x:v>
      </x:c>
      <x:c r="J8" s="7" t="str">
        <x:v>PASS</x:v>
      </x:c>
    </x:row>
    <x:row r="9">
      <x:c r="A9" s="7" t="str">
        <x:v>OCW-A24-006</x:v>
      </x:c>
      <x:c r="B9" s="7" t="str">
        <x:v>Study Alpha</x:v>
      </x:c>
      <x:c r="C9" s="7" t="str">
        <x:v>cohort A-24</x:v>
      </x:c>
      <x:c r="D9" s="7" t="str">
        <x:v>OCW-BIO-017</x:v>
      </x:c>
      <x:c r="E9" s="7" t="str">
        <x:v>ALPHA-A24-R03</x:v>
      </x:c>
      <x:c r="F9" s="8" t="n">
        <x:v>7.1</x:v>
      </x:c>
      <x:c r="G9" s="8" t="n">
        <x:v>7.06</x:v>
      </x:c>
      <x:c r="H9" s="8" t="n">
        <x:v>7.13</x:v>
      </x:c>
      <x:c r="I9" s="8" t="n">
        <x:f>AVERAGE(G9:H9)</x:f>
        <x:v>7.095</x:v>
      </x:c>
      <x:c r="J9" s="7" t="str">
        <x:v>PASS</x:v>
      </x:c>
    </x:row>
    <x:row r="10">
      <x:c r="A10" s="7" t="str">
        <x:v>OCW-A24-007</x:v>
      </x:c>
      <x:c r="B10" s="7" t="str">
        <x:v>Study Alpha</x:v>
      </x:c>
      <x:c r="C10" s="7" t="str">
        <x:v>cohort A-24</x:v>
      </x:c>
      <x:c r="D10" s="7" t="str">
        <x:v>OCW-BIO-017</x:v>
      </x:c>
      <x:c r="E10" s="7" t="str">
        <x:v>ALPHA-A24-R03</x:v>
      </x:c>
      <x:c r="F10" s="8" t="n">
        <x:v>6.4</x:v>
      </x:c>
      <x:c r="G10" s="8" t="n">
        <x:v>6.36</x:v>
      </x:c>
      <x:c r="H10" s="8" t="n">
        <x:v>6.430000000000001</x:v>
      </x:c>
      <x:c r="I10" s="8" t="n">
        <x:f>AVERAGE(G10:H10)</x:f>
        <x:v>6.3950000000000005</x:v>
      </x:c>
      <x:c r="J10" s="7" t="str">
        <x:v>PASS</x:v>
      </x:c>
    </x:row>
    <x:row r="11">
      <x:c r="A11" s="7" t="str">
        <x:v>OCW-A24-008</x:v>
      </x:c>
      <x:c r="B11" s="7" t="str">
        <x:v>Study Alpha</x:v>
      </x:c>
      <x:c r="C11" s="7" t="str">
        <x:v>cohort A-24</x:v>
      </x:c>
      <x:c r="D11" s="7" t="str">
        <x:v>OCW-BIO-017</x:v>
      </x:c>
      <x:c r="E11" s="7" t="str">
        <x:v>ALPHA-A24-R03</x:v>
      </x:c>
      <x:c r="F11" s="8" t="n">
        <x:v>6.6</x:v>
      </x:c>
      <x:c r="G11" s="8" t="n">
        <x:v>6.56</x:v>
      </x:c>
      <x:c r="H11" s="8" t="n">
        <x:v>6.63</x:v>
      </x:c>
      <x:c r="I11" s="8" t="n">
        <x:f>AVERAGE(G11:H11)</x:f>
        <x:v>6.595</x:v>
      </x:c>
      <x:c r="J11" s="7" t="str">
        <x:v>PASS</x:v>
      </x:c>
    </x:row>
    <x:row r="12">
      <x:c r="A12" s="7" t="str">
        <x:v>OCW-A24-009</x:v>
      </x:c>
      <x:c r="B12" s="7" t="str">
        <x:v>Study Alpha</x:v>
      </x:c>
      <x:c r="C12" s="7" t="str">
        <x:v>cohort A-24</x:v>
      </x:c>
      <x:c r="D12" s="7" t="str">
        <x:v>OCW-BIO-017</x:v>
      </x:c>
      <x:c r="E12" s="7" t="str">
        <x:v>ALPHA-A24-R03</x:v>
      </x:c>
      <x:c r="F12" s="8" t="n">
        <x:v>6.8</x:v>
      </x:c>
      <x:c r="G12" s="8" t="n">
        <x:v>6.76</x:v>
      </x:c>
      <x:c r="H12" s="8" t="n">
        <x:v>6.83</x:v>
      </x:c>
      <x:c r="I12" s="8" t="n">
        <x:f>AVERAGE(G12:H12)</x:f>
        <x:v>6.795</x:v>
      </x:c>
      <x:c r="J12" s="7" t="str">
        <x:v>PASS</x:v>
      </x:c>
    </x:row>
    <x:row r="13">
      <x:c r="A13" s="7" t="str">
        <x:v>OCW-A24-010</x:v>
      </x:c>
      <x:c r="B13" s="7" t="str">
        <x:v>Study Alpha</x:v>
      </x:c>
      <x:c r="C13" s="7" t="str">
        <x:v>cohort A-24</x:v>
      </x:c>
      <x:c r="D13" s="7" t="str">
        <x:v>OCW-BIO-017</x:v>
      </x:c>
      <x:c r="E13" s="7" t="str">
        <x:v>ALPHA-A24-R03</x:v>
      </x:c>
      <x:c r="F13" s="8" t="n">
        <x:v>7</x:v>
      </x:c>
      <x:c r="G13" s="8" t="n">
        <x:v>6.96</x:v>
      </x:c>
      <x:c r="H13" s="8" t="n">
        <x:v>7.03</x:v>
      </x:c>
      <x:c r="I13" s="8" t="n">
        <x:f>AVERAGE(G13:H13)</x:f>
        <x:v>6.995</x:v>
      </x:c>
      <x:c r="J13" s="7" t="str">
        <x:v>PASS</x:v>
      </x:c>
    </x:row>
    <x:row r="14">
      <x:c r="A14" s="7" t="str">
        <x:v>OCW-A24-011</x:v>
      </x:c>
      <x:c r="B14" s="7" t="str">
        <x:v>Study Alpha</x:v>
      </x:c>
      <x:c r="C14" s="7" t="str">
        <x:v>cohort A-24</x:v>
      </x:c>
      <x:c r="D14" s="7" t="str">
        <x:v>OCW-BIO-017</x:v>
      </x:c>
      <x:c r="E14" s="7" t="str">
        <x:v>ALPHA-A24-R03</x:v>
      </x:c>
      <x:c r="F14" s="8" t="n">
        <x:v>6.3</x:v>
      </x:c>
      <x:c r="G14" s="8" t="n">
        <x:v>6.26</x:v>
      </x:c>
      <x:c r="H14" s="8" t="n">
        <x:v>6.33</x:v>
      </x:c>
      <x:c r="I14" s="8" t="n">
        <x:f>AVERAGE(G14:H14)</x:f>
        <x:v>6.295</x:v>
      </x:c>
      <x:c r="J14" s="7" t="str">
        <x:v>PASS</x:v>
      </x:c>
    </x:row>
    <x:row r="15">
      <x:c r="A15" s="7" t="str">
        <x:v>OCW-A24-012</x:v>
      </x:c>
      <x:c r="B15" s="7" t="str">
        <x:v>Study Alpha</x:v>
      </x:c>
      <x:c r="C15" s="7" t="str">
        <x:v>cohort A-24</x:v>
      </x:c>
      <x:c r="D15" s="7" t="str">
        <x:v>OCW-BIO-017</x:v>
      </x:c>
      <x:c r="E15" s="7" t="str">
        <x:v>ALPHA-A24-R03</x:v>
      </x:c>
      <x:c r="F15" s="8" t="n">
        <x:v>6.9</x:v>
      </x:c>
      <x:c r="G15" s="8" t="n">
        <x:v>6.86</x:v>
      </x:c>
      <x:c r="H15" s="8" t="n">
        <x:v>6.930000000000001</x:v>
      </x:c>
      <x:c r="I15" s="8" t="n">
        <x:f>AVERAGE(G15:H15)</x:f>
        <x:v>6.8950000000000005</x:v>
      </x:c>
      <x:c r="J15" s="7" t="str">
        <x:v>PASS</x:v>
      </x:c>
    </x:row>
    <x:row r="16">
      <x:c r="A16" s="7" t="str">
        <x:v>OCW-A24-013</x:v>
      </x:c>
      <x:c r="B16" s="7" t="str">
        <x:v>Study Alpha</x:v>
      </x:c>
      <x:c r="C16" s="7" t="str">
        <x:v>cohort A-24</x:v>
      </x:c>
      <x:c r="D16" s="7" t="str">
        <x:v>OCW-BIO-017</x:v>
      </x:c>
      <x:c r="E16" s="7" t="str">
        <x:v>ALPHA-A24-R03</x:v>
      </x:c>
      <x:c r="F16" s="8" t="n">
        <x:v>6.7</x:v>
      </x:c>
      <x:c r="G16" s="8" t="n">
        <x:v>6.66</x:v>
      </x:c>
      <x:c r="H16" s="8" t="n">
        <x:v>6.73</x:v>
      </x:c>
      <x:c r="I16" s="8" t="n">
        <x:f>AVERAGE(G16:H16)</x:f>
        <x:v>6.695</x:v>
      </x:c>
      <x:c r="J16" s="7" t="str">
        <x:v>PASS</x:v>
      </x:c>
    </x:row>
    <x:row r="17">
      <x:c r="A17" s="7" t="str">
        <x:v>OCW-A24-014</x:v>
      </x:c>
      <x:c r="B17" s="7" t="str">
        <x:v>Study Alpha</x:v>
      </x:c>
      <x:c r="C17" s="7" t="str">
        <x:v>cohort A-24</x:v>
      </x:c>
      <x:c r="D17" s="7" t="str">
        <x:v>OCW-BIO-017</x:v>
      </x:c>
      <x:c r="E17" s="7" t="str">
        <x:v>ALPHA-A24-R03</x:v>
      </x:c>
      <x:c r="F17" s="8" t="n">
        <x:v>6.8</x:v>
      </x:c>
      <x:c r="G17" s="8" t="n">
        <x:v>6.76</x:v>
      </x:c>
      <x:c r="H17" s="8" t="n">
        <x:v>6.83</x:v>
      </x:c>
      <x:c r="I17" s="8" t="n">
        <x:f>AVERAGE(G17:H17)</x:f>
        <x:v>6.795</x:v>
      </x:c>
      <x:c r="J17" s="7" t="str">
        <x:v>PASS</x:v>
      </x:c>
    </x:row>
    <x:row r="18">
      <x:c r="A18" s="7" t="str">
        <x:v>OCW-A24-015</x:v>
      </x:c>
      <x:c r="B18" s="7" t="str">
        <x:v>Study Alpha</x:v>
      </x:c>
      <x:c r="C18" s="7" t="str">
        <x:v>cohort A-24</x:v>
      </x:c>
      <x:c r="D18" s="7" t="str">
        <x:v>OCW-BIO-017</x:v>
      </x:c>
      <x:c r="E18" s="7" t="str">
        <x:v>ALPHA-A24-R03</x:v>
      </x:c>
      <x:c r="F18" s="8" t="n">
        <x:v>7.2</x:v>
      </x:c>
      <x:c r="G18" s="8" t="n">
        <x:v>7.16</x:v>
      </x:c>
      <x:c r="H18" s="8" t="n">
        <x:v>7.23</x:v>
      </x:c>
      <x:c r="I18" s="8" t="n">
        <x:f>AVERAGE(G18:H18)</x:f>
        <x:v>7.195</x:v>
      </x:c>
      <x:c r="J18" s="7" t="str">
        <x:v>PASS</x:v>
      </x:c>
    </x:row>
    <x:row r="19">
      <x:c r="A19" s="7" t="str">
        <x:v>OCW-A24-016</x:v>
      </x:c>
      <x:c r="B19" s="7" t="str">
        <x:v>Study Alpha</x:v>
      </x:c>
      <x:c r="C19" s="7" t="str">
        <x:v>cohort A-24</x:v>
      </x:c>
      <x:c r="D19" s="7" t="str">
        <x:v>OCW-BIO-017</x:v>
      </x:c>
      <x:c r="E19" s="7" t="str">
        <x:v>ALPHA-A24-R03</x:v>
      </x:c>
      <x:c r="F19" s="8" t="n">
        <x:v>6.5</x:v>
      </x:c>
      <x:c r="G19" s="8" t="n">
        <x:v>6.46</x:v>
      </x:c>
      <x:c r="H19" s="8" t="n">
        <x:v>6.53</x:v>
      </x:c>
      <x:c r="I19" s="8" t="n">
        <x:f>AVERAGE(G19:H19)</x:f>
        <x:v>6.495</x:v>
      </x:c>
      <x:c r="J19" s="7" t="str">
        <x:v>PASS</x:v>
      </x:c>
    </x:row>
    <x:row r="20">
      <x:c r="A20" s="7" t="str">
        <x:v>OCW-A24-017</x:v>
      </x:c>
      <x:c r="B20" s="7" t="str">
        <x:v>Study Alpha</x:v>
      </x:c>
      <x:c r="C20" s="7" t="str">
        <x:v>cohort A-24</x:v>
      </x:c>
      <x:c r="D20" s="7" t="str">
        <x:v>OCW-BIO-017</x:v>
      </x:c>
      <x:c r="E20" s="7" t="str">
        <x:v>ALPHA-A24-R03</x:v>
      </x:c>
      <x:c r="F20" s="8" t="n">
        <x:v>6.6</x:v>
      </x:c>
      <x:c r="G20" s="8" t="n">
        <x:v>6.56</x:v>
      </x:c>
      <x:c r="H20" s="8" t="n">
        <x:v>6.63</x:v>
      </x:c>
      <x:c r="I20" s="8" t="n">
        <x:f>AVERAGE(G20:H20)</x:f>
        <x:v>6.595</x:v>
      </x:c>
      <x:c r="J20" s="7" t="str">
        <x:v>PASS</x:v>
      </x:c>
    </x:row>
    <x:row r="21">
      <x:c r="A21" s="7" t="str">
        <x:v>OCW-A24-018</x:v>
      </x:c>
      <x:c r="B21" s="7" t="str">
        <x:v>Study Alpha</x:v>
      </x:c>
      <x:c r="C21" s="7" t="str">
        <x:v>cohort A-24</x:v>
      </x:c>
      <x:c r="D21" s="7" t="str">
        <x:v>OCW-BIO-017</x:v>
      </x:c>
      <x:c r="E21" s="7" t="str">
        <x:v>ALPHA-A24-R03</x:v>
      </x:c>
      <x:c r="F21" s="8" t="n">
        <x:v>6.8</x:v>
      </x:c>
      <x:c r="G21" s="8" t="n">
        <x:v>6.76</x:v>
      </x:c>
      <x:c r="H21" s="8" t="n">
        <x:v>6.83</x:v>
      </x:c>
      <x:c r="I21" s="8" t="n">
        <x:f>AVERAGE(G21:H21)</x:f>
        <x:v>6.795</x:v>
      </x:c>
      <x:c r="J21" s="7" t="str">
        <x:v>PASS</x:v>
      </x:c>
    </x:row>
    <x:row r="22">
      <x:c r="A22" s="7" t="str">
        <x:v>OCW-A24-019</x:v>
      </x:c>
      <x:c r="B22" s="7" t="str">
        <x:v>Study Alpha</x:v>
      </x:c>
      <x:c r="C22" s="7" t="str">
        <x:v>cohort A-24</x:v>
      </x:c>
      <x:c r="D22" s="7" t="str">
        <x:v>OCW-BIO-017</x:v>
      </x:c>
      <x:c r="E22" s="7" t="str">
        <x:v>ALPHA-A24-R03</x:v>
      </x:c>
      <x:c r="F22" s="8" t="n">
        <x:v>7</x:v>
      </x:c>
      <x:c r="G22" s="8" t="n">
        <x:v>6.96</x:v>
      </x:c>
      <x:c r="H22" s="8" t="n">
        <x:v>7.03</x:v>
      </x:c>
      <x:c r="I22" s="8" t="n">
        <x:f>AVERAGE(G22:H22)</x:f>
        <x:v>6.995</x:v>
      </x:c>
      <x:c r="J22" s="7" t="str">
        <x:v>PASS</x:v>
      </x:c>
    </x:row>
    <x:row r="23">
      <x:c r="A23" s="7" t="str">
        <x:v>OCW-A24-020</x:v>
      </x:c>
      <x:c r="B23" s="7" t="str">
        <x:v>Study Alpha</x:v>
      </x:c>
      <x:c r="C23" s="7" t="str">
        <x:v>cohort A-24</x:v>
      </x:c>
      <x:c r="D23" s="7" t="str">
        <x:v>OCW-BIO-017</x:v>
      </x:c>
      <x:c r="E23" s="7" t="str">
        <x:v>ALPHA-A24-R03</x:v>
      </x:c>
      <x:c r="F23" s="8" t="n">
        <x:v>6.4</x:v>
      </x:c>
      <x:c r="G23" s="8" t="n">
        <x:v>6.36</x:v>
      </x:c>
      <x:c r="H23" s="8" t="n">
        <x:v>6.430000000000001</x:v>
      </x:c>
      <x:c r="I23" s="8" t="n">
        <x:f>AVERAGE(G23:H23)</x:f>
        <x:v>6.3950000000000005</x:v>
      </x:c>
      <x:c r="J23" s="7" t="str">
        <x:v>PASS</x:v>
      </x:c>
    </x:row>
    <x:row r="24">
      <x:c r="A24" s="7" t="str">
        <x:v>OCW-A24-021</x:v>
      </x:c>
      <x:c r="B24" s="7" t="str">
        <x:v>Study Alpha</x:v>
      </x:c>
      <x:c r="C24" s="7" t="str">
        <x:v>cohort A-24</x:v>
      </x:c>
      <x:c r="D24" s="7" t="str">
        <x:v>OCW-BIO-017</x:v>
      </x:c>
      <x:c r="E24" s="7" t="str">
        <x:v>ALPHA-A24-R03</x:v>
      </x:c>
      <x:c r="F24" s="8" t="n">
        <x:v>6.9</x:v>
      </x:c>
      <x:c r="G24" s="8" t="n">
        <x:v>6.86</x:v>
      </x:c>
      <x:c r="H24" s="8" t="n">
        <x:v>6.930000000000001</x:v>
      </x:c>
      <x:c r="I24" s="8" t="n">
        <x:f>AVERAGE(G24:H24)</x:f>
        <x:v>6.8950000000000005</x:v>
      </x:c>
      <x:c r="J24" s="7" t="str">
        <x:v>PASS</x:v>
      </x:c>
    </x:row>
    <x:row r="25">
      <x:c r="A25" s="7" t="str">
        <x:v>OCW-A24-022</x:v>
      </x:c>
      <x:c r="B25" s="7" t="str">
        <x:v>Study Alpha</x:v>
      </x:c>
      <x:c r="C25" s="7" t="str">
        <x:v>cohort A-24</x:v>
      </x:c>
      <x:c r="D25" s="7" t="str">
        <x:v>OCW-BIO-017</x:v>
      </x:c>
      <x:c r="E25" s="7" t="str">
        <x:v>ALPHA-A24-R03</x:v>
      </x:c>
      <x:c r="F25" s="8" t="n">
        <x:v>6.7</x:v>
      </x:c>
      <x:c r="G25" s="8" t="n">
        <x:v>6.66</x:v>
      </x:c>
      <x:c r="H25" s="8" t="n">
        <x:v>6.73</x:v>
      </x:c>
      <x:c r="I25" s="8" t="n">
        <x:f>AVERAGE(G25:H25)</x:f>
        <x:v>6.695</x:v>
      </x:c>
      <x:c r="J25" s="7" t="str">
        <x:v>PASS</x:v>
      </x:c>
    </x:row>
    <x:row r="26">
      <x:c r="A26" s="7" t="str">
        <x:v>OCW-A24-023</x:v>
      </x:c>
      <x:c r="B26" s="7" t="str">
        <x:v>Study Alpha</x:v>
      </x:c>
      <x:c r="C26" s="7" t="str">
        <x:v>cohort A-24</x:v>
      </x:c>
      <x:c r="D26" s="7" t="str">
        <x:v>OCW-BIO-017</x:v>
      </x:c>
      <x:c r="E26" s="7" t="str">
        <x:v>ALPHA-A24-R03</x:v>
      </x:c>
      <x:c r="F26" s="8" t="n">
        <x:v>6.8</x:v>
      </x:c>
      <x:c r="G26" s="8" t="n">
        <x:v>6.76</x:v>
      </x:c>
      <x:c r="H26" s="8" t="n">
        <x:v>6.83</x:v>
      </x:c>
      <x:c r="I26" s="8" t="n">
        <x:f>AVERAGE(G26:H26)</x:f>
        <x:v>6.795</x:v>
      </x:c>
      <x:c r="J26" s="7" t="str">
        <x:v>PASS</x:v>
      </x:c>
    </x:row>
    <x:row r="27">
      <x:c r="A27" s="7" t="str">
        <x:v>OCW-A24-024</x:v>
      </x:c>
      <x:c r="B27" s="7" t="str">
        <x:v>Study Alpha</x:v>
      </x:c>
      <x:c r="C27" s="7" t="str">
        <x:v>cohort A-24</x:v>
      </x:c>
      <x:c r="D27" s="7" t="str">
        <x:v>OCW-BIO-017</x:v>
      </x:c>
      <x:c r="E27" s="7" t="str">
        <x:v>ALPHA-A24-R03</x:v>
      </x:c>
      <x:c r="F27" s="8" t="n">
        <x:v>7.1</x:v>
      </x:c>
      <x:c r="G27" s="8" t="n">
        <x:v>7.06</x:v>
      </x:c>
      <x:c r="H27" s="8" t="n">
        <x:v>7.13</x:v>
      </x:c>
      <x:c r="I27" s="8" t="n">
        <x:f>AVERAGE(G27:H27)</x:f>
        <x:v>7.095</x:v>
      </x:c>
      <x:c r="J27" s="7" t="str">
        <x:v>PASS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8" hidden="0" customWidth="1"/>
    <x:col min="3" max="3" width="16" hidden="0" customWidth="1"/>
  </x:cols>
  <x:sheetData>
    <x:row r="1">
      <x:c r="A1" t="str">
        <x:v>Study Alpha Raw Export Review</x:v>
      </x:c>
    </x:row>
    <x:row r="2">
      <x:c r="A2" t="str">
        <x:v>Orchid Cellworks | synthetic documentation only | 2026-07-13</x:v>
      </x:c>
    </x:row>
    <x:row r="4">
      <x:c r="A4" s="9" t="str">
        <x:v>Metric</x:v>
      </x:c>
      <x:c r="B4" s="9" t="str">
        <x:v>Formula / definition</x:v>
      </x:c>
      <x:c r="C4" s="9" t="str">
        <x:v>Result</x:v>
      </x:c>
    </x:row>
    <x:row r="5">
      <x:c r="A5" s="7" t="str">
        <x:v>Synthetic rows</x:v>
      </x:c>
      <x:c r="B5" s="7" t="str">
        <x:v>Count of exported synthetic samples</x:v>
      </x:c>
      <x:c r="C5" s="8" t="n">
        <x:f>COUNTA('Raw Export'!A4:A27)</x:f>
        <x:v>24</x:v>
      </x:c>
    </x:row>
    <x:row r="6">
      <x:c r="A6" s="7" t="str">
        <x:v>Mean assay</x:v>
      </x:c>
      <x:c r="B6" s="7" t="str">
        <x:v>Average of raw assay results</x:v>
      </x:c>
      <x:c r="C6" s="8" t="n">
        <x:f>AVERAGE('Raw Export'!F4:F27)</x:f>
        <x:v>6.7375</x:v>
      </x:c>
    </x:row>
    <x:row r="7">
      <x:c r="A7" s="7" t="str">
        <x:v>Median assay</x:v>
      </x:c>
      <x:c r="B7" s="7" t="str">
        <x:v>Reference review value</x:v>
      </x:c>
      <x:c r="C7" s="8" t="n">
        <x:v>6.8</x:v>
      </x:c>
    </x:row>
    <x:row r="8">
      <x:c r="A8" s="7" t="str">
        <x:v>Blank control</x:v>
      </x:c>
      <x:c r="B8" s="7" t="str">
        <x:v>Instrument blank AU</x:v>
      </x:c>
      <x:c r="C8" s="8" t="n">
        <x:v>0.02</x:v>
      </x:c>
    </x:row>
  </x:sheetData>
  <x:mergeCells>
    <x:mergeCell ref="A1:F1"/>
  </x:mergeCells>
  <x:pageMargins left="0.7" right="0.7" top="0.75" bottom="0.75" header="0.3" footer="0.3"/>
</x:worksheet>
</file>