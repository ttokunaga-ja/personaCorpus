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0304ab7c0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 Data" sheetId="1" r:id="Rcea1603bc4334326"/>
    <x:sheet xmlns:r="http://schemas.openxmlformats.org/officeDocument/2006/relationships" name="Summary" sheetId="2" r:id="Raa3cd8f86223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1E293B"/>
      <x:name val="Aptos"/>
    </x:font>
    <x:font>
      <x:b/>
      <x:sz val="16"/>
      <x:color rgb="FFFFFFFF"/>
      <x:name val="Aptos Display"/>
    </x:font>
    <x:font>
      <x:b/>
      <x:sz val="11"/>
      <x:color rgb="FF0F172A"/>
      <x:name val="Aptos"/>
    </x:font>
    <x:font>
      <x:b/>
      <x:sz val="11"/>
      <x:color rgb="FF1E29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E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76b9aa1fc42fe" /><Relationship Type="http://schemas.openxmlformats.org/officeDocument/2006/relationships/theme" Target="/xl/theme/theme1.xml" Id="R1619c2a4c8bf4748" /><Relationship Type="http://schemas.openxmlformats.org/officeDocument/2006/relationships/sharedStrings" Target="/xl/sharedStrings.xml" Id="R1d575d1578354501" /><Relationship Type="http://schemas.openxmlformats.org/officeDocument/2006/relationships/worksheet" Target="/xl/worksheets/sheet1.xml" Id="Rcea1603bc4334326" /><Relationship Type="http://schemas.openxmlformats.org/officeDocument/2006/relationships/worksheet" Target="/xl/worksheets/sheet2.xml" Id="Raa3cd8f86223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.44000244140625" hidden="0" customWidth="1"/>
    <x:col min="2" max="2" width="12.779999732971191" hidden="0" customWidth="1"/>
    <x:col min="3" max="3" width="10.890000343322754" hidden="0" customWidth="1"/>
    <x:col min="4" max="4" width="12.890000343322754" hidden="0" customWidth="1"/>
    <x:col min="5" max="5" width="10.220000267028809" hidden="0" customWidth="1"/>
    <x:col min="6" max="6" width="5.21999979019165" hidden="0" customWidth="1"/>
  </x:cols>
  <x:sheetData>
    <x:row r="1" ht="30" hidden="0" customHeight="1">
      <x:c r="A1" s="4" t="str">
        <x:v>Orchid Cellworks | Study Alpha | cohort A-24 | QC workbook</x:v>
      </x:c>
      <x:c r="B1" s="4"/>
      <x:c r="C1" s="4"/>
      <x:c r="D1" s="4"/>
      <x:c r="E1" s="4"/>
      <x:c r="F1" s="4"/>
    </x:row>
    <x:row r="2" ht="26.399999618530273" hidden="0" customHeight="1">
      <x:c r="A2" s="9" t="str">
        <x:v>Synthetic sample</x:v>
      </x:c>
      <x:c r="B2" s="9" t="str">
        <x:v>Run</x:v>
      </x:c>
      <x:c r="C2" s="9" t="str">
        <x:v>Assay (ng/mL)</x:v>
      </x:c>
      <x:c r="D2" s="9" t="str">
        <x:v>Duplicate CV (%)</x:v>
      </x:c>
      <x:c r="E2" s="9" t="str">
        <x:v>Recovery (%)</x:v>
      </x:c>
      <x:c r="F2" s="9" t="str">
        <x:v>Status</x:v>
      </x:c>
    </x:row>
    <x:row r="3" ht="15" hidden="0" customHeight="1">
      <x:c r="A3" s="10" t="str">
        <x:v>OCW-A24-001</x:v>
      </x:c>
      <x:c r="B3" s="10" t="str">
        <x:v>ALPHA-A24-R03</x:v>
      </x:c>
      <x:c r="C3" s="10" t="n">
        <x:v>5.7</x:v>
      </x:c>
      <x:c r="D3" s="10" t="n">
        <x:v>3.2</x:v>
      </x:c>
      <x:c r="E3" s="10" t="n">
        <x:v>96.4</x:v>
      </x:c>
      <x:c r="F3" s="10" t="str">
        <x:v>PASS</x:v>
      </x:c>
    </x:row>
    <x:row r="4" ht="15" hidden="0" customHeight="1">
      <x:c r="A4" s="10" t="str">
        <x:v>OCW-A24-002</x:v>
      </x:c>
      <x:c r="B4" s="10" t="str">
        <x:v>ALPHA-A24-R03</x:v>
      </x:c>
      <x:c r="C4" s="10" t="n">
        <x:v>6.1</x:v>
      </x:c>
      <x:c r="D4" s="10" t="n">
        <x:v>3.9000000000000004</x:v>
      </x:c>
      <x:c r="E4" s="10" t="n">
        <x:v>97.2</x:v>
      </x:c>
      <x:c r="F4" s="10" t="str">
        <x:v>PASS</x:v>
      </x:c>
    </x:row>
    <x:row r="5" ht="15" hidden="0" customHeight="1">
      <x:c r="A5" s="10" t="str">
        <x:v>OCW-A24-003</x:v>
      </x:c>
      <x:c r="B5" s="10" t="str">
        <x:v>ALPHA-A24-R03</x:v>
      </x:c>
      <x:c r="C5" s="10" t="n">
        <x:v>6.3</x:v>
      </x:c>
      <x:c r="D5" s="10" t="n">
        <x:v>4.6</x:v>
      </x:c>
      <x:c r="E5" s="10" t="n">
        <x:v>98</x:v>
      </x:c>
      <x:c r="F5" s="10" t="str">
        <x:v>PASS</x:v>
      </x:c>
    </x:row>
    <x:row r="6" ht="15" hidden="0" customHeight="1">
      <x:c r="A6" s="10" t="str">
        <x:v>OCW-A24-004</x:v>
      </x:c>
      <x:c r="B6" s="10" t="str">
        <x:v>ALPHA-A24-R03</x:v>
      </x:c>
      <x:c r="C6" s="10" t="n">
        <x:v>6.4</x:v>
      </x:c>
      <x:c r="D6" s="10" t="n">
        <x:v>5.3</x:v>
      </x:c>
      <x:c r="E6" s="10" t="n">
        <x:v>98.80000000000001</x:v>
      </x:c>
      <x:c r="F6" s="10" t="str">
        <x:v>PASS</x:v>
      </x:c>
    </x:row>
    <x:row r="7" ht="15" hidden="0" customHeight="1">
      <x:c r="A7" s="10" t="str">
        <x:v>OCW-A24-005</x:v>
      </x:c>
      <x:c r="B7" s="10" t="str">
        <x:v>ALPHA-A24-R03</x:v>
      </x:c>
      <x:c r="C7" s="10" t="n">
        <x:v>6.5</x:v>
      </x:c>
      <x:c r="D7" s="10" t="n">
        <x:v>6</x:v>
      </x:c>
      <x:c r="E7" s="10" t="n">
        <x:v>99.60000000000001</x:v>
      </x:c>
      <x:c r="F7" s="10" t="str">
        <x:v>PASS</x:v>
      </x:c>
    </x:row>
    <x:row r="8" ht="15" hidden="0" customHeight="1">
      <x:c r="A8" s="10" t="str">
        <x:v>OCW-A24-006</x:v>
      </x:c>
      <x:c r="B8" s="10" t="str">
        <x:v>ALPHA-A24-R03</x:v>
      </x:c>
      <x:c r="C8" s="10" t="n">
        <x:v>6.6</x:v>
      </x:c>
      <x:c r="D8" s="10" t="n">
        <x:v>3.2</x:v>
      </x:c>
      <x:c r="E8" s="10" t="n">
        <x:v>100.4</x:v>
      </x:c>
      <x:c r="F8" s="10" t="str">
        <x:v>PASS</x:v>
      </x:c>
    </x:row>
    <x:row r="9" ht="15" hidden="0" customHeight="1">
      <x:c r="A9" s="10" t="str">
        <x:v>OCW-A24-007</x:v>
      </x:c>
      <x:c r="B9" s="10" t="str">
        <x:v>ALPHA-A24-R03</x:v>
      </x:c>
      <x:c r="C9" s="10" t="n">
        <x:v>6.7</x:v>
      </x:c>
      <x:c r="D9" s="10" t="n">
        <x:v>3.9000000000000004</x:v>
      </x:c>
      <x:c r="E9" s="10" t="n">
        <x:v>96.4</x:v>
      </x:c>
      <x:c r="F9" s="10" t="str">
        <x:v>PASS</x:v>
      </x:c>
    </x:row>
    <x:row r="10" ht="15" hidden="0" customHeight="1">
      <x:c r="A10" s="10" t="str">
        <x:v>OCW-A24-008</x:v>
      </x:c>
      <x:c r="B10" s="10" t="str">
        <x:v>ALPHA-A24-R03</x:v>
      </x:c>
      <x:c r="C10" s="10" t="n">
        <x:v>6.8</x:v>
      </x:c>
      <x:c r="D10" s="10" t="n">
        <x:v>4.6</x:v>
      </x:c>
      <x:c r="E10" s="10" t="n">
        <x:v>97.2</x:v>
      </x:c>
      <x:c r="F10" s="10" t="str">
        <x:v>PASS</x:v>
      </x:c>
    </x:row>
    <x:row r="11" ht="15" hidden="0" customHeight="1">
      <x:c r="A11" s="10" t="str">
        <x:v>OCW-A24-009</x:v>
      </x:c>
      <x:c r="B11" s="10" t="str">
        <x:v>ALPHA-A24-R03</x:v>
      </x:c>
      <x:c r="C11" s="10" t="n">
        <x:v>6.8</x:v>
      </x:c>
      <x:c r="D11" s="10" t="n">
        <x:v>5.3</x:v>
      </x:c>
      <x:c r="E11" s="10" t="n">
        <x:v>98</x:v>
      </x:c>
      <x:c r="F11" s="10" t="str">
        <x:v>PASS</x:v>
      </x:c>
    </x:row>
    <x:row r="12" ht="15" hidden="0" customHeight="1">
      <x:c r="A12" s="10" t="str">
        <x:v>OCW-A24-010</x:v>
      </x:c>
      <x:c r="B12" s="10" t="str">
        <x:v>ALPHA-A24-R03</x:v>
      </x:c>
      <x:c r="C12" s="10" t="n">
        <x:v>6.8</x:v>
      </x:c>
      <x:c r="D12" s="10" t="n">
        <x:v>6</x:v>
      </x:c>
      <x:c r="E12" s="10" t="n">
        <x:v>98.80000000000001</x:v>
      </x:c>
      <x:c r="F12" s="10" t="str">
        <x:v>PASS</x:v>
      </x:c>
    </x:row>
    <x:row r="13" ht="15" hidden="0" customHeight="1">
      <x:c r="A13" s="10" t="str">
        <x:v>OCW-A24-011</x:v>
      </x:c>
      <x:c r="B13" s="10" t="str">
        <x:v>ALPHA-A24-R03</x:v>
      </x:c>
      <x:c r="C13" s="10" t="n">
        <x:v>6.9</x:v>
      </x:c>
      <x:c r="D13" s="10" t="n">
        <x:v>3.2</x:v>
      </x:c>
      <x:c r="E13" s="10" t="n">
        <x:v>99.60000000000001</x:v>
      </x:c>
      <x:c r="F13" s="10" t="str">
        <x:v>PASS</x:v>
      </x:c>
    </x:row>
    <x:row r="14" ht="15" hidden="0" customHeight="1">
      <x:c r="A14" s="10" t="str">
        <x:v>OCW-A24-012</x:v>
      </x:c>
      <x:c r="B14" s="10" t="str">
        <x:v>ALPHA-A24-R03</x:v>
      </x:c>
      <x:c r="C14" s="10" t="n">
        <x:v>6.9</x:v>
      </x:c>
      <x:c r="D14" s="10" t="n">
        <x:v>3.9000000000000004</x:v>
      </x:c>
      <x:c r="E14" s="10" t="n">
        <x:v>100.4</x:v>
      </x:c>
      <x:c r="F14" s="10" t="str">
        <x:v>PASS</x:v>
      </x:c>
    </x:row>
    <x:row r="15" ht="15" hidden="0" customHeight="1">
      <x:c r="A15" s="10" t="str">
        <x:v>OCW-A24-013</x:v>
      </x:c>
      <x:c r="B15" s="10" t="str">
        <x:v>ALPHA-A24-R03</x:v>
      </x:c>
      <x:c r="C15" s="10" t="n">
        <x:v>6.7</x:v>
      </x:c>
      <x:c r="D15" s="10" t="n">
        <x:v>4.6</x:v>
      </x:c>
      <x:c r="E15" s="10" t="n">
        <x:v>96.4</x:v>
      </x:c>
      <x:c r="F15" s="10" t="str">
        <x:v>PASS</x:v>
      </x:c>
    </x:row>
    <x:row r="16" ht="15" hidden="0" customHeight="1">
      <x:c r="A16" s="10" t="str">
        <x:v>OCW-A24-014</x:v>
      </x:c>
      <x:c r="B16" s="10" t="str">
        <x:v>ALPHA-A24-R03</x:v>
      </x:c>
      <x:c r="C16" s="10" t="n">
        <x:v>6.8</x:v>
      </x:c>
      <x:c r="D16" s="10" t="n">
        <x:v>5.3</x:v>
      </x:c>
      <x:c r="E16" s="10" t="n">
        <x:v>97.2</x:v>
      </x:c>
      <x:c r="F16" s="10" t="str">
        <x:v>PASS</x:v>
      </x:c>
    </x:row>
    <x:row r="17" ht="15" hidden="0" customHeight="1">
      <x:c r="A17" s="10" t="str">
        <x:v>OCW-A24-015</x:v>
      </x:c>
      <x:c r="B17" s="10" t="str">
        <x:v>ALPHA-A24-R03</x:v>
      </x:c>
      <x:c r="C17" s="10" t="n">
        <x:v>6.9</x:v>
      </x:c>
      <x:c r="D17" s="10" t="n">
        <x:v>6</x:v>
      </x:c>
      <x:c r="E17" s="10" t="n">
        <x:v>98</x:v>
      </x:c>
      <x:c r="F17" s="10" t="str">
        <x:v>PASS</x:v>
      </x:c>
    </x:row>
    <x:row r="18" ht="15" hidden="0" customHeight="1">
      <x:c r="A18" s="10" t="str">
        <x:v>OCW-A24-016</x:v>
      </x:c>
      <x:c r="B18" s="10" t="str">
        <x:v>ALPHA-A24-R03</x:v>
      </x:c>
      <x:c r="C18" s="10" t="n">
        <x:v>7</x:v>
      </x:c>
      <x:c r="D18" s="10" t="n">
        <x:v>3.2</x:v>
      </x:c>
      <x:c r="E18" s="10" t="n">
        <x:v>98.80000000000001</x:v>
      </x:c>
      <x:c r="F18" s="10" t="str">
        <x:v>PASS</x:v>
      </x:c>
    </x:row>
    <x:row r="19" ht="15" hidden="0" customHeight="1">
      <x:c r="A19" s="10" t="str">
        <x:v>OCW-A24-017</x:v>
      </x:c>
      <x:c r="B19" s="10" t="str">
        <x:v>ALPHA-A24-R03</x:v>
      </x:c>
      <x:c r="C19" s="10" t="n">
        <x:v>6.8</x:v>
      </x:c>
      <x:c r="D19" s="10" t="n">
        <x:v>3.9000000000000004</x:v>
      </x:c>
      <x:c r="E19" s="10" t="n">
        <x:v>99.60000000000001</x:v>
      </x:c>
      <x:c r="F19" s="10" t="str">
        <x:v>PASS</x:v>
      </x:c>
    </x:row>
    <x:row r="20" ht="15" hidden="0" customHeight="1">
      <x:c r="A20" s="10" t="str">
        <x:v>OCW-A24-018</x:v>
      </x:c>
      <x:c r="B20" s="10" t="str">
        <x:v>ALPHA-A24-R03</x:v>
      </x:c>
      <x:c r="C20" s="10" t="n">
        <x:v>6.7</x:v>
      </x:c>
      <x:c r="D20" s="10" t="n">
        <x:v>4.6</x:v>
      </x:c>
      <x:c r="E20" s="10" t="n">
        <x:v>100.4</x:v>
      </x:c>
      <x:c r="F20" s="10" t="str">
        <x:v>PASS</x:v>
      </x:c>
    </x:row>
    <x:row r="21" ht="15" hidden="0" customHeight="1">
      <x:c r="A21" s="10" t="str">
        <x:v>OCW-A24-019</x:v>
      </x:c>
      <x:c r="B21" s="10" t="str">
        <x:v>ALPHA-A24-R03</x:v>
      </x:c>
      <x:c r="C21" s="10" t="n">
        <x:v>6.9</x:v>
      </x:c>
      <x:c r="D21" s="10" t="n">
        <x:v>5.3</x:v>
      </x:c>
      <x:c r="E21" s="10" t="n">
        <x:v>96.4</x:v>
      </x:c>
      <x:c r="F21" s="10" t="str">
        <x:v>PASS</x:v>
      </x:c>
    </x:row>
    <x:row r="22" ht="15" hidden="0" customHeight="1">
      <x:c r="A22" s="10" t="str">
        <x:v>OCW-A24-020</x:v>
      </x:c>
      <x:c r="B22" s="10" t="str">
        <x:v>ALPHA-A24-R03</x:v>
      </x:c>
      <x:c r="C22" s="10" t="n">
        <x:v>6.8</x:v>
      </x:c>
      <x:c r="D22" s="10" t="n">
        <x:v>6</x:v>
      </x:c>
      <x:c r="E22" s="10" t="n">
        <x:v>97.2</x:v>
      </x:c>
      <x:c r="F22" s="10" t="str">
        <x:v>PASS</x:v>
      </x:c>
    </x:row>
    <x:row r="23" ht="15" hidden="0" customHeight="1">
      <x:c r="A23" s="10" t="str">
        <x:v>OCW-A24-021</x:v>
      </x:c>
      <x:c r="B23" s="10" t="str">
        <x:v>ALPHA-A24-R03</x:v>
      </x:c>
      <x:c r="C23" s="10" t="n">
        <x:v>6.6</x:v>
      </x:c>
      <x:c r="D23" s="10" t="n">
        <x:v>3.2</x:v>
      </x:c>
      <x:c r="E23" s="10" t="n">
        <x:v>98</x:v>
      </x:c>
      <x:c r="F23" s="10" t="str">
        <x:v>PASS</x:v>
      </x:c>
    </x:row>
    <x:row r="24" ht="15" hidden="0" customHeight="1">
      <x:c r="A24" s="10" t="str">
        <x:v>OCW-A24-022</x:v>
      </x:c>
      <x:c r="B24" s="10" t="str">
        <x:v>ALPHA-A24-R03</x:v>
      </x:c>
      <x:c r="C24" s="10" t="n">
        <x:v>6.7</x:v>
      </x:c>
      <x:c r="D24" s="10" t="n">
        <x:v>3.9000000000000004</x:v>
      </x:c>
      <x:c r="E24" s="10" t="n">
        <x:v>98.80000000000001</x:v>
      </x:c>
      <x:c r="F24" s="10" t="str">
        <x:v>PASS</x:v>
      </x:c>
    </x:row>
    <x:row r="25" ht="15" hidden="0" customHeight="1">
      <x:c r="A25" s="10" t="str">
        <x:v>OCW-A24-023</x:v>
      </x:c>
      <x:c r="B25" s="10" t="str">
        <x:v>ALPHA-A24-R03</x:v>
      </x:c>
      <x:c r="C25" s="10" t="n">
        <x:v>6.9</x:v>
      </x:c>
      <x:c r="D25" s="10" t="n">
        <x:v>4.6</x:v>
      </x:c>
      <x:c r="E25" s="10" t="n">
        <x:v>99.60000000000001</x:v>
      </x:c>
      <x:c r="F25" s="10" t="str">
        <x:v>PASS</x:v>
      </x:c>
    </x:row>
    <x:row r="26" ht="15" hidden="0" customHeight="1">
      <x:c r="A26" s="10" t="str">
        <x:v>OCW-A24-024</x:v>
      </x:c>
      <x:c r="B26" s="10" t="str">
        <x:v>ALPHA-A24-R03</x:v>
      </x:c>
      <x:c r="C26" s="10" t="n">
        <x:v>6.8</x:v>
      </x:c>
      <x:c r="D26" s="10" t="n">
        <x:v>5.3</x:v>
      </x:c>
      <x:c r="E26" s="10" t="n">
        <x:v>100.4</x:v>
      </x:c>
      <x:c r="F26" s="10" t="str">
        <x:v>PASS</x:v>
      </x:c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 t="str">
        <x:v>All values are completely synthetic. Reference date: 2026-07-13; assay target: 6.8 ng/mL.</x:v>
      </x:c>
      <x:c r="B28" s="2"/>
      <x:c r="C28" s="2"/>
      <x:c r="D28" s="2"/>
      <x:c r="E28" s="2"/>
      <x:c r="F28" s="2"/>
    </x:row>
  </x:sheetData>
  <x:mergeCells>
    <x:mergeCell ref="A1:F1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80000686645508" hidden="0" customWidth="1"/>
    <x:col min="2" max="2" width="13" hidden="0" customWidth="1"/>
  </x:cols>
  <x:sheetData>
    <x:row r="1" ht="30" hidden="0" customHeight="1">
      <x:c r="A1" s="4" t="str">
        <x:v>Study Alpha cohort A-24 QC Summary</x:v>
      </x:c>
      <x:c r="B1" s="4"/>
      <x:c r="C1" s="4"/>
      <x:c r="D1" s="4"/>
      <x:c r="E1" s="6"/>
      <x:c r="F1" s="6"/>
    </x:row>
    <x:row r="2" ht="15" hidden="0" customHeight="1">
      <x:c r="A2" s="2"/>
      <x:c r="B2" s="2"/>
      <x:c r="C2" s="2"/>
      <x:c r="D2" s="2"/>
    </x:row>
    <x:row r="3" ht="15" hidden="0" customHeight="1">
      <x:c r="A3" s="12" t="str">
        <x:v>Metric</x:v>
      </x:c>
      <x:c r="B3" s="12" t="str">
        <x:v>Value</x:v>
      </x:c>
      <x:c r="C3" s="2"/>
      <x:c r="D3" s="2"/>
    </x:row>
    <x:row r="4" ht="15" hidden="0" customHeight="1">
      <x:c r="A4" s="10" t="str">
        <x:v>Synthetic n</x:v>
      </x:c>
      <x:c r="B4" s="10" t="n">
        <x:v>24</x:v>
      </x:c>
      <x:c r="C4" s="2"/>
      <x:c r="D4" s="2"/>
    </x:row>
    <x:row r="5" ht="15" hidden="0" customHeight="1">
      <x:c r="A5" s="10" t="str">
        <x:v>Median assay (ng/mL)</x:v>
      </x:c>
      <x:c r="B5" s="13" t="n">
        <x:f>MEDIAN('Analysis Data'!C3:C26)</x:f>
        <x:v>6.8</x:v>
      </x:c>
      <x:c r="C5" s="2"/>
      <x:c r="D5" s="2"/>
    </x:row>
    <x:row r="6" ht="15" hidden="0" customHeight="1">
      <x:c r="A6" s="10" t="str">
        <x:v>Mean assay (ng/mL)</x:v>
      </x:c>
      <x:c r="B6" s="13" t="n">
        <x:f>AVERAGE('Analysis Data'!C3:C26)</x:f>
        <x:v>6.670833333333334</x:v>
      </x:c>
      <x:c r="C6" s="2"/>
      <x:c r="D6" s="2"/>
    </x:row>
    <x:row r="7" ht="15" hidden="0" customHeight="1">
      <x:c r="A7" s="10" t="str">
        <x:v>Max duplicate CV (%)</x:v>
      </x:c>
      <x:c r="B7" s="13" t="n">
        <x:f>MAX('Analysis Data'!D3:D26)</x:f>
        <x:v>6</x:v>
      </x:c>
      <x:c r="C7" s="2"/>
      <x:c r="D7" s="2"/>
    </x:row>
    <x:row r="8" ht="15" hidden="0" customHeight="1">
      <x:c r="A8" s="2"/>
      <x:c r="B8" s="2"/>
      <x:c r="C8" s="2"/>
      <x:c r="D8" s="2"/>
    </x:row>
    <x:row r="9" ht="15" hidden="0" customHeight="1">
      <x:c r="A9" s="2" t="str">
        <x:v>Review context</x:v>
      </x:c>
      <x:c r="B9" s="2" t="str">
        <x:v>Value</x:v>
      </x:c>
      <x:c r="C9" s="2" t="str"/>
      <x:c r="D9" s="2" t="str"/>
    </x:row>
    <x:row r="10" ht="15" hidden="0" customHeight="1">
      <x:c r="A10" s="2" t="str">
        <x:v>Organization</x:v>
      </x:c>
      <x:c r="B10" s="2" t="str">
        <x:v>Orchid Cellworks</x:v>
      </x:c>
      <x:c r="C10" s="2" t="str"/>
      <x:c r="D10" s="2" t="str"/>
    </x:row>
    <x:row r="11" ht="15" hidden="0" customHeight="1">
      <x:c r="A11" s="2" t="str">
        <x:v>Study</x:v>
      </x:c>
      <x:c r="B11" s="2" t="str">
        <x:v>Study Alpha</x:v>
      </x:c>
      <x:c r="C11" s="2" t="str"/>
      <x:c r="D11" s="2" t="str"/>
    </x:row>
    <x:row r="12" ht="15" hidden="0" customHeight="1">
      <x:c r="A12" s="2" t="str">
        <x:v>Reference date</x:v>
      </x:c>
      <x:c r="B12" s="2" t="str">
        <x:v>2026-07-13</x:v>
      </x:c>
      <x:c r="C12" s="2" t="str"/>
      <x:c r="D12" s="2" t="str"/>
    </x:row>
  </x:sheetData>
  <x:mergeCells>
    <x:mergeCell ref="A1:D1"/>
  </x:mergeCells>
  <x:pageMargins left="0.7" right="0.7" top="0.75" bottom="0.75" header="0.3" footer="0.3"/>
</x:worksheet>
</file>