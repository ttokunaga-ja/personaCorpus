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e6ed305bb43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itative Readout" sheetId="1" r:id="Rd4e012fbc3dc4963"/>
    <x:sheet xmlns:r="http://schemas.openxmlformats.org/officeDocument/2006/relationships" name="Record Model" sheetId="2" r:id="Rd155b61fcc2d4183"/>
    <x:sheet xmlns:r="http://schemas.openxmlformats.org/officeDocument/2006/relationships" name="QC Acceptance" sheetId="3" r:id="R9cbd608a30bb4e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D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b9306bd784249" /><Relationship Type="http://schemas.openxmlformats.org/officeDocument/2006/relationships/theme" Target="/xl/theme/theme1.xml" Id="R7ec1446b178a42c6" /><Relationship Type="http://schemas.openxmlformats.org/officeDocument/2006/relationships/sharedStrings" Target="/xl/sharedStrings.xml" Id="Rc15b17a722254c52" /><Relationship Type="http://schemas.openxmlformats.org/officeDocument/2006/relationships/worksheet" Target="/xl/worksheets/sheet1.xml" Id="Rd4e012fbc3dc4963" /><Relationship Type="http://schemas.openxmlformats.org/officeDocument/2006/relationships/worksheet" Target="/xl/worksheets/sheet2.xml" Id="Rd155b61fcc2d4183" /><Relationship Type="http://schemas.openxmlformats.org/officeDocument/2006/relationships/worksheet" Target="/xl/worksheets/sheet3.xml" Id="R9cbd608a30bb4e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.439998626708984" hidden="0" customWidth="1"/>
    <x:col min="2" max="2" width="13" hidden="0" customWidth="1"/>
    <x:col min="4" max="4" width="12.109999656677246" hidden="0" customWidth="1"/>
    <x:col min="5" max="5" width="7.329999923706055" hidden="0" customWidth="1"/>
  </x:cols>
  <x:sheetData>
    <x:row r="1">
      <x:c r="A1" s="3" t="str">
        <x:v>Study Beta B-16 authoritative analytical model</x:v>
      </x:c>
      <x:c r="B1" s="3"/>
      <x:c r="C1" s="3"/>
      <x:c r="D1" s="3"/>
      <x:c r="E1" s="3"/>
      <x:c r="F1" s="3"/>
      <x:c r="G1" s="3"/>
      <x:c r="H1" s="3"/>
    </x:row>
    <x:row r="2">
      <x:c r="A2" s="1"/>
      <x:c r="B2" s="1"/>
      <x:c r="C2" s="1"/>
      <x:c r="D2" s="1"/>
      <x:c r="E2" s="1"/>
      <x:c r="F2" s="1"/>
      <x:c r="G2" s="1"/>
      <x:c r="H2" s="1"/>
    </x:row>
    <x:row r="3">
      <x:c r="A3" s="1" t="str">
        <x:v>Organization</x:v>
      </x:c>
      <x:c r="B3" s="1" t="str">
        <x:v>Orchid Cellworks</x:v>
      </x:c>
      <x:c r="C3" s="1"/>
      <x:c r="D3" s="1" t="str">
        <x:v>Model output</x:v>
      </x:c>
      <x:c r="E3" s="1" t="str">
        <x:v>Value</x:v>
      </x:c>
      <x:c r="F3" s="1"/>
      <x:c r="G3" s="1"/>
      <x:c r="H3" s="1"/>
    </x:row>
    <x:row r="4">
      <x:c r="A4" s="1" t="str">
        <x:v>Reference date</x:v>
      </x:c>
      <x:c r="B4" s="1" t="str">
        <x:v>2026-07-13</x:v>
      </x:c>
      <x:c r="C4" s="1"/>
      <x:c r="D4" s="1" t="str">
        <x:v>Record count</x:v>
      </x:c>
      <x:c r="E4" s="1" t="n">
        <x:v>16</x:v>
      </x:c>
      <x:c r="F4" s="1"/>
      <x:c r="G4" s="1"/>
      <x:c r="H4" s="1"/>
    </x:row>
    <x:row r="5">
      <x:c r="A5" s="1" t="str">
        <x:v>Primary study</x:v>
      </x:c>
      <x:c r="B5" s="1" t="str">
        <x:v>Study Beta</x:v>
      </x:c>
      <x:c r="C5" s="1"/>
      <x:c r="D5" s="1" t="str">
        <x:v>Observed mean</x:v>
      </x:c>
      <x:c r="E5" s="1" t="n">
        <x:f>AVERAGE('Record Model'!D2:D17)</x:f>
        <x:v>1.1356249999999999</x:v>
      </x:c>
      <x:c r="F5" s="1"/>
      <x:c r="G5" s="1"/>
      <x:c r="H5" s="1"/>
    </x:row>
    <x:row r="6">
      <x:c r="A6" s="1" t="str">
        <x:v>Alpha cross-study reference</x:v>
      </x:c>
      <x:c r="B6" s="1" t="str">
        <x:v>Study Alpha</x:v>
      </x:c>
      <x:c r="C6" s="1"/>
      <x:c r="D6" s="1" t="str">
        <x:v>Observed delta</x:v>
      </x:c>
      <x:c r="E6" s="1" t="n">
        <x:f>E5-B9</x:f>
        <x:v>0.13562499999999988</x:v>
      </x:c>
      <x:c r="F6" s="1"/>
      <x:c r="G6" s="1"/>
      <x:c r="H6" s="1"/>
    </x:row>
    <x:row r="7">
      <x:c r="A7" s="1" t="str">
        <x:v>Reference cohort</x:v>
      </x:c>
      <x:c r="B7" s="1" t="str">
        <x:v>cohort A-24</x:v>
      </x:c>
      <x:c r="C7" s="1"/>
      <x:c r="D7" s="1" t="str">
        <x:v>Decision</x:v>
      </x:c>
      <x:c r="E7" s="1" t="str">
        <x:v>REVIEW</x:v>
      </x:c>
      <x:c r="F7" s="1"/>
      <x:c r="G7" s="1"/>
      <x:c r="H7" s="1"/>
    </x:row>
    <x:row r="8">
      <x:c r="A8" s="1" t="str">
        <x:v>Alpha assay anchor</x:v>
      </x:c>
      <x:c r="B8" s="1" t="str">
        <x:v>assay 6.8 ng/mL</x:v>
      </x:c>
      <x:c r="C8" s="1"/>
      <x:c r="D8" s="1"/>
      <x:c r="E8" s="1"/>
      <x:c r="F8" s="1"/>
      <x:c r="G8" s="1"/>
      <x:c r="H8" s="1"/>
    </x:row>
    <x:row r="9">
      <x:c r="A9" s="1" t="str">
        <x:v>Baseline (AU)</x:v>
      </x:c>
      <x:c r="B9" s="1" t="n">
        <x:v>1</x:v>
      </x:c>
      <x:c r="C9" s="1"/>
      <x:c r="D9" s="1"/>
      <x:c r="E9" s="1"/>
      <x:c r="F9" s="1"/>
      <x:c r="G9" s="1"/>
      <x:c r="H9" s="1"/>
    </x:row>
    <x:row r="10">
      <x:c r="A10" s="1" t="str">
        <x:v>Planning target (AU)</x:v>
      </x:c>
      <x:c r="B10" s="1" t="n">
        <x:v>1.18</x:v>
      </x:c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329999923706055" hidden="0" customWidth="1"/>
    <x:col min="2" max="2" width="8" hidden="0" customWidth="1"/>
    <x:col min="3" max="3" width="10.890000343322754" hidden="0" customWidth="1"/>
    <x:col min="4" max="4" width="12" hidden="0" customWidth="1"/>
    <x:col min="5" max="5" width="8.329999923706055" hidden="0" customWidth="1"/>
    <x:col min="6" max="6" width="11.5600004196167" hidden="0" customWidth="1"/>
  </x:cols>
  <x:sheetData>
    <x:row r="1">
      <x:c r="A1" s="3" t="str">
        <x:v>Synthetic ID</x:v>
      </x:c>
      <x:c r="B1" s="3" t="str">
        <x:v>Condition</x:v>
      </x:c>
      <x:c r="C1" s="3" t="str">
        <x:v>Baseline (AU)</x:v>
      </x:c>
      <x:c r="D1" s="3" t="str">
        <x:v>Response (AU)</x:v>
      </x:c>
      <x:c r="E1" s="3" t="str">
        <x:v>Delta (AU)</x:v>
      </x:c>
      <x:c r="F1" s="3" t="str">
        <x:v>Run</x:v>
      </x:c>
      <x:c r="G1" s="3"/>
      <x:c r="H1" s="3"/>
    </x:row>
    <x:row r="2">
      <x:c r="A2" s="1" t="str">
        <x:v>OCW-B16-001</x:v>
      </x:c>
      <x:c r="B2" s="1" t="str">
        <x:v>Vehicle</x:v>
      </x:c>
      <x:c r="C2" s="1" t="n">
        <x:v>1</x:v>
      </x:c>
      <x:c r="D2" s="1" t="n">
        <x:v>0.98</x:v>
      </x:c>
      <x:c r="E2" s="1" t="n">
        <x:f>D2-C2</x:f>
        <x:v>-0.020000000000000018</x:v>
      </x:c>
      <x:c r="F2" s="1" t="str">
        <x:v>BETA-B16-R02</x:v>
      </x:c>
      <x:c r="G2" s="1"/>
      <x:c r="H2" s="1"/>
    </x:row>
    <x:row r="3">
      <x:c r="A3" s="1" t="str">
        <x:v>OCW-B16-002</x:v>
      </x:c>
      <x:c r="B3" s="1" t="str">
        <x:v>Vehicle</x:v>
      </x:c>
      <x:c r="C3" s="1" t="n">
        <x:v>1</x:v>
      </x:c>
      <x:c r="D3" s="1" t="n">
        <x:v>1.03</x:v>
      </x:c>
      <x:c r="E3" s="1" t="n">
        <x:f>D3-C3</x:f>
        <x:v>0.030000000000000027</x:v>
      </x:c>
      <x:c r="F3" s="1" t="str">
        <x:v>BETA-B16-R02</x:v>
      </x:c>
      <x:c r="G3" s="1"/>
      <x:c r="H3" s="1"/>
    </x:row>
    <x:row r="4">
      <x:c r="A4" s="1" t="str">
        <x:v>OCW-B16-003</x:v>
      </x:c>
      <x:c r="B4" s="1" t="str">
        <x:v>Vehicle</x:v>
      </x:c>
      <x:c r="C4" s="1" t="n">
        <x:v>1</x:v>
      </x:c>
      <x:c r="D4" s="1" t="n">
        <x:v>1.01</x:v>
      </x:c>
      <x:c r="E4" s="1" t="n">
        <x:f>D4-C4</x:f>
        <x:v>0.010000000000000009</x:v>
      </x:c>
      <x:c r="F4" s="1" t="str">
        <x:v>BETA-B16-R02</x:v>
      </x:c>
      <x:c r="G4" s="1"/>
      <x:c r="H4" s="1"/>
    </x:row>
    <x:row r="5">
      <x:c r="A5" s="1" t="str">
        <x:v>OCW-B16-004</x:v>
      </x:c>
      <x:c r="B5" s="1" t="str">
        <x:v>Vehicle</x:v>
      </x:c>
      <x:c r="C5" s="1" t="n">
        <x:v>1</x:v>
      </x:c>
      <x:c r="D5" s="1" t="n">
        <x:v>1.07</x:v>
      </x:c>
      <x:c r="E5" s="1" t="n">
        <x:f>D5-C5</x:f>
        <x:v>0.07000000000000006</x:v>
      </x:c>
      <x:c r="F5" s="1" t="str">
        <x:v>BETA-B16-R02</x:v>
      </x:c>
      <x:c r="G5" s="1"/>
      <x:c r="H5" s="1"/>
    </x:row>
    <x:row r="6">
      <x:c r="A6" s="1" t="str">
        <x:v>OCW-B16-005</x:v>
      </x:c>
      <x:c r="B6" s="1" t="str">
        <x:v>Vehicle</x:v>
      </x:c>
      <x:c r="C6" s="1" t="n">
        <x:v>1</x:v>
      </x:c>
      <x:c r="D6" s="1" t="n">
        <x:v>1.1</x:v>
      </x:c>
      <x:c r="E6" s="1" t="n">
        <x:f>D6-C6</x:f>
        <x:v>0.10000000000000009</x:v>
      </x:c>
      <x:c r="F6" s="1" t="str">
        <x:v>BETA-B16-R02</x:v>
      </x:c>
      <x:c r="G6" s="1"/>
      <x:c r="H6" s="1"/>
    </x:row>
    <x:row r="7">
      <x:c r="A7" s="1" t="str">
        <x:v>OCW-B16-006</x:v>
      </x:c>
      <x:c r="B7" s="1" t="str">
        <x:v>Vehicle</x:v>
      </x:c>
      <x:c r="C7" s="1" t="n">
        <x:v>1</x:v>
      </x:c>
      <x:c r="D7" s="1" t="n">
        <x:v>1.12</x:v>
      </x:c>
      <x:c r="E7" s="1" t="n">
        <x:f>D7-C7</x:f>
        <x:v>0.1200000000000001</x:v>
      </x:c>
      <x:c r="F7" s="1" t="str">
        <x:v>BETA-B16-R02</x:v>
      </x:c>
      <x:c r="G7" s="1"/>
      <x:c r="H7" s="1"/>
    </x:row>
    <x:row r="8">
      <x:c r="A8" s="1" t="str">
        <x:v>OCW-B16-007</x:v>
      </x:c>
      <x:c r="B8" s="1" t="str">
        <x:v>Vehicle</x:v>
      </x:c>
      <x:c r="C8" s="1" t="n">
        <x:v>1</x:v>
      </x:c>
      <x:c r="D8" s="1" t="n">
        <x:v>1.15</x:v>
      </x:c>
      <x:c r="E8" s="1" t="n">
        <x:f>D8-C8</x:f>
        <x:v>0.1499999999999999</x:v>
      </x:c>
      <x:c r="F8" s="1" t="str">
        <x:v>BETA-B16-R02</x:v>
      </x:c>
      <x:c r="G8" s="1"/>
      <x:c r="H8" s="1"/>
    </x:row>
    <x:row r="9">
      <x:c r="A9" s="1" t="str">
        <x:v>OCW-B16-008</x:v>
      </x:c>
      <x:c r="B9" s="1" t="str">
        <x:v>Vehicle</x:v>
      </x:c>
      <x:c r="C9" s="1" t="n">
        <x:v>1</x:v>
      </x:c>
      <x:c r="D9" s="1" t="n">
        <x:v>1.17</x:v>
      </x:c>
      <x:c r="E9" s="1" t="n">
        <x:f>D9-C9</x:f>
        <x:v>0.16999999999999993</x:v>
      </x:c>
      <x:c r="F9" s="1" t="str">
        <x:v>BETA-B16-R02</x:v>
      </x:c>
      <x:c r="G9" s="1"/>
      <x:c r="H9" s="1"/>
    </x:row>
    <x:row r="10">
      <x:c r="A10" s="1" t="str">
        <x:v>OCW-B16-009</x:v>
      </x:c>
      <x:c r="B10" s="1" t="str">
        <x:v>Treated</x:v>
      </x:c>
      <x:c r="C10" s="1" t="n">
        <x:v>1</x:v>
      </x:c>
      <x:c r="D10" s="1" t="n">
        <x:v>1.18</x:v>
      </x:c>
      <x:c r="E10" s="1" t="n">
        <x:f>D10-C10</x:f>
        <x:v>0.17999999999999994</x:v>
      </x:c>
      <x:c r="F10" s="1" t="str">
        <x:v>BETA-B16-R02</x:v>
      </x:c>
      <x:c r="G10" s="1"/>
      <x:c r="H10" s="1"/>
    </x:row>
    <x:row r="11">
      <x:c r="A11" s="1" t="str">
        <x:v>OCW-B16-010</x:v>
      </x:c>
      <x:c r="B11" s="1" t="str">
        <x:v>Treated</x:v>
      </x:c>
      <x:c r="C11" s="1" t="n">
        <x:v>1</x:v>
      </x:c>
      <x:c r="D11" s="1" t="n">
        <x:v>1.19</x:v>
      </x:c>
      <x:c r="E11" s="1" t="n">
        <x:f>D11-C11</x:f>
        <x:v>0.18999999999999995</x:v>
      </x:c>
      <x:c r="F11" s="1" t="str">
        <x:v>BETA-B16-R02</x:v>
      </x:c>
      <x:c r="G11" s="1"/>
      <x:c r="H11" s="1"/>
    </x:row>
    <x:row r="12">
      <x:c r="A12" s="1" t="str">
        <x:v>OCW-B16-011</x:v>
      </x:c>
      <x:c r="B12" s="1" t="str">
        <x:v>Treated</x:v>
      </x:c>
      <x:c r="C12" s="1" t="n">
        <x:v>1</x:v>
      </x:c>
      <x:c r="D12" s="1" t="n">
        <x:v>1.2</x:v>
      </x:c>
      <x:c r="E12" s="1" t="n">
        <x:f>D12-C12</x:f>
        <x:v>0.19999999999999996</x:v>
      </x:c>
      <x:c r="F12" s="1" t="str">
        <x:v>BETA-B16-R02</x:v>
      </x:c>
      <x:c r="G12" s="1"/>
      <x:c r="H12" s="1"/>
    </x:row>
    <x:row r="13">
      <x:c r="A13" s="1" t="str">
        <x:v>OCW-B16-012</x:v>
      </x:c>
      <x:c r="B13" s="1" t="str">
        <x:v>Treated</x:v>
      </x:c>
      <x:c r="C13" s="1" t="n">
        <x:v>1</x:v>
      </x:c>
      <x:c r="D13" s="1" t="n">
        <x:v>1.18</x:v>
      </x:c>
      <x:c r="E13" s="1" t="n">
        <x:f>D13-C13</x:f>
        <x:v>0.17999999999999994</x:v>
      </x:c>
      <x:c r="F13" s="1" t="str">
        <x:v>BETA-B16-R02</x:v>
      </x:c>
      <x:c r="G13" s="1"/>
      <x:c r="H13" s="1"/>
    </x:row>
    <x:row r="14">
      <x:c r="A14" s="1" t="str">
        <x:v>OCW-B16-013</x:v>
      </x:c>
      <x:c r="B14" s="1" t="str">
        <x:v>Treated</x:v>
      </x:c>
      <x:c r="C14" s="1" t="n">
        <x:v>1</x:v>
      </x:c>
      <x:c r="D14" s="1" t="n">
        <x:v>1.22</x:v>
      </x:c>
      <x:c r="E14" s="1" t="n">
        <x:f>D14-C14</x:f>
        <x:v>0.21999999999999997</x:v>
      </x:c>
      <x:c r="F14" s="1" t="str">
        <x:v>BETA-B16-R02</x:v>
      </x:c>
      <x:c r="G14" s="1"/>
      <x:c r="H14" s="1"/>
    </x:row>
    <x:row r="15">
      <x:c r="A15" s="1" t="str">
        <x:v>OCW-B16-014</x:v>
      </x:c>
      <x:c r="B15" s="1" t="str">
        <x:v>Treated</x:v>
      </x:c>
      <x:c r="C15" s="1" t="n">
        <x:v>1</x:v>
      </x:c>
      <x:c r="D15" s="1" t="n">
        <x:v>1.17</x:v>
      </x:c>
      <x:c r="E15" s="1" t="n">
        <x:f>D15-C15</x:f>
        <x:v>0.16999999999999993</x:v>
      </x:c>
      <x:c r="F15" s="1" t="str">
        <x:v>BETA-B16-R02</x:v>
      </x:c>
      <x:c r="G15" s="1"/>
      <x:c r="H15" s="1"/>
    </x:row>
    <x:row r="16">
      <x:c r="A16" s="1" t="str">
        <x:v>OCW-B16-015</x:v>
      </x:c>
      <x:c r="B16" s="1" t="str">
        <x:v>Treated</x:v>
      </x:c>
      <x:c r="C16" s="1" t="n">
        <x:v>1</x:v>
      </x:c>
      <x:c r="D16" s="1" t="n">
        <x:v>1.21</x:v>
      </x:c>
      <x:c r="E16" s="1" t="n">
        <x:f>D16-C16</x:f>
        <x:v>0.20999999999999996</x:v>
      </x:c>
      <x:c r="F16" s="1" t="str">
        <x:v>BETA-B16-R02</x:v>
      </x:c>
      <x:c r="G16" s="1"/>
      <x:c r="H16" s="1"/>
    </x:row>
    <x:row r="17">
      <x:c r="A17" s="1" t="str">
        <x:v>OCW-B16-016</x:v>
      </x:c>
      <x:c r="B17" s="1" t="str">
        <x:v>Treated</x:v>
      </x:c>
      <x:c r="C17" s="1" t="n">
        <x:v>1</x:v>
      </x:c>
      <x:c r="D17" s="1" t="n">
        <x:v>1.19</x:v>
      </x:c>
      <x:c r="E17" s="1" t="n">
        <x:f>D17-C17</x:f>
        <x:v>0.18999999999999995</x:v>
      </x:c>
      <x:c r="F17" s="1" t="str">
        <x:v>BETA-B16-R02</x:v>
      </x:c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890000343322754" hidden="0" customWidth="1"/>
    <x:col min="2" max="2" width="8.220000267028809" hidden="0" customWidth="1"/>
    <x:col min="3" max="3" width="8" hidden="0" customWidth="1"/>
    <x:col min="4" max="4" width="5.440000057220459" hidden="0" customWidth="1"/>
  </x:cols>
  <x:sheetData>
    <x:row r="1">
      <x:c r="A1" s="3" t="str">
        <x:v>Acceptance check</x:v>
      </x:c>
      <x:c r="B1" s="3" t="str">
        <x:v>Threshold</x:v>
      </x:c>
      <x:c r="C1" s="3" t="str">
        <x:v>Observed</x:v>
      </x:c>
      <x:c r="D1" s="3" t="str">
        <x:v>Status</x:v>
      </x:c>
      <x:c r="E1" s="3"/>
      <x:c r="F1" s="3"/>
      <x:c r="G1" s="3"/>
      <x:c r="H1" s="3"/>
    </x:row>
    <x:row r="2">
      <x:c r="A2" s="1" t="str">
        <x:v>Record count</x:v>
      </x:c>
      <x:c r="B2" s="1" t="n">
        <x:v>16</x:v>
      </x:c>
      <x:c r="C2" s="1" t="n">
        <x:v>16</x:v>
      </x:c>
      <x:c r="D2" s="1" t="str">
        <x:v>PASS</x:v>
      </x:c>
      <x:c r="E2" s="1"/>
      <x:c r="F2" s="1"/>
      <x:c r="G2" s="1"/>
      <x:c r="H2" s="1"/>
    </x:row>
    <x:row r="3">
      <x:c r="A3" s="1" t="str">
        <x:v>Duplicate CV</x:v>
      </x:c>
      <x:c r="B3" s="1" t="str">
        <x:v>≤10%</x:v>
      </x:c>
      <x:c r="C3" s="1" t="n">
        <x:v>0.062</x:v>
      </x:c>
      <x:c r="D3" s="1" t="str">
        <x:v>PASS</x:v>
      </x:c>
      <x:c r="E3" s="1"/>
      <x:c r="F3" s="1"/>
      <x:c r="G3" s="1"/>
      <x:c r="H3" s="1"/>
    </x:row>
    <x:row r="4">
      <x:c r="A4" s="1" t="str">
        <x:v>Formula errors</x:v>
      </x:c>
      <x:c r="B4" s="1" t="n">
        <x:v>0</x:v>
      </x:c>
      <x:c r="C4" s="1" t="n">
        <x:v>0</x:v>
      </x:c>
      <x:c r="D4" s="1" t="str">
        <x:v>PASS</x:v>
      </x:c>
      <x:c r="E4" s="1"/>
      <x:c r="F4" s="1"/>
      <x:c r="G4" s="1"/>
      <x:c r="H4" s="1"/>
    </x:row>
    <x:row r="5">
      <x:c r="A5" s="1" t="str">
        <x:v>Synthetic boundary</x:v>
      </x:c>
      <x:c r="B5" s="1" t="str">
        <x:v>Required</x:v>
      </x:c>
      <x:c r="C5" s="1" t="str">
        <x:v>Met</x:v>
      </x:c>
      <x:c r="D5" s="1" t="str">
        <x:v>PASS</x:v>
      </x:c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</x:sheetData>
  <x:pageMargins left="0.7" right="0.7" top="0.75" bottom="0.75" header="0.3" footer="0.3"/>
</x:worksheet>
</file>