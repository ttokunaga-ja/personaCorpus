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c5681a41a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7e4c64e4702a41be"/>
    <x:sheet xmlns:r="http://schemas.openxmlformats.org/officeDocument/2006/relationships" name="QC Exceptions" sheetId="2" r:id="R82fb521c8a4d4c99"/>
    <x:sheet xmlns:r="http://schemas.openxmlformats.org/officeDocument/2006/relationships" name="Decision Log" sheetId="3" r:id="R0c23a82f1bfd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0a64d899e49f9" /><Relationship Type="http://schemas.openxmlformats.org/officeDocument/2006/relationships/theme" Target="/xl/theme/theme1.xml" Id="R62cde94bb5124f75" /><Relationship Type="http://schemas.openxmlformats.org/officeDocument/2006/relationships/sharedStrings" Target="/xl/sharedStrings.xml" Id="Rde18a349e2244620" /><Relationship Type="http://schemas.openxmlformats.org/officeDocument/2006/relationships/worksheet" Target="/xl/worksheets/sheet1.xml" Id="R7e4c64e4702a41be" /><Relationship Type="http://schemas.openxmlformats.org/officeDocument/2006/relationships/worksheet" Target="/xl/worksheets/sheet2.xml" Id="R82fb521c8a4d4c99" /><Relationship Type="http://schemas.openxmlformats.org/officeDocument/2006/relationships/worksheet" Target="/xl/worksheets/sheet3.xml" Id="R0c23a82f1bfd4c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1.780000686645508" hidden="0" customWidth="1"/>
    <x:col min="3" max="3" width="8.4399995803833" hidden="0" customWidth="1"/>
    <x:col min="4" max="4" width="7.110000133514404" hidden="0" customWidth="1"/>
  </x:cols>
  <x:sheetData>
    <x:row r="1">
      <x:c r="A1" s="3" t="str">
        <x:v>Study Beta B-16 operational sensitivity review</x:v>
      </x:c>
      <x:c r="B1" s="3"/>
      <x:c r="C1" s="3"/>
      <x:c r="D1" s="3"/>
      <x:c r="E1" s="3"/>
      <x:c r="F1" s="3"/>
      <x:c r="G1" s="3"/>
      <x:c r="H1" s="3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" t="str">
        <x:v>Scenario</x:v>
      </x:c>
      <x:c r="B3" s="1" t="str">
        <x:v>Observed mean (AU)</x:v>
      </x:c>
      <x:c r="C3" s="1" t="str">
        <x:v>Target (AU)</x:v>
      </x:c>
      <x:c r="D3" s="1" t="str">
        <x:v>Gap (AU)</x:v>
      </x:c>
      <x:c r="E3" s="1"/>
      <x:c r="F3" s="1"/>
      <x:c r="G3" s="1"/>
      <x:c r="H3" s="1"/>
    </x:row>
    <x:row r="4">
      <x:c r="A4" s="1" t="str">
        <x:v>Current synthetic run</x:v>
      </x:c>
      <x:c r="B4" s="1" t="n">
        <x:v>1.136</x:v>
      </x:c>
      <x:c r="C4" s="1" t="n">
        <x:v>1.18</x:v>
      </x:c>
      <x:c r="D4" s="1" t="n">
        <x:f>C4-B4</x:f>
        <x:v>0.04400000000000004</x:v>
      </x:c>
      <x:c r="E4" s="1"/>
      <x:c r="F4" s="1"/>
      <x:c r="G4" s="1"/>
      <x:c r="H4" s="1"/>
    </x:row>
    <x:row r="5">
      <x:c r="A5" s="1" t="str">
        <x:v>Low sensitivity</x:v>
      </x:c>
      <x:c r="B5" s="1" t="n">
        <x:v>1.1</x:v>
      </x:c>
      <x:c r="C5" s="1" t="n">
        <x:v>1.18</x:v>
      </x:c>
      <x:c r="D5" s="1" t="n">
        <x:f>C5-B5</x:f>
        <x:v>0.07999999999999985</x:v>
      </x:c>
      <x:c r="E5" s="1"/>
      <x:c r="F5" s="1"/>
      <x:c r="G5" s="1"/>
      <x:c r="H5" s="1"/>
    </x:row>
    <x:row r="6">
      <x:c r="A6" s="1" t="str">
        <x:v>High sensitivity</x:v>
      </x:c>
      <x:c r="B6" s="1" t="n">
        <x:v>1.17</x:v>
      </x:c>
      <x:c r="C6" s="1" t="n">
        <x:v>1.18</x:v>
      </x:c>
      <x:c r="D6" s="1" t="n">
        <x:f>C6-B6</x:f>
        <x:v>0.010000000000000009</x:v>
      </x:c>
      <x:c r="E6" s="1"/>
      <x:c r="F6" s="1"/>
      <x:c r="G6" s="1"/>
      <x:c r="H6" s="1"/>
    </x:row>
    <x:row r="7">
      <x:c r="A7" s="1" t="str">
        <x:v>Review floor</x:v>
      </x:c>
      <x:c r="B7" s="1" t="n">
        <x:v>1.12</x:v>
      </x:c>
      <x:c r="C7" s="1" t="n">
        <x:v>1.18</x:v>
      </x:c>
      <x:c r="D7" s="1" t="n">
        <x:f>C7-B7</x:f>
        <x:v>0.05999999999999983</x:v>
      </x:c>
      <x:c r="E7" s="1"/>
      <x:c r="F7" s="1"/>
      <x:c r="G7" s="1"/>
      <x:c r="H7" s="1"/>
    </x:row>
    <x:row r="8">
      <x:c r="A8" s="1" t="str">
        <x:v>Authoritative source</x:v>
      </x:c>
      <x:c r="B8" s="1" t="str">
        <x:v>study-beta-cohort-b16-assay-analysis.xlsx</x:v>
      </x:c>
      <x:c r="C8" s="1" t="str">
        <x:v>Read only</x:v>
      </x:c>
      <x:c r="D8" s="1" t="str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4399995803833" hidden="0" customWidth="1"/>
    <x:col min="2" max="2" width="15" hidden="0" customWidth="1"/>
    <x:col min="3" max="3" width="8" hidden="0" customWidth="1"/>
    <x:col min="4" max="4" width="20.329999923706055" hidden="0" customWidth="1"/>
    <x:col min="5" max="5" width="10.109999656677246" hidden="0" customWidth="1"/>
  </x:cols>
  <x:sheetData>
    <x:row r="1">
      <x:c r="A1" s="3" t="str">
        <x:v>Exception ID</x:v>
      </x:c>
      <x:c r="B1" s="3" t="str">
        <x:v>Check</x:v>
      </x:c>
      <x:c r="C1" s="3" t="str">
        <x:v>Observed</x:v>
      </x:c>
      <x:c r="D1" s="3" t="str">
        <x:v>Disposition</x:v>
      </x:c>
      <x:c r="E1" s="3" t="str">
        <x:v>Owner</x:v>
      </x:c>
      <x:c r="F1" s="3"/>
      <x:c r="G1" s="3"/>
      <x:c r="H1" s="3"/>
    </x:row>
    <x:row r="2">
      <x:c r="A2" s="1" t="str">
        <x:v>SYN-QC-001</x:v>
      </x:c>
      <x:c r="B2" s="1" t="str">
        <x:v>Duplicate CV</x:v>
      </x:c>
      <x:c r="C2" s="1" t="n">
        <x:v>0.062</x:v>
      </x:c>
      <x:c r="D2" s="1" t="str">
        <x:v>Within ≤10%; no exception</x:v>
      </x:c>
      <x:c r="E2" s="1" t="str">
        <x:v>Synthetic QA</x:v>
      </x:c>
      <x:c r="F2" s="1"/>
      <x:c r="G2" s="1"/>
      <x:c r="H2" s="1"/>
    </x:row>
    <x:row r="3">
      <x:c r="A3" s="1" t="str">
        <x:v>SYN-QC-002</x:v>
      </x:c>
      <x:c r="B3" s="1" t="str">
        <x:v>Formula errors</x:v>
      </x:c>
      <x:c r="C3" s="1" t="n">
        <x:v>0</x:v>
      </x:c>
      <x:c r="D3" s="1" t="str">
        <x:v>No exception</x:v>
      </x:c>
      <x:c r="E3" s="1" t="str">
        <x:v>Synthetic QA</x:v>
      </x:c>
      <x:c r="F3" s="1"/>
      <x:c r="G3" s="1"/>
      <x:c r="H3" s="1"/>
    </x:row>
    <x:row r="4">
      <x:c r="A4" s="1" t="str">
        <x:v>SYN-QC-003</x:v>
      </x:c>
      <x:c r="B4" s="1" t="str">
        <x:v>Real-data boundary</x:v>
      </x:c>
      <x:c r="C4" s="1" t="str">
        <x:v>Met</x:v>
      </x:c>
      <x:c r="D4" s="1" t="str">
        <x:v>No exception</x:v>
      </x:c>
      <x:c r="E4" s="1" t="str">
        <x:v>Governance</x:v>
      </x:c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9" hidden="0" customWidth="1"/>
    <x:col min="3" max="3" width="17.329999923706055" hidden="0" customWidth="1"/>
    <x:col min="4" max="4" width="29.780000686645508" hidden="0" customWidth="1"/>
    <x:col min="5" max="5" width="7" hidden="0" customWidth="1"/>
    <x:col min="6" max="6" width="15.670000076293945" hidden="0" customWidth="1"/>
  </x:cols>
  <x:sheetData>
    <x:row r="1">
      <x:c r="A1" s="3" t="str">
        <x:v>Decision ID</x:v>
      </x:c>
      <x:c r="B1" s="3" t="str">
        <x:v>Date</x:v>
      </x:c>
      <x:c r="C1" s="3" t="str">
        <x:v>Decision</x:v>
      </x:c>
      <x:c r="D1" s="3" t="str">
        <x:v>Rationale</x:v>
      </x:c>
      <x:c r="E1" s="3" t="str">
        <x:v>Status</x:v>
      </x:c>
      <x:c r="F1" s="3" t="str">
        <x:v>Next action</x:v>
      </x:c>
      <x:c r="G1" s="3"/>
      <x:c r="H1" s="3"/>
    </x:row>
    <x:row r="2">
      <x:c r="A2" s="1" t="str">
        <x:v>B16-D01</x:v>
      </x:c>
      <x:c r="B2" s="1" t="str">
        <x:v>2026-07-13</x:v>
      </x:c>
      <x:c r="C2" s="1" t="str">
        <x:v>Retain synthetic review</x:v>
      </x:c>
      <x:c r="D2" s="1" t="str">
        <x:v>Observed mean 1.136 below target 1.18</x:v>
      </x:c>
      <x:c r="E2" s="1" t="str">
        <x:v>OPEN</x:v>
      </x:c>
      <x:c r="F2" s="1" t="str">
        <x:v>Document sensitivity</x:v>
      </x:c>
      <x:c r="G2" s="1"/>
      <x:c r="H2" s="1"/>
    </x:row>
    <x:row r="3">
      <x:c r="A3" s="1" t="str">
        <x:v>B16-D02</x:v>
      </x:c>
      <x:c r="B3" s="1" t="str">
        <x:v>2026-07-13</x:v>
      </x:c>
      <x:c r="C3" s="1" t="str">
        <x:v>Do not pool Alpha</x:v>
      </x:c>
      <x:c r="D3" s="1" t="str">
        <x:v>Context only; non-equivalent cohort</x:v>
      </x:c>
      <x:c r="E3" s="1" t="str">
        <x:v>CLOSED</x:v>
      </x:c>
      <x:c r="F3" s="1" t="str">
        <x:v>Maintain label</x:v>
      </x:c>
      <x:c r="G3" s="1"/>
      <x:c r="H3" s="1"/>
    </x:row>
    <x:row r="4">
      <x:c r="A4" s="1" t="str">
        <x:v>B16-D03</x:v>
      </x:c>
      <x:c r="B4" s="1" t="str">
        <x:v>2026-07-13</x:v>
      </x:c>
      <x:c r="C4" s="1" t="str">
        <x:v>Archive run</x:v>
      </x:c>
      <x:c r="D4" s="1" t="str">
        <x:v>BETA-B16-R02 synthetic record</x:v>
      </x:c>
      <x:c r="E4" s="1" t="str">
        <x:v>OPEN</x:v>
      </x:c>
      <x:c r="F4" s="1" t="str">
        <x:v>QA sign-off</x:v>
      </x:c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