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e1eb75914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C Summary" sheetId="1" r:id="R27556e8dd26946fe"/>
    <x:sheet xmlns:r="http://schemas.openxmlformats.org/officeDocument/2006/relationships" name="Raw Signals" sheetId="2" r:id="R4a6614c1c6e44e30"/>
    <x:sheet xmlns:r="http://schemas.openxmlformats.org/officeDocument/2006/relationships" name="Controls" sheetId="3" r:id="Rc8741187a6d1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4B6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4B62"/>
      </x:patternFill>
    </x:fill>
    <x:fill>
      <x:patternFill patternType="solid">
        <x:fgColor rgb="FF5B7F95"/>
      </x:patternFill>
    </x:fill>
    <x:fill>
      <x:patternFill patternType="solid">
        <x:fgColor rgb="FFD9EAF2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425a87ed140aa" /><Relationship Type="http://schemas.openxmlformats.org/officeDocument/2006/relationships/theme" Target="/xl/theme/theme1.xml" Id="Rf4eb511adabf46d2" /><Relationship Type="http://schemas.openxmlformats.org/officeDocument/2006/relationships/sharedStrings" Target="/xl/sharedStrings.xml" Id="R28e767268aef43ea" /><Relationship Type="http://schemas.openxmlformats.org/officeDocument/2006/relationships/worksheet" Target="/xl/worksheets/sheet1.xml" Id="R27556e8dd26946fe" /><Relationship Type="http://schemas.openxmlformats.org/officeDocument/2006/relationships/worksheet" Target="/xl/worksheets/sheet2.xml" Id="R4a6614c1c6e44e30" /><Relationship Type="http://schemas.openxmlformats.org/officeDocument/2006/relationships/worksheet" Target="/xl/worksheets/sheet3.xml" Id="Rc8741187a6d14b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</x:cols>
  <x:sheetData>
    <x:row r="1" ht="19.200000762939453" hidden="0" customHeight="1">
      <x:c r="A1" s="18" t="str">
        <x:v>Study Beta B-16 Raw Export Review</x:v>
      </x:c>
      <x:c r="B1" s="18"/>
      <x:c r="C1" s="18"/>
      <x:c r="D1" s="18"/>
      <x:c r="E1" s="18"/>
      <x:c r="F1" s="18"/>
    </x:row>
    <x:row r="2"/>
    <x:row r="3" ht="15" hidden="0" customHeight="1">
      <x:c r="A3" s="21" t="str">
        <x:v>Metric</x:v>
      </x:c>
      <x:c r="B3" s="22" t="str">
        <x:v>Value</x:v>
      </x:c>
    </x:row>
    <x:row r="4" ht="15" hidden="0" customHeight="1">
      <x:c r="A4" s="8" t="str">
        <x:v>Run ID</x:v>
      </x:c>
      <x:c r="B4" s="11" t="str">
        <x:v>BETA-B16-R02</x:v>
      </x:c>
    </x:row>
    <x:row r="5" ht="15" hidden="0" customHeight="1">
      <x:c r="A5" s="8" t="str">
        <x:v>Synthetic records</x:v>
      </x:c>
      <x:c r="B5" s="11" t="n">
        <x:v>16</x:v>
      </x:c>
    </x:row>
    <x:row r="6" ht="15" hidden="0" customHeight="1">
      <x:c r="A6" s="8" t="str">
        <x:v>Mean fold change</x:v>
      </x:c>
      <x:c r="B6" s="23" t="n">
        <x:f>AVERAGE('Raw Signals'!E2:E17)</x:f>
        <x:v>1.1799744934031304</x:v>
      </x:c>
    </x:row>
    <x:row r="7" ht="15" hidden="0" customHeight="1">
      <x:c r="A7" s="8" t="str">
        <x:v>Control status</x:v>
      </x:c>
      <x:c r="B7" s="11" t="str">
        <x:f>IF(COUNTIF('Controls'!E2:E4,"PASS")=3,"PASS","CHECK")</x:f>
        <x:v>PASS</x:v>
      </x:c>
    </x:row>
    <x:row r="8" ht="15" hidden="0" customHeight="1">
      <x:c r="A8" s="12" t="str">
        <x:v>Reference date</x:v>
      </x:c>
      <x:c r="B8" s="15" t="str">
        <x:v>2026-07-13</x:v>
      </x:c>
    </x:row>
    <x:row r="9"/>
    <x:row r="10" ht="15" hidden="0" customHeight="1">
      <x:c r="A10" s="26" t="str">
        <x:v>Method note</x:v>
      </x:c>
      <x:c r="B10" s="26" t="str"/>
      <x:c r="C10" s="26" t="str"/>
      <x:c r="D10" s="26" t="str"/>
      <x:c r="E10" s="26" t="str"/>
      <x:c r="F10" s="26" t="str"/>
    </x:row>
    <x:row r="11" ht="15" hidden="0" customHeight="1">
      <x:c r="A11" s="27" t="str">
        <x:v>All entries are wholly synthetic laboratory demonstration data.</x:v>
      </x:c>
      <x:c r="B11" s="27" t="str"/>
      <x:c r="C11" s="27" t="str"/>
      <x:c r="D11" s="27" t="str"/>
      <x:c r="E11" s="27" t="str"/>
      <x:c r="F11" s="27" t="str"/>
    </x:row>
    <x:row r="12" ht="15" hidden="0" customHeight="1">
      <x:c r="A12" s="27" t="str">
        <x:v>Study Alpha cohort A-24 / assay 6.8 ng/mL are cross-study calibration references only.</x:v>
      </x:c>
      <x:c r="B12" s="27" t="str"/>
      <x:c r="C12" s="27" t="str"/>
      <x:c r="D12" s="27" t="str"/>
      <x:c r="E12" s="27" t="str"/>
      <x:c r="F12" s="27" t="str"/>
    </x:row>
    <x:row r="13" ht="15" hidden="0" customHeight="1">
      <x:c r="A13" s="27" t="str">
        <x:v>Orchid Cellworks | 2026-07-13 | No PHI or PII</x:v>
      </x:c>
      <x:c r="B13" s="27" t="str"/>
      <x:c r="C13" s="27" t="str"/>
      <x:c r="D13" s="27" t="str"/>
      <x:c r="E13" s="27" t="str"/>
      <x:c r="F13" s="27" t="str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.6700000762939453" hidden="0" customWidth="1"/>
    <x:col min="3" max="3" width="12.220000267028809" hidden="0" customWidth="1"/>
    <x:col min="4" max="4" width="11.4399995803833" hidden="0" customWidth="1"/>
    <x:col min="5" max="5" width="10.109999656677246" hidden="0" customWidth="1"/>
    <x:col min="6" max="6" width="3.6700000762939453" hidden="0" customWidth="1"/>
    <x:col min="7" max="7" width="8.220000267028809" hidden="0" customWidth="1"/>
  </x:cols>
  <x:sheetData>
    <x:row r="1" ht="15" hidden="0" customHeight="1">
      <x:c r="A1" s="5" t="str">
        <x:v>Synthetic sample ID</x:v>
      </x:c>
      <x:c r="B1" s="6" t="str">
        <x:v>Well</x:v>
      </x:c>
      <x:c r="C1" s="6" t="str">
        <x:v>Baseline signal</x:v>
      </x:c>
      <x:c r="D1" s="6" t="str">
        <x:v>Treated signal</x:v>
      </x:c>
      <x:c r="E1" s="6" t="str">
        <x:v>Fold change</x:v>
      </x:c>
      <x:c r="F1" s="6" t="str">
        <x:v>Unit</x:v>
      </x:c>
      <x:c r="G1" s="7" t="str">
        <x:v>QC status</x:v>
      </x:c>
    </x:row>
    <x:row r="2" ht="15" hidden="0" customHeight="1">
      <x:c r="A2" s="8" t="str">
        <x:v>OCW-B16-001</x:v>
      </x:c>
      <x:c r="B2" s="9" t="str">
        <x:v>B01</x:v>
      </x:c>
      <x:c r="C2" s="10" t="n">
        <x:v>0.98</x:v>
      </x:c>
      <x:c r="D2" s="10" t="n">
        <x:v>1.156</x:v>
      </x:c>
      <x:c r="E2" s="10" t="n">
        <x:f>D2/C2</x:f>
        <x:v>1.1795918367346938</x:v>
      </x:c>
      <x:c r="F2" s="9" t="str">
        <x:v>AU</x:v>
      </x:c>
      <x:c r="G2" s="11" t="str">
        <x:v>reviewed</x:v>
      </x:c>
    </x:row>
    <x:row r="3" ht="15" hidden="0" customHeight="1">
      <x:c r="A3" s="8" t="str">
        <x:v>OCW-B16-002</x:v>
      </x:c>
      <x:c r="B3" s="9" t="str">
        <x:v>B02</x:v>
      </x:c>
      <x:c r="C3" s="10" t="n">
        <x:v>1</x:v>
      </x:c>
      <x:c r="D3" s="10" t="n">
        <x:v>1.18</x:v>
      </x:c>
      <x:c r="E3" s="10" t="n">
        <x:f>D3/C3</x:f>
        <x:v>1.18</x:v>
      </x:c>
      <x:c r="F3" s="9" t="str">
        <x:v>AU</x:v>
      </x:c>
      <x:c r="G3" s="11" t="str">
        <x:v>reviewed</x:v>
      </x:c>
    </x:row>
    <x:row r="4" ht="15" hidden="0" customHeight="1">
      <x:c r="A4" s="8" t="str">
        <x:v>OCW-B16-003</x:v>
      </x:c>
      <x:c r="B4" s="9" t="str">
        <x:v>B03</x:v>
      </x:c>
      <x:c r="C4" s="10" t="n">
        <x:v>1.02</x:v>
      </x:c>
      <x:c r="D4" s="10" t="n">
        <x:v>1.204</x:v>
      </x:c>
      <x:c r="E4" s="10" t="n">
        <x:f>D4/C4</x:f>
        <x:v>1.1803921568627451</x:v>
      </x:c>
      <x:c r="F4" s="9" t="str">
        <x:v>AU</x:v>
      </x:c>
      <x:c r="G4" s="11" t="str">
        <x:v>reviewed</x:v>
      </x:c>
    </x:row>
    <x:row r="5" ht="15" hidden="0" customHeight="1">
      <x:c r="A5" s="8" t="str">
        <x:v>OCW-B16-004</x:v>
      </x:c>
      <x:c r="B5" s="9" t="str">
        <x:v>B04</x:v>
      </x:c>
      <x:c r="C5" s="10" t="n">
        <x:v>1.04</x:v>
      </x:c>
      <x:c r="D5" s="10" t="n">
        <x:v>1.227</x:v>
      </x:c>
      <x:c r="E5" s="10" t="n">
        <x:f>D5/C5</x:f>
        <x:v>1.1798076923076923</x:v>
      </x:c>
      <x:c r="F5" s="9" t="str">
        <x:v>AU</x:v>
      </x:c>
      <x:c r="G5" s="11" t="str">
        <x:v>reviewed</x:v>
      </x:c>
    </x:row>
    <x:row r="6" ht="15" hidden="0" customHeight="1">
      <x:c r="A6" s="8" t="str">
        <x:v>OCW-B16-005</x:v>
      </x:c>
      <x:c r="B6" s="9" t="str">
        <x:v>B05</x:v>
      </x:c>
      <x:c r="C6" s="10" t="n">
        <x:v>0.96</x:v>
      </x:c>
      <x:c r="D6" s="10" t="n">
        <x:v>1.133</x:v>
      </x:c>
      <x:c r="E6" s="10" t="n">
        <x:f>D6/C6</x:f>
        <x:v>1.1802083333333333</x:v>
      </x:c>
      <x:c r="F6" s="9" t="str">
        <x:v>AU</x:v>
      </x:c>
      <x:c r="G6" s="11" t="str">
        <x:v>reviewed</x:v>
      </x:c>
    </x:row>
    <x:row r="7" ht="15" hidden="0" customHeight="1">
      <x:c r="A7" s="8" t="str">
        <x:v>OCW-B16-006</x:v>
      </x:c>
      <x:c r="B7" s="9" t="str">
        <x:v>B06</x:v>
      </x:c>
      <x:c r="C7" s="10" t="n">
        <x:v>0.98</x:v>
      </x:c>
      <x:c r="D7" s="10" t="n">
        <x:v>1.156</x:v>
      </x:c>
      <x:c r="E7" s="10" t="n">
        <x:f>D7/C7</x:f>
        <x:v>1.1795918367346938</x:v>
      </x:c>
      <x:c r="F7" s="9" t="str">
        <x:v>AU</x:v>
      </x:c>
      <x:c r="G7" s="11" t="str">
        <x:v>reviewed</x:v>
      </x:c>
    </x:row>
    <x:row r="8" ht="15" hidden="0" customHeight="1">
      <x:c r="A8" s="8" t="str">
        <x:v>OCW-B16-007</x:v>
      </x:c>
      <x:c r="B8" s="9" t="str">
        <x:v>B07</x:v>
      </x:c>
      <x:c r="C8" s="10" t="n">
        <x:v>1</x:v>
      </x:c>
      <x:c r="D8" s="10" t="n">
        <x:v>1.18</x:v>
      </x:c>
      <x:c r="E8" s="10" t="n">
        <x:f>D8/C8</x:f>
        <x:v>1.18</x:v>
      </x:c>
      <x:c r="F8" s="9" t="str">
        <x:v>AU</x:v>
      </x:c>
      <x:c r="G8" s="11" t="str">
        <x:v>reviewed</x:v>
      </x:c>
    </x:row>
    <x:row r="9" ht="15" hidden="0" customHeight="1">
      <x:c r="A9" s="8" t="str">
        <x:v>OCW-B16-008</x:v>
      </x:c>
      <x:c r="B9" s="9" t="str">
        <x:v>B08</x:v>
      </x:c>
      <x:c r="C9" s="10" t="n">
        <x:v>1.02</x:v>
      </x:c>
      <x:c r="D9" s="10" t="n">
        <x:v>1.204</x:v>
      </x:c>
      <x:c r="E9" s="10" t="n">
        <x:f>D9/C9</x:f>
        <x:v>1.1803921568627451</x:v>
      </x:c>
      <x:c r="F9" s="9" t="str">
        <x:v>AU</x:v>
      </x:c>
      <x:c r="G9" s="11" t="str">
        <x:v>reviewed</x:v>
      </x:c>
    </x:row>
    <x:row r="10" ht="15" hidden="0" customHeight="1">
      <x:c r="A10" s="8" t="str">
        <x:v>OCW-B16-009</x:v>
      </x:c>
      <x:c r="B10" s="9" t="str">
        <x:v>B09</x:v>
      </x:c>
      <x:c r="C10" s="10" t="n">
        <x:v>1.04</x:v>
      </x:c>
      <x:c r="D10" s="10" t="n">
        <x:v>1.227</x:v>
      </x:c>
      <x:c r="E10" s="10" t="n">
        <x:f>D10/C10</x:f>
        <x:v>1.1798076923076923</x:v>
      </x:c>
      <x:c r="F10" s="9" t="str">
        <x:v>AU</x:v>
      </x:c>
      <x:c r="G10" s="11" t="str">
        <x:v>reviewed</x:v>
      </x:c>
    </x:row>
    <x:row r="11" ht="15" hidden="0" customHeight="1">
      <x:c r="A11" s="8" t="str">
        <x:v>OCW-B16-010</x:v>
      </x:c>
      <x:c r="B11" s="9" t="str">
        <x:v>B10</x:v>
      </x:c>
      <x:c r="C11" s="10" t="n">
        <x:v>0.96</x:v>
      </x:c>
      <x:c r="D11" s="10" t="n">
        <x:v>1.133</x:v>
      </x:c>
      <x:c r="E11" s="10" t="n">
        <x:f>D11/C11</x:f>
        <x:v>1.1802083333333333</x:v>
      </x:c>
      <x:c r="F11" s="9" t="str">
        <x:v>AU</x:v>
      </x:c>
      <x:c r="G11" s="11" t="str">
        <x:v>reviewed</x:v>
      </x:c>
    </x:row>
    <x:row r="12" ht="15" hidden="0" customHeight="1">
      <x:c r="A12" s="8" t="str">
        <x:v>OCW-B16-011</x:v>
      </x:c>
      <x:c r="B12" s="9" t="str">
        <x:v>B11</x:v>
      </x:c>
      <x:c r="C12" s="10" t="n">
        <x:v>0.98</x:v>
      </x:c>
      <x:c r="D12" s="10" t="n">
        <x:v>1.156</x:v>
      </x:c>
      <x:c r="E12" s="10" t="n">
        <x:f>D12/C12</x:f>
        <x:v>1.1795918367346938</x:v>
      </x:c>
      <x:c r="F12" s="9" t="str">
        <x:v>AU</x:v>
      </x:c>
      <x:c r="G12" s="11" t="str">
        <x:v>reviewed</x:v>
      </x:c>
    </x:row>
    <x:row r="13" ht="15" hidden="0" customHeight="1">
      <x:c r="A13" s="8" t="str">
        <x:v>OCW-B16-012</x:v>
      </x:c>
      <x:c r="B13" s="9" t="str">
        <x:v>B12</x:v>
      </x:c>
      <x:c r="C13" s="10" t="n">
        <x:v>1</x:v>
      </x:c>
      <x:c r="D13" s="10" t="n">
        <x:v>1.18</x:v>
      </x:c>
      <x:c r="E13" s="10" t="n">
        <x:f>D13/C13</x:f>
        <x:v>1.18</x:v>
      </x:c>
      <x:c r="F13" s="9" t="str">
        <x:v>AU</x:v>
      </x:c>
      <x:c r="G13" s="11" t="str">
        <x:v>reviewed</x:v>
      </x:c>
    </x:row>
    <x:row r="14" ht="15" hidden="0" customHeight="1">
      <x:c r="A14" s="8" t="str">
        <x:v>OCW-B16-013</x:v>
      </x:c>
      <x:c r="B14" s="9" t="str">
        <x:v>B13</x:v>
      </x:c>
      <x:c r="C14" s="10" t="n">
        <x:v>1.02</x:v>
      </x:c>
      <x:c r="D14" s="10" t="n">
        <x:v>1.204</x:v>
      </x:c>
      <x:c r="E14" s="10" t="n">
        <x:f>D14/C14</x:f>
        <x:v>1.1803921568627451</x:v>
      </x:c>
      <x:c r="F14" s="9" t="str">
        <x:v>AU</x:v>
      </x:c>
      <x:c r="G14" s="11" t="str">
        <x:v>reviewed</x:v>
      </x:c>
    </x:row>
    <x:row r="15" ht="15" hidden="0" customHeight="1">
      <x:c r="A15" s="8" t="str">
        <x:v>OCW-B16-014</x:v>
      </x:c>
      <x:c r="B15" s="9" t="str">
        <x:v>B14</x:v>
      </x:c>
      <x:c r="C15" s="10" t="n">
        <x:v>1.04</x:v>
      </x:c>
      <x:c r="D15" s="10" t="n">
        <x:v>1.227</x:v>
      </x:c>
      <x:c r="E15" s="10" t="n">
        <x:f>D15/C15</x:f>
        <x:v>1.1798076923076923</x:v>
      </x:c>
      <x:c r="F15" s="9" t="str">
        <x:v>AU</x:v>
      </x:c>
      <x:c r="G15" s="11" t="str">
        <x:v>reviewed</x:v>
      </x:c>
    </x:row>
    <x:row r="16" ht="15" hidden="0" customHeight="1">
      <x:c r="A16" s="8" t="str">
        <x:v>OCW-B16-015</x:v>
      </x:c>
      <x:c r="B16" s="9" t="str">
        <x:v>B15</x:v>
      </x:c>
      <x:c r="C16" s="10" t="n">
        <x:v>0.96</x:v>
      </x:c>
      <x:c r="D16" s="10" t="n">
        <x:v>1.133</x:v>
      </x:c>
      <x:c r="E16" s="10" t="n">
        <x:f>D16/C16</x:f>
        <x:v>1.1802083333333333</x:v>
      </x:c>
      <x:c r="F16" s="9" t="str">
        <x:v>AU</x:v>
      </x:c>
      <x:c r="G16" s="11" t="str">
        <x:v>reviewed</x:v>
      </x:c>
    </x:row>
    <x:row r="17" ht="15" hidden="0" customHeight="1">
      <x:c r="A17" s="12" t="str">
        <x:v>OCW-B16-016</x:v>
      </x:c>
      <x:c r="B17" s="13" t="str">
        <x:v>B16</x:v>
      </x:c>
      <x:c r="C17" s="14" t="n">
        <x:v>0.98</x:v>
      </x:c>
      <x:c r="D17" s="14" t="n">
        <x:v>1.156</x:v>
      </x:c>
      <x:c r="E17" s="14" t="n">
        <x:f>D17/C17</x:f>
        <x:v>1.1795918367346938</x:v>
      </x:c>
      <x:c r="F17" s="13" t="str">
        <x:v>AU</x:v>
      </x:c>
      <x:c r="G17" s="15" t="str">
        <x:v>reviewed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1999979019165" hidden="0" customWidth="1"/>
    <x:col min="2" max="2" width="11.779999732971191" hidden="0" customWidth="1"/>
    <x:col min="3" max="3" width="9.109999656677246" hidden="0" customWidth="1"/>
    <x:col min="4" max="4" width="9" hidden="0" customWidth="1"/>
    <x:col min="5" max="5" width="4.559999942779541" hidden="0" customWidth="1"/>
  </x:cols>
  <x:sheetData>
    <x:row r="1">
      <x:c r="A1" s="5" t="str">
        <x:v>Control</x:v>
      </x:c>
      <x:c r="B1" s="6" t="str">
        <x:v>Observed (AU)</x:v>
      </x:c>
      <x:c r="C1" s="6" t="str">
        <x:v>Lower limit</x:v>
      </x:c>
      <x:c r="D1" s="6" t="str">
        <x:v>Upper limit</x:v>
      </x:c>
      <x:c r="E1" s="7" t="str">
        <x:v>Pass</x:v>
      </x:c>
    </x:row>
    <x:row r="2">
      <x:c r="A2" s="8" t="str">
        <x:v>Blank</x:v>
      </x:c>
      <x:c r="B2" s="10" t="n">
        <x:v>0.021</x:v>
      </x:c>
      <x:c r="C2" s="10" t="n">
        <x:v>0</x:v>
      </x:c>
      <x:c r="D2" s="10" t="n">
        <x:v>0.05</x:v>
      </x:c>
      <x:c r="E2" s="11" t="str">
        <x:f>IF(AND(B2&gt;=C2,B2&lt;=D2),"PASS","CHECK")</x:f>
        <x:v>PASS</x:v>
      </x:c>
    </x:row>
    <x:row r="3">
      <x:c r="A3" s="8" t="str">
        <x:v>Low</x:v>
      </x:c>
      <x:c r="B3" s="10" t="n">
        <x:v>0.492</x:v>
      </x:c>
      <x:c r="C3" s="10" t="n">
        <x:v>0.45</x:v>
      </x:c>
      <x:c r="D3" s="10" t="n">
        <x:v>0.55</x:v>
      </x:c>
      <x:c r="E3" s="11" t="str">
        <x:f>IF(AND(B3&gt;=C3,B3&lt;=D3),"PASS","CHECK")</x:f>
        <x:v>PASS</x:v>
      </x:c>
    </x:row>
    <x:row r="4">
      <x:c r="A4" s="12" t="str">
        <x:v>High</x:v>
      </x:c>
      <x:c r="B4" s="14" t="n">
        <x:v>1.246</x:v>
      </x:c>
      <x:c r="C4" s="14" t="n">
        <x:v>1.15</x:v>
      </x:c>
      <x:c r="D4" s="14" t="n">
        <x:v>1.35</x:v>
      </x:c>
      <x:c r="E4" s="15" t="str">
        <x:f>IF(AND(B4&gt;=C4,B4&lt;=D4),"PASS","CHECK")</x:f>
        <x:v>PASS</x:v>
      </x:c>
    </x:row>
  </x:sheetData>
  <x:pageMargins left="0.7" right="0.7" top="0.75" bottom="0.75" header="0.3" footer="0.3"/>
</x:worksheet>
</file>