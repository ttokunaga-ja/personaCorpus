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port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Print_Area" localSheetId="0">'Raw Export'!$A$1:$H$25</definedName>
    <definedName name="_xlnm.Print_Area" localSheetId="1">'Analysis'!$A$1:$D$7</definedName>
    <definedName name="_xlnm.Print_Area" localSheetId="2">'Summary'!$A$1:$M$28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20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concentrations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Export'!D1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Export'!$A$2:$A$25</f>
            </numRef>
          </cat>
          <val>
            <numRef>
              <f>'Raw Export'!$D$2:$D$25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ng/mL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Sample ID</t>
        </is>
      </c>
      <c r="B1" s="1" t="inlineStr">
        <is>
          <t>Cohort</t>
        </is>
      </c>
      <c r="C1" s="1" t="inlineStr">
        <is>
          <t>Run ID</t>
        </is>
      </c>
      <c r="D1" s="1" t="inlineStr">
        <is>
          <t>Primary (ng/mL)</t>
        </is>
      </c>
      <c r="E1" s="1" t="inlineStr">
        <is>
          <t>Duplicate (ng/mL)</t>
        </is>
      </c>
      <c r="F1" s="1" t="inlineStr">
        <is>
          <t>CV (%)</t>
        </is>
      </c>
      <c r="G1" s="1" t="inlineStr">
        <is>
          <t>Recovery (%)</t>
        </is>
      </c>
      <c r="H1" s="1" t="inlineStr">
        <is>
          <t>Disposition</t>
        </is>
      </c>
    </row>
    <row r="2">
      <c r="A2" t="inlineStr">
        <is>
          <t>OCW-A24-001</t>
        </is>
      </c>
      <c r="B2" t="inlineStr">
        <is>
          <t>cohort A-24</t>
        </is>
      </c>
      <c r="C2" t="inlineStr">
        <is>
          <t>ALPHA-A24-R03</t>
        </is>
      </c>
      <c r="D2" s="2" t="n">
        <v>6.2</v>
      </c>
      <c r="E2" s="2" t="n">
        <v>6.13</v>
      </c>
      <c r="F2" s="3" t="n">
        <v>1.14</v>
      </c>
      <c r="G2" s="3" t="n">
        <v>96.2</v>
      </c>
      <c r="H2" t="inlineStr">
        <is>
          <t>Accepted</t>
        </is>
      </c>
    </row>
    <row r="3">
      <c r="A3" t="inlineStr">
        <is>
          <t>OCW-A24-002</t>
        </is>
      </c>
      <c r="B3" t="inlineStr">
        <is>
          <t>cohort A-24</t>
        </is>
      </c>
      <c r="C3" t="inlineStr">
        <is>
          <t>ALPHA-A24-R03</t>
        </is>
      </c>
      <c r="D3" s="2" t="n">
        <v>6.4</v>
      </c>
      <c r="E3" s="2" t="n">
        <v>6.4</v>
      </c>
      <c r="F3" s="3" t="n">
        <v>0</v>
      </c>
      <c r="G3" s="3" t="n">
        <v>97.5</v>
      </c>
      <c r="H3" t="inlineStr">
        <is>
          <t>Accepted</t>
        </is>
      </c>
    </row>
    <row r="4">
      <c r="A4" t="inlineStr">
        <is>
          <t>OCW-A24-003</t>
        </is>
      </c>
      <c r="B4" t="inlineStr">
        <is>
          <t>cohort A-24</t>
        </is>
      </c>
      <c r="C4" t="inlineStr">
        <is>
          <t>ALPHA-A24-R03</t>
        </is>
      </c>
      <c r="D4" s="2" t="n">
        <v>6.5</v>
      </c>
      <c r="E4" s="2" t="n">
        <v>6.58</v>
      </c>
      <c r="F4" s="3" t="n">
        <v>1.22</v>
      </c>
      <c r="G4" s="3" t="n">
        <v>98.8</v>
      </c>
      <c r="H4" t="inlineStr">
        <is>
          <t>Accepted</t>
        </is>
      </c>
    </row>
    <row r="5">
      <c r="A5" t="inlineStr">
        <is>
          <t>OCW-A24-004</t>
        </is>
      </c>
      <c r="B5" t="inlineStr">
        <is>
          <t>cohort A-24</t>
        </is>
      </c>
      <c r="C5" t="inlineStr">
        <is>
          <t>ALPHA-A24-R03</t>
        </is>
      </c>
      <c r="D5" s="2" t="n">
        <v>6.6</v>
      </c>
      <c r="E5" s="2" t="n">
        <v>6.76</v>
      </c>
      <c r="F5" s="3" t="n">
        <v>2.4</v>
      </c>
      <c r="G5" s="3" t="n">
        <v>100</v>
      </c>
      <c r="H5" t="inlineStr">
        <is>
          <t>Accepted</t>
        </is>
      </c>
    </row>
    <row r="6">
      <c r="A6" t="inlineStr">
        <is>
          <t>OCW-A24-005</t>
        </is>
      </c>
      <c r="B6" t="inlineStr">
        <is>
          <t>cohort A-24</t>
        </is>
      </c>
      <c r="C6" t="inlineStr">
        <is>
          <t>ALPHA-A24-R03</t>
        </is>
      </c>
      <c r="D6" s="2" t="n">
        <v>6.7</v>
      </c>
      <c r="E6" s="2" t="n">
        <v>6.54</v>
      </c>
      <c r="F6" s="3" t="n">
        <v>2.42</v>
      </c>
      <c r="G6" s="3" t="n">
        <v>101.2</v>
      </c>
      <c r="H6" t="inlineStr">
        <is>
          <t>Accepted</t>
        </is>
      </c>
    </row>
    <row r="7">
      <c r="A7" t="inlineStr">
        <is>
          <t>OCW-A24-006</t>
        </is>
      </c>
      <c r="B7" t="inlineStr">
        <is>
          <t>cohort A-24</t>
        </is>
      </c>
      <c r="C7" t="inlineStr">
        <is>
          <t>ALPHA-A24-R03</t>
        </is>
      </c>
      <c r="D7" s="2" t="n">
        <v>6.8</v>
      </c>
      <c r="E7" s="2" t="n">
        <v>6.72</v>
      </c>
      <c r="F7" s="3" t="n">
        <v>1.18</v>
      </c>
      <c r="G7" s="3" t="n">
        <v>102.5</v>
      </c>
      <c r="H7" t="inlineStr">
        <is>
          <t>Accepted</t>
        </is>
      </c>
    </row>
    <row r="8">
      <c r="A8" t="inlineStr">
        <is>
          <t>OCW-A24-007</t>
        </is>
      </c>
      <c r="B8" t="inlineStr">
        <is>
          <t>cohort A-24</t>
        </is>
      </c>
      <c r="C8" t="inlineStr">
        <is>
          <t>ALPHA-A24-R03</t>
        </is>
      </c>
      <c r="D8" s="2" t="n">
        <v>6.8</v>
      </c>
      <c r="E8" s="2" t="n">
        <v>6.8</v>
      </c>
      <c r="F8" s="3" t="n">
        <v>0</v>
      </c>
      <c r="G8" s="3" t="n">
        <v>103.8</v>
      </c>
      <c r="H8" t="inlineStr">
        <is>
          <t>Accepted</t>
        </is>
      </c>
    </row>
    <row r="9">
      <c r="A9" t="inlineStr">
        <is>
          <t>OCW-A24-008</t>
        </is>
      </c>
      <c r="B9" t="inlineStr">
        <is>
          <t>cohort A-24</t>
        </is>
      </c>
      <c r="C9" t="inlineStr">
        <is>
          <t>ALPHA-A24-R03</t>
        </is>
      </c>
      <c r="D9" s="2" t="n">
        <v>6.9</v>
      </c>
      <c r="E9" s="2" t="n">
        <v>6.98</v>
      </c>
      <c r="F9" s="3" t="n">
        <v>1.15</v>
      </c>
      <c r="G9" s="3" t="n">
        <v>105</v>
      </c>
      <c r="H9" t="inlineStr">
        <is>
          <t>Accepted</t>
        </is>
      </c>
    </row>
    <row r="10">
      <c r="A10" t="inlineStr">
        <is>
          <t>OCW-A24-009</t>
        </is>
      </c>
      <c r="B10" t="inlineStr">
        <is>
          <t>cohort A-24</t>
        </is>
      </c>
      <c r="C10" t="inlineStr">
        <is>
          <t>ALPHA-A24-R03</t>
        </is>
      </c>
      <c r="D10" s="2" t="n">
        <v>6.9</v>
      </c>
      <c r="E10" s="2" t="n">
        <v>7.07</v>
      </c>
      <c r="F10" s="3" t="n">
        <v>2.43</v>
      </c>
      <c r="G10" s="3" t="n">
        <v>95</v>
      </c>
      <c r="H10" t="inlineStr">
        <is>
          <t>Accepted</t>
        </is>
      </c>
    </row>
    <row r="11">
      <c r="A11" t="inlineStr">
        <is>
          <t>OCW-A24-010</t>
        </is>
      </c>
      <c r="B11" t="inlineStr">
        <is>
          <t>cohort A-24</t>
        </is>
      </c>
      <c r="C11" t="inlineStr">
        <is>
          <t>ALPHA-A24-R03</t>
        </is>
      </c>
      <c r="D11" s="2" t="n">
        <v>7</v>
      </c>
      <c r="E11" s="2" t="n">
        <v>6.83</v>
      </c>
      <c r="F11" s="3" t="n">
        <v>2.46</v>
      </c>
      <c r="G11" s="3" t="n">
        <v>96.2</v>
      </c>
      <c r="H11" t="inlineStr">
        <is>
          <t>Accepted</t>
        </is>
      </c>
    </row>
    <row r="12">
      <c r="A12" t="inlineStr">
        <is>
          <t>OCW-A24-011</t>
        </is>
      </c>
      <c r="B12" t="inlineStr">
        <is>
          <t>cohort A-24</t>
        </is>
      </c>
      <c r="C12" t="inlineStr">
        <is>
          <t>ALPHA-A24-R03</t>
        </is>
      </c>
      <c r="D12" s="2" t="n">
        <v>7</v>
      </c>
      <c r="E12" s="2" t="n">
        <v>6.92</v>
      </c>
      <c r="F12" s="3" t="n">
        <v>1.15</v>
      </c>
      <c r="G12" s="3" t="n">
        <v>97.5</v>
      </c>
      <c r="H12" t="inlineStr">
        <is>
          <t>Accepted</t>
        </is>
      </c>
    </row>
    <row r="13">
      <c r="A13" t="inlineStr">
        <is>
          <t>OCW-A24-012</t>
        </is>
      </c>
      <c r="B13" t="inlineStr">
        <is>
          <t>cohort A-24</t>
        </is>
      </c>
      <c r="C13" t="inlineStr">
        <is>
          <t>ALPHA-A24-R03</t>
        </is>
      </c>
      <c r="D13" s="2" t="n">
        <v>6.8</v>
      </c>
      <c r="E13" s="2" t="n">
        <v>6.8</v>
      </c>
      <c r="F13" s="3" t="n">
        <v>0</v>
      </c>
      <c r="G13" s="3" t="n">
        <v>98.8</v>
      </c>
      <c r="H13" t="inlineStr">
        <is>
          <t>Accepted</t>
        </is>
      </c>
    </row>
    <row r="14">
      <c r="A14" t="inlineStr">
        <is>
          <t>OCW-A24-013</t>
        </is>
      </c>
      <c r="B14" t="inlineStr">
        <is>
          <t>cohort A-24</t>
        </is>
      </c>
      <c r="C14" t="inlineStr">
        <is>
          <t>ALPHA-A24-R03</t>
        </is>
      </c>
      <c r="D14" s="2" t="n">
        <v>6.2</v>
      </c>
      <c r="E14" s="2" t="n">
        <v>6.27</v>
      </c>
      <c r="F14" s="3" t="n">
        <v>1.12</v>
      </c>
      <c r="G14" s="3" t="n">
        <v>100</v>
      </c>
      <c r="H14" t="inlineStr">
        <is>
          <t>Accepted</t>
        </is>
      </c>
    </row>
    <row r="15">
      <c r="A15" t="inlineStr">
        <is>
          <t>OCW-A24-014</t>
        </is>
      </c>
      <c r="B15" t="inlineStr">
        <is>
          <t>cohort A-24</t>
        </is>
      </c>
      <c r="C15" t="inlineStr">
        <is>
          <t>ALPHA-A24-R03</t>
        </is>
      </c>
      <c r="D15" s="2" t="n">
        <v>6.4</v>
      </c>
      <c r="E15" s="2" t="n">
        <v>6.55</v>
      </c>
      <c r="F15" s="3" t="n">
        <v>2.32</v>
      </c>
      <c r="G15" s="3" t="n">
        <v>101.2</v>
      </c>
      <c r="H15" t="inlineStr">
        <is>
          <t>Accepted</t>
        </is>
      </c>
    </row>
    <row r="16">
      <c r="A16" t="inlineStr">
        <is>
          <t>OCW-A24-015</t>
        </is>
      </c>
      <c r="B16" t="inlineStr">
        <is>
          <t>cohort A-24</t>
        </is>
      </c>
      <c r="C16" t="inlineStr">
        <is>
          <t>ALPHA-A24-R03</t>
        </is>
      </c>
      <c r="D16" s="2" t="n">
        <v>6.5</v>
      </c>
      <c r="E16" s="2" t="n">
        <v>6.34</v>
      </c>
      <c r="F16" s="3" t="n">
        <v>2.49</v>
      </c>
      <c r="G16" s="3" t="n">
        <v>102.5</v>
      </c>
      <c r="H16" t="inlineStr">
        <is>
          <t>Accepted</t>
        </is>
      </c>
    </row>
    <row r="17">
      <c r="A17" t="inlineStr">
        <is>
          <t>OCW-A24-016</t>
        </is>
      </c>
      <c r="B17" t="inlineStr">
        <is>
          <t>cohort A-24</t>
        </is>
      </c>
      <c r="C17" t="inlineStr">
        <is>
          <t>ALPHA-A24-R03</t>
        </is>
      </c>
      <c r="D17" s="2" t="n">
        <v>6.6</v>
      </c>
      <c r="E17" s="2" t="n">
        <v>6.52</v>
      </c>
      <c r="F17" s="3" t="n">
        <v>1.22</v>
      </c>
      <c r="G17" s="3" t="n">
        <v>103.8</v>
      </c>
      <c r="H17" t="inlineStr">
        <is>
          <t>Accepted</t>
        </is>
      </c>
    </row>
    <row r="18">
      <c r="A18" t="inlineStr">
        <is>
          <t>OCW-A24-017</t>
        </is>
      </c>
      <c r="B18" t="inlineStr">
        <is>
          <t>cohort A-24</t>
        </is>
      </c>
      <c r="C18" t="inlineStr">
        <is>
          <t>ALPHA-A24-R03</t>
        </is>
      </c>
      <c r="D18" s="2" t="n">
        <v>6.7</v>
      </c>
      <c r="E18" s="2" t="n">
        <v>6.7</v>
      </c>
      <c r="F18" s="3" t="n">
        <v>0</v>
      </c>
      <c r="G18" s="3" t="n">
        <v>105</v>
      </c>
      <c r="H18" t="inlineStr">
        <is>
          <t>Accepted</t>
        </is>
      </c>
    </row>
    <row r="19">
      <c r="A19" t="inlineStr">
        <is>
          <t>OCW-A24-018</t>
        </is>
      </c>
      <c r="B19" t="inlineStr">
        <is>
          <t>cohort A-24</t>
        </is>
      </c>
      <c r="C19" t="inlineStr">
        <is>
          <t>ALPHA-A24-R03</t>
        </is>
      </c>
      <c r="D19" s="2" t="n">
        <v>6.8</v>
      </c>
      <c r="E19" s="2" t="n">
        <v>6.88</v>
      </c>
      <c r="F19" s="3" t="n">
        <v>1.17</v>
      </c>
      <c r="G19" s="3" t="n">
        <v>95</v>
      </c>
      <c r="H19" t="inlineStr">
        <is>
          <t>Accepted</t>
        </is>
      </c>
    </row>
    <row r="20">
      <c r="A20" t="inlineStr">
        <is>
          <t>OCW-A24-019</t>
        </is>
      </c>
      <c r="B20" t="inlineStr">
        <is>
          <t>cohort A-24</t>
        </is>
      </c>
      <c r="C20" t="inlineStr">
        <is>
          <t>ALPHA-A24-R03</t>
        </is>
      </c>
      <c r="D20" s="2" t="n">
        <v>6.8</v>
      </c>
      <c r="E20" s="2" t="n">
        <v>6.96</v>
      </c>
      <c r="F20" s="3" t="n">
        <v>2.33</v>
      </c>
      <c r="G20" s="3" t="n">
        <v>96.2</v>
      </c>
      <c r="H20" t="inlineStr">
        <is>
          <t>Accepted</t>
        </is>
      </c>
    </row>
    <row r="21">
      <c r="A21" t="inlineStr">
        <is>
          <t>OCW-A24-020</t>
        </is>
      </c>
      <c r="B21" t="inlineStr">
        <is>
          <t>cohort A-24</t>
        </is>
      </c>
      <c r="C21" t="inlineStr">
        <is>
          <t>ALPHA-A24-R03</t>
        </is>
      </c>
      <c r="D21" s="2" t="n">
        <v>6.9</v>
      </c>
      <c r="E21" s="2" t="n">
        <v>6.73</v>
      </c>
      <c r="F21" s="3" t="n">
        <v>2.49</v>
      </c>
      <c r="G21" s="3" t="n">
        <v>97.5</v>
      </c>
      <c r="H21" t="inlineStr">
        <is>
          <t>Accepted</t>
        </is>
      </c>
    </row>
    <row r="22">
      <c r="A22" t="inlineStr">
        <is>
          <t>OCW-A24-021</t>
        </is>
      </c>
      <c r="B22" t="inlineStr">
        <is>
          <t>cohort A-24</t>
        </is>
      </c>
      <c r="C22" t="inlineStr">
        <is>
          <t>ALPHA-A24-R03</t>
        </is>
      </c>
      <c r="D22" s="2" t="n">
        <v>6.9</v>
      </c>
      <c r="E22" s="2" t="n">
        <v>6.82</v>
      </c>
      <c r="F22" s="3" t="n">
        <v>1.17</v>
      </c>
      <c r="G22" s="3" t="n">
        <v>98.8</v>
      </c>
      <c r="H22" t="inlineStr">
        <is>
          <t>Accepted</t>
        </is>
      </c>
    </row>
    <row r="23">
      <c r="A23" t="inlineStr">
        <is>
          <t>OCW-A24-022</t>
        </is>
      </c>
      <c r="B23" t="inlineStr">
        <is>
          <t>cohort A-24</t>
        </is>
      </c>
      <c r="C23" t="inlineStr">
        <is>
          <t>ALPHA-A24-R03</t>
        </is>
      </c>
      <c r="D23" s="2" t="n">
        <v>7</v>
      </c>
      <c r="E23" s="2" t="n">
        <v>7</v>
      </c>
      <c r="F23" s="3" t="n">
        <v>0</v>
      </c>
      <c r="G23" s="3" t="n">
        <v>100</v>
      </c>
      <c r="H23" t="inlineStr">
        <is>
          <t>Accepted</t>
        </is>
      </c>
    </row>
    <row r="24">
      <c r="A24" t="inlineStr">
        <is>
          <t>OCW-A24-023</t>
        </is>
      </c>
      <c r="B24" t="inlineStr">
        <is>
          <t>cohort A-24</t>
        </is>
      </c>
      <c r="C24" t="inlineStr">
        <is>
          <t>ALPHA-A24-R03</t>
        </is>
      </c>
      <c r="D24" s="2" t="n">
        <v>7</v>
      </c>
      <c r="E24" s="2" t="n">
        <v>7.08</v>
      </c>
      <c r="F24" s="3" t="n">
        <v>1.14</v>
      </c>
      <c r="G24" s="3" t="n">
        <v>101.2</v>
      </c>
      <c r="H24" t="inlineStr">
        <is>
          <t>Accepted</t>
        </is>
      </c>
    </row>
    <row r="25">
      <c r="A25" t="inlineStr">
        <is>
          <t>OCW-A24-024</t>
        </is>
      </c>
      <c r="B25" t="inlineStr">
        <is>
          <t>cohort A-24</t>
        </is>
      </c>
      <c r="C25" t="inlineStr">
        <is>
          <t>ALPHA-A24-R03</t>
        </is>
      </c>
      <c r="D25" s="2" t="n">
        <v>6.8</v>
      </c>
      <c r="E25" s="2" t="n">
        <v>6.96</v>
      </c>
      <c r="F25" s="3" t="n">
        <v>2.33</v>
      </c>
      <c r="G25" s="3" t="n">
        <v>102.5</v>
      </c>
      <c r="H25" t="inlineStr">
        <is>
          <t>Accepted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4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Formula-derived result</t>
        </is>
      </c>
      <c r="C1" s="1" t="inlineStr">
        <is>
          <t>Unit</t>
        </is>
      </c>
      <c r="D1" s="1" t="inlineStr">
        <is>
          <t>Acceptance criterion</t>
        </is>
      </c>
    </row>
    <row r="2">
      <c r="A2" t="inlineStr">
        <is>
          <t>Sample count</t>
        </is>
      </c>
      <c r="B2" s="2">
        <f>COUNTA('Raw Export'!A2:A25)</f>
        <v/>
      </c>
      <c r="C2" t="inlineStr">
        <is>
          <t>samples</t>
        </is>
      </c>
      <c r="D2" t="inlineStr">
        <is>
          <t>24 expected</t>
        </is>
      </c>
    </row>
    <row r="3">
      <c r="A3" t="inlineStr">
        <is>
          <t>Median primary</t>
        </is>
      </c>
      <c r="B3" s="2">
        <f>MEDIAN('Raw Export'!D2:D25)</f>
        <v/>
      </c>
      <c r="C3" t="inlineStr">
        <is>
          <t>ng/mL</t>
        </is>
      </c>
      <c r="D3" t="inlineStr">
        <is>
          <t>Reference 6.8 ng/mL</t>
        </is>
      </c>
    </row>
    <row r="4">
      <c r="A4" t="inlineStr">
        <is>
          <t>Mean duplicate CV</t>
        </is>
      </c>
      <c r="B4" s="2">
        <f>AVERAGE('Raw Export'!F2:F25)</f>
        <v/>
      </c>
      <c r="C4" t="inlineStr">
        <is>
          <t>%</t>
        </is>
      </c>
      <c r="D4" t="inlineStr">
        <is>
          <t>&lt;= 10.0%</t>
        </is>
      </c>
    </row>
    <row r="5">
      <c r="A5" t="inlineStr">
        <is>
          <t>Minimum recovery</t>
        </is>
      </c>
      <c r="B5" s="2">
        <f>MIN('Raw Export'!G2:G25)</f>
        <v/>
      </c>
      <c r="C5" t="inlineStr">
        <is>
          <t>%</t>
        </is>
      </c>
      <c r="D5" t="inlineStr">
        <is>
          <t>&gt;= 90%</t>
        </is>
      </c>
    </row>
    <row r="6">
      <c r="A6" t="inlineStr">
        <is>
          <t>Maximum recovery</t>
        </is>
      </c>
      <c r="B6" s="2">
        <f>MAX('Raw Export'!G2:G25)</f>
        <v/>
      </c>
      <c r="C6" t="inlineStr">
        <is>
          <t>%</t>
        </is>
      </c>
      <c r="D6" t="inlineStr">
        <is>
          <t>&lt;= 110%</t>
        </is>
      </c>
    </row>
    <row r="7">
      <c r="A7" t="inlineStr">
        <is>
          <t>Accepted records</t>
        </is>
      </c>
      <c r="B7" s="2">
        <f>COUNTIF('Raw Export'!H2:H25,"Accepted")</f>
        <v/>
      </c>
      <c r="C7" t="inlineStr">
        <is>
          <t>records</t>
        </is>
      </c>
      <c r="D7" t="inlineStr">
        <is>
          <t>24 expected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7" customWidth="1" min="4" max="4"/>
  </cols>
  <sheetData>
    <row r="1">
      <c r="A1" s="4" t="inlineStr">
        <is>
          <t>Orchid Cellworks | Curated Export Bundle</t>
        </is>
      </c>
    </row>
    <row r="2">
      <c r="A2" t="inlineStr">
        <is>
          <t>Study Alpha</t>
        </is>
      </c>
      <c r="B2" t="inlineStr">
        <is>
          <t>2026-07-13</t>
        </is>
      </c>
      <c r="C2" t="inlineStr">
        <is>
          <t>cohort A-24</t>
        </is>
      </c>
      <c r="D2" t="inlineStr">
        <is>
          <t>assay 6.8 ng/mL</t>
        </is>
      </c>
    </row>
    <row r="3"/>
    <row r="4">
      <c r="A4" t="inlineStr">
        <is>
          <t>Release statement</t>
        </is>
      </c>
      <c r="B4" t="inlineStr">
        <is>
          <t>Synthetic assay export reviewed for transfer readiness.</t>
        </is>
      </c>
    </row>
    <row r="5">
      <c r="A5" t="inlineStr">
        <is>
          <t>Run</t>
        </is>
      </c>
      <c r="B5" t="inlineStr">
        <is>
          <t>ALPHA-A24-R03</t>
        </is>
      </c>
    </row>
    <row r="6">
      <c r="A6" t="inlineStr">
        <is>
          <t>Instrument</t>
        </is>
      </c>
      <c r="B6" t="inlineStr">
        <is>
          <t>SpectraNova SN-4</t>
        </is>
      </c>
    </row>
    <row r="7">
      <c r="A7" t="inlineStr">
        <is>
          <t>Protocol</t>
        </is>
      </c>
      <c r="B7" t="inlineStr">
        <is>
          <t>OCW-BIO-017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2026-08-23T08:39:32Z</dcterms:created>
  <dcterms:modified xmlns:dcterms="http://purl.org/dc/terms/" xmlns:xsi="http://www.w3.org/2001/XMLSchema-instance" xsi:type="dcterms:W3CDTF">2026-08-23T08:39:32Z</dcterms:modified>
</cp:coreProperties>
</file>