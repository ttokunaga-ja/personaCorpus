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82eefaa70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measurements" sheetId="1" r:id="R0fc9123b0c97406d"/>
    <x:sheet xmlns:r="http://schemas.openxmlformats.org/officeDocument/2006/relationships" name="Summary" sheetId="2" r:id="R65469a5c70ff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 &quot;ng/mL&quot;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C4AA5"/>
      </x:patternFill>
    </x:fill>
    <x:fill>
      <x:patternFill patternType="solid">
        <x:fgColor rgb="FF0B2545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DDDDDD"/>
      </x:left>
      <x:right style="thin">
        <x:color rgb="FFDDDDDD"/>
      </x:right>
      <x:top style="thin">
        <x:color rgb="FFDDDDDD"/>
      </x:top>
      <x:bottom style="thin">
        <x:color rgb="FFDDDDD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d79a9879a4591" /><Relationship Type="http://schemas.openxmlformats.org/officeDocument/2006/relationships/theme" Target="/xl/theme/theme1.xml" Id="R3901a3d270264ed0" /><Relationship Type="http://schemas.openxmlformats.org/officeDocument/2006/relationships/sharedStrings" Target="/xl/sharedStrings.xml" Id="R73b9c2002d5048a3" /><Relationship Type="http://schemas.openxmlformats.org/officeDocument/2006/relationships/worksheet" Target="/xl/worksheets/sheet1.xml" Id="R0fc9123b0c97406d" /><Relationship Type="http://schemas.openxmlformats.org/officeDocument/2006/relationships/worksheet" Target="/xl/worksheets/sheet2.xml" Id="R65469a5c70ff4e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.5600004196167" hidden="0" customWidth="1"/>
    <x:col min="3" max="3" width="11.5600004196167" hidden="0" customWidth="1"/>
    <x:col min="4" max="4" width="4.559999942779541" hidden="0" customWidth="1"/>
  </x:cols>
  <x:sheetData>
    <x:row r="1">
      <x:c r="A1" s="4" t="str">
        <x:v>Synthetic sample ID</x:v>
      </x:c>
      <x:c r="B1" s="4" t="str">
        <x:v>Timepoint (min)</x:v>
      </x:c>
      <x:c r="C1" s="4" t="str">
        <x:v>Assay (ng/mL)</x:v>
      </x:c>
      <x:c r="D1" s="4" t="str">
        <x:v>QC</x:v>
      </x:c>
    </x:row>
    <x:row r="2">
      <x:c r="A2" s="5" t="str">
        <x:v>OCW-A24-001</x:v>
      </x:c>
      <x:c r="B2" s="6" t="n">
        <x:v>0</x:v>
      </x:c>
      <x:c r="C2" s="7" t="n">
        <x:v>6.2</x:v>
      </x:c>
      <x:c r="D2" s="5" t="str">
        <x:v>PASS</x:v>
      </x:c>
    </x:row>
    <x:row r="3">
      <x:c r="A3" s="5" t="str">
        <x:v>OCW-A24-002</x:v>
      </x:c>
      <x:c r="B3" s="6" t="n">
        <x:v>5</x:v>
      </x:c>
      <x:c r="C3" s="7" t="n">
        <x:v>6.4</x:v>
      </x:c>
      <x:c r="D3" s="5" t="str">
        <x:v>PASS</x:v>
      </x:c>
    </x:row>
    <x:row r="4">
      <x:c r="A4" s="5" t="str">
        <x:v>OCW-A24-003</x:v>
      </x:c>
      <x:c r="B4" s="6" t="n">
        <x:v>10</x:v>
      </x:c>
      <x:c r="C4" s="7" t="n">
        <x:v>6.6000000000000005</x:v>
      </x:c>
      <x:c r="D4" s="5" t="str">
        <x:v>PASS</x:v>
      </x:c>
    </x:row>
    <x:row r="5">
      <x:c r="A5" s="5" t="str">
        <x:v>OCW-A24-004</x:v>
      </x:c>
      <x:c r="B5" s="6" t="n">
        <x:v>15</x:v>
      </x:c>
      <x:c r="C5" s="7" t="n">
        <x:v>6.800000000000001</x:v>
      </x:c>
      <x:c r="D5" s="5" t="str">
        <x:v>PASS</x:v>
      </x:c>
    </x:row>
    <x:row r="6">
      <x:c r="A6" s="5" t="str">
        <x:v>OCW-A24-005</x:v>
      </x:c>
      <x:c r="B6" s="6" t="n">
        <x:v>20</x:v>
      </x:c>
      <x:c r="C6" s="7" t="n">
        <x:v>7</x:v>
      </x:c>
      <x:c r="D6" s="5" t="str">
        <x:v>PASS</x:v>
      </x:c>
    </x:row>
    <x:row r="7">
      <x:c r="A7" s="5" t="str">
        <x:v>OCW-A24-006</x:v>
      </x:c>
      <x:c r="B7" s="6" t="n">
        <x:v>25</x:v>
      </x:c>
      <x:c r="C7" s="7" t="n">
        <x:v>7.2</x:v>
      </x:c>
      <x:c r="D7" s="5" t="str">
        <x:v>PASS</x:v>
      </x:c>
    </x:row>
    <x:row r="8">
      <x:c r="A8" s="5" t="str">
        <x:v>OCW-A24-007</x:v>
      </x:c>
      <x:c r="B8" s="6" t="n">
        <x:v>30</x:v>
      </x:c>
      <x:c r="C8" s="7" t="n">
        <x:v>7.4</x:v>
      </x:c>
      <x:c r="D8" s="5" t="str">
        <x:v>PASS</x:v>
      </x:c>
    </x:row>
    <x:row r="9">
      <x:c r="A9" s="5" t="str">
        <x:v>OCW-A24-008</x:v>
      </x:c>
      <x:c r="B9" s="6" t="n">
        <x:v>35</x:v>
      </x:c>
      <x:c r="C9" s="7" t="n">
        <x:v>6.2</x:v>
      </x:c>
      <x:c r="D9" s="5" t="str">
        <x:v>PASS</x:v>
      </x:c>
    </x:row>
    <x:row r="10">
      <x:c r="A10" s="5" t="str">
        <x:v>OCW-A24-009</x:v>
      </x:c>
      <x:c r="B10" s="6" t="n">
        <x:v>40</x:v>
      </x:c>
      <x:c r="C10" s="7" t="n">
        <x:v>6.4</x:v>
      </x:c>
      <x:c r="D10" s="5" t="str">
        <x:v>PASS</x:v>
      </x:c>
    </x:row>
    <x:row r="11">
      <x:c r="A11" s="5" t="str">
        <x:v>OCW-A24-010</x:v>
      </x:c>
      <x:c r="B11" s="6" t="n">
        <x:v>45</x:v>
      </x:c>
      <x:c r="C11" s="7" t="n">
        <x:v>6.6000000000000005</x:v>
      </x:c>
      <x:c r="D11" s="5" t="str">
        <x:v>PASS</x:v>
      </x:c>
    </x:row>
    <x:row r="12">
      <x:c r="A12" s="5" t="str">
        <x:v>OCW-A24-011</x:v>
      </x:c>
      <x:c r="B12" s="6" t="n">
        <x:v>50</x:v>
      </x:c>
      <x:c r="C12" s="7" t="n">
        <x:v>6.800000000000001</x:v>
      </x:c>
      <x:c r="D12" s="5" t="str">
        <x:v>PASS</x:v>
      </x:c>
    </x:row>
    <x:row r="13">
      <x:c r="A13" s="5" t="str">
        <x:v>OCW-A24-012</x:v>
      </x:c>
      <x:c r="B13" s="6" t="n">
        <x:v>55</x:v>
      </x:c>
      <x:c r="C13" s="7" t="n">
        <x:v>7</x:v>
      </x:c>
      <x:c r="D13" s="5" t="str">
        <x:v>PASS</x:v>
      </x:c>
    </x:row>
    <x:row r="14">
      <x:c r="A14" s="5" t="str">
        <x:v>OCW-A24-013</x:v>
      </x:c>
      <x:c r="B14" s="6" t="n">
        <x:v>60</x:v>
      </x:c>
      <x:c r="C14" s="7" t="n">
        <x:v>7.2</x:v>
      </x:c>
      <x:c r="D14" s="5" t="str">
        <x:v>PASS</x:v>
      </x:c>
    </x:row>
    <x:row r="15">
      <x:c r="A15" s="5" t="str">
        <x:v>OCW-A24-014</x:v>
      </x:c>
      <x:c r="B15" s="6" t="n">
        <x:v>65</x:v>
      </x:c>
      <x:c r="C15" s="7" t="n">
        <x:v>7.4</x:v>
      </x:c>
      <x:c r="D15" s="5" t="str">
        <x:v>PASS</x:v>
      </x:c>
    </x:row>
    <x:row r="16">
      <x:c r="A16" s="5" t="str">
        <x:v>OCW-A24-015</x:v>
      </x:c>
      <x:c r="B16" s="6" t="n">
        <x:v>70</x:v>
      </x:c>
      <x:c r="C16" s="7" t="n">
        <x:v>6.2</x:v>
      </x:c>
      <x:c r="D16" s="5" t="str">
        <x:v>PASS</x:v>
      </x:c>
    </x:row>
    <x:row r="17">
      <x:c r="A17" s="5" t="str">
        <x:v>OCW-A24-016</x:v>
      </x:c>
      <x:c r="B17" s="6" t="n">
        <x:v>75</x:v>
      </x:c>
      <x:c r="C17" s="7" t="n">
        <x:v>6.4</x:v>
      </x:c>
      <x:c r="D17" s="5" t="str">
        <x:v>PASS</x:v>
      </x:c>
    </x:row>
    <x:row r="18">
      <x:c r="A18" s="5" t="str">
        <x:v>OCW-A24-017</x:v>
      </x:c>
      <x:c r="B18" s="6" t="n">
        <x:v>80</x:v>
      </x:c>
      <x:c r="C18" s="7" t="n">
        <x:v>6.6000000000000005</x:v>
      </x:c>
      <x:c r="D18" s="5" t="str">
        <x:v>PASS</x:v>
      </x:c>
    </x:row>
    <x:row r="19">
      <x:c r="A19" s="5" t="str">
        <x:v>OCW-A24-018</x:v>
      </x:c>
      <x:c r="B19" s="6" t="n">
        <x:v>85</x:v>
      </x:c>
      <x:c r="C19" s="7" t="n">
        <x:v>6.800000000000001</x:v>
      </x:c>
      <x:c r="D19" s="5" t="str">
        <x:v>PASS</x:v>
      </x:c>
    </x:row>
    <x:row r="20">
      <x:c r="A20" s="5" t="str">
        <x:v>OCW-A24-019</x:v>
      </x:c>
      <x:c r="B20" s="6" t="n">
        <x:v>90</x:v>
      </x:c>
      <x:c r="C20" s="7" t="n">
        <x:v>7</x:v>
      </x:c>
      <x:c r="D20" s="5" t="str">
        <x:v>PASS</x:v>
      </x:c>
    </x:row>
    <x:row r="21">
      <x:c r="A21" s="5" t="str">
        <x:v>OCW-A24-020</x:v>
      </x:c>
      <x:c r="B21" s="6" t="n">
        <x:v>95</x:v>
      </x:c>
      <x:c r="C21" s="7" t="n">
        <x:v>7.2</x:v>
      </x:c>
      <x:c r="D21" s="5" t="str">
        <x:v>PASS</x:v>
      </x:c>
    </x:row>
    <x:row r="22">
      <x:c r="A22" s="5" t="str">
        <x:v>OCW-A24-021</x:v>
      </x:c>
      <x:c r="B22" s="6" t="n">
        <x:v>100</x:v>
      </x:c>
      <x:c r="C22" s="7" t="n">
        <x:v>7.4</x:v>
      </x:c>
      <x:c r="D22" s="5" t="str">
        <x:v>PASS</x:v>
      </x:c>
    </x:row>
    <x:row r="23">
      <x:c r="A23" s="5" t="str">
        <x:v>OCW-A24-022</x:v>
      </x:c>
      <x:c r="B23" s="6" t="n">
        <x:v>105</x:v>
      </x:c>
      <x:c r="C23" s="7" t="n">
        <x:v>6.2</x:v>
      </x:c>
      <x:c r="D23" s="5" t="str">
        <x:v>PASS</x:v>
      </x:c>
    </x:row>
    <x:row r="24">
      <x:c r="A24" s="5" t="str">
        <x:v>OCW-A24-023</x:v>
      </x:c>
      <x:c r="B24" s="6" t="n">
        <x:v>110</x:v>
      </x:c>
      <x:c r="C24" s="7" t="n">
        <x:v>6.4</x:v>
      </x:c>
      <x:c r="D24" s="5" t="str">
        <x:v>PASS</x:v>
      </x:c>
    </x:row>
    <x:row r="25">
      <x:c r="A25" s="5" t="str">
        <x:v>OCW-A24-024</x:v>
      </x:c>
      <x:c r="B25" s="6" t="n">
        <x:v>115</x:v>
      </x:c>
      <x:c r="C25" s="7" t="n">
        <x:v>6.6000000000000005</x:v>
      </x:c>
      <x:c r="D25" s="5" t="str">
        <x:v>PASS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88999938964844" hidden="0" customWidth="1"/>
    <x:col min="2" max="2" width="9" hidden="0" customWidth="1"/>
  </x:cols>
  <x:sheetData>
    <x:row r="1">
      <x:c r="A1" s="10" t="str">
        <x:v>Orchid Cellworks — Study Alpha cohort A-24</x:v>
      </x:c>
      <x:c r="B1" s="10"/>
      <x:c r="C1" s="10"/>
      <x:c r="D1" s="10"/>
    </x:row>
    <x:row r="3">
      <x:c r="A3" s="13" t="str">
        <x:v>Metric</x:v>
      </x:c>
      <x:c r="B3" s="13" t="str">
        <x:v>Value</x:v>
      </x:c>
    </x:row>
    <x:row r="4">
      <x:c r="A4" s="5" t="str">
        <x:v>Reference date</x:v>
      </x:c>
      <x:c r="B4" s="5" t="str">
        <x:v>2026-07-13</x:v>
      </x:c>
    </x:row>
    <x:row r="5">
      <x:c r="A5" s="5" t="str">
        <x:v>Target assay</x:v>
      </x:c>
      <x:c r="B5" s="5" t="str">
        <x:v>6.8 ng/mL</x:v>
      </x:c>
    </x:row>
    <x:row r="6">
      <x:c r="A6" s="5" t="str">
        <x:v>Mean assay (ng/mL)</x:v>
      </x:c>
      <x:c r="B6" s="5" t="n">
        <x:f>AVERAGE('Raw measurements'!C2:C25)</x:f>
        <x:v>6.749999999999999</x:v>
      </x:c>
    </x:row>
    <x:row r="7">
      <x:c r="A7" s="5" t="str">
        <x:v>Record count</x:v>
      </x:c>
      <x:c r="B7" s="5" t="n">
        <x:f>COUNTA('Raw measurements'!A2:A25)</x:f>
        <x:v>24</x:v>
      </x:c>
    </x:row>
  </x:sheetData>
  <x:mergeCells>
    <x:mergeCell ref="A1:D1"/>
  </x:mergeCells>
  <x:pageMargins left="0.7" right="0.7" top="0.75" bottom="0.75" header="0.3" footer="0.3"/>
</x:worksheet>
</file>