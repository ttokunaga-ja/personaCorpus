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7adda34a0043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lculator" sheetId="1" r:id="Rc74dbddb81f24325"/>
    <x:sheet xmlns:r="http://schemas.openxmlformats.org/officeDocument/2006/relationships" name="QC Review" sheetId="2" r:id="R16dcbd8c14b74c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.0000"/>
  </x:numFmts>
  <x:fonts count="5">
    <x:font>
      <x:sz val="11"/>
      <x:name val="Carlito"/>
    </x:font>
    <x:font>
      <x:sz val="10"/>
      <x:color rgb="FF182B3A"/>
      <x:name val="Aptos"/>
    </x:font>
    <x:font>
      <x:b/>
      <x:sz val="14"/>
      <x:color rgb="FFFFFFFF"/>
      <x:name val="Aptos"/>
    </x:font>
    <x:font>
      <x:b/>
      <x:sz val="14"/>
      <x:color rgb="FFFFFFFF"/>
      <x:name val="Carlito"/>
    </x:font>
    <x:font>
      <x:b/>
      <x:sz val="10"/>
      <x:color rgb="FF17365D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593F7A"/>
      </x:patternFill>
    </x:fill>
    <x:fill>
      <x:patternFill patternType="solid">
        <x:fgColor rgb="FFDBE9F4"/>
      </x:patternFill>
    </x:fill>
  </x:fills>
  <x:borders count="2">
    <x:border/>
    <x:border>
      <x:left style="thin">
        <x:color rgb="FFD6DCE3"/>
      </x:left>
      <x:right style="thin">
        <x:color rgb="FFD6DCE3"/>
      </x:right>
      <x:top style="thin">
        <x:color rgb="FFD6DCE3"/>
      </x:top>
      <x:bottom style="thin">
        <x:color rgb="FFD6DCE3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1" fillId="0" borderId="1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0" fillId="0" borderId="1" xfId="0" applyNumberFormat="1" applyFont="1" applyFill="1" applyBorder="1"/>
    <x:xf numFmtId="0" fontId="1" fillId="3" borderId="1" xfId="0" applyNumberFormat="1" applyFont="1" applyFill="1" applyBorder="1"/>
    <x:xf numFmtId="0" fontId="4" fillId="3" borderId="1" xfId="0" applyNumberFormat="1" applyFont="1" applyFill="1" applyBorder="1"/>
    <x:xf numFmtId="200" fontId="1" fillId="0" borderId="1" xfId="0" applyNumberFormat="1" applyFont="1" applyFill="1" applyBorder="1"/>
    <x:xf numFmtId="201" fontId="1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3fa3d79665400f" /><Relationship Type="http://schemas.openxmlformats.org/officeDocument/2006/relationships/theme" Target="/xl/theme/theme1.xml" Id="Rc716b654d2544870" /><Relationship Type="http://schemas.openxmlformats.org/officeDocument/2006/relationships/sharedStrings" Target="/xl/sharedStrings.xml" Id="R4c256299d3a64f30" /><Relationship Type="http://schemas.openxmlformats.org/officeDocument/2006/relationships/worksheet" Target="/xl/worksheets/sheet1.xml" Id="Rc74dbddb81f24325" /><Relationship Type="http://schemas.openxmlformats.org/officeDocument/2006/relationships/worksheet" Target="/xl/worksheets/sheet2.xml" Id="R16dcbd8c14b74c2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4.55999755859375" hidden="0" customWidth="1"/>
    <x:col min="2" max="2" width="8.109999656677246" hidden="0" customWidth="1"/>
    <x:col min="3" max="3" width="8.329999923706055" hidden="0" customWidth="1"/>
    <x:col min="4" max="4" width="6.440000057220459" hidden="0" customWidth="1"/>
    <x:col min="5" max="5" width="7.21999979019165" hidden="0" customWidth="1"/>
    <x:col min="6" max="6" width="7.889999866485596" hidden="0" customWidth="1"/>
  </x:cols>
  <x:sheetData>
    <x:row r="1" ht="16.799999237060547" hidden="0" customHeight="1">
      <x:c r="A1" s="4" t="str">
        <x:v>Orchid Cellworks | Study Alpha | 2026-07-13 | cohort A-24 | assay 6.8 ng/mL</x:v>
      </x:c>
      <x:c r="B1" s="4"/>
      <x:c r="C1" s="4"/>
      <x:c r="D1" s="4"/>
      <x:c r="E1" s="4"/>
      <x:c r="F1" s="4"/>
    </x:row>
    <x:row r="2" ht="15" hidden="0" customHeight="1">
      <x:c r="A2" s="5"/>
      <x:c r="B2" s="5"/>
      <x:c r="C2" s="5"/>
      <x:c r="D2" s="5"/>
      <x:c r="E2" s="5"/>
      <x:c r="F2" s="5"/>
    </x:row>
    <x:row r="3" ht="15" hidden="0" customHeight="1">
      <x:c r="A3" s="11" t="str">
        <x:v>Reagent</x:v>
      </x:c>
      <x:c r="B3" s="11" t="str">
        <x:v>Stock (mM)</x:v>
      </x:c>
      <x:c r="C3" s="11" t="str">
        <x:v>Target (mM)</x:v>
      </x:c>
      <x:c r="D3" s="11" t="str">
        <x:v>Final (uL)</x:v>
      </x:c>
      <x:c r="E3" s="11" t="str">
        <x:v>Stock (uL)</x:v>
      </x:c>
      <x:c r="F3" s="11" t="str">
        <x:v>Diluent (uL)</x:v>
      </x:c>
    </x:row>
    <x:row r="4" ht="15" hidden="0" customHeight="1">
      <x:c r="A4" s="5" t="str">
        <x:v>Buffer A</x:v>
      </x:c>
      <x:c r="B4" s="12" t="n">
        <x:v>100</x:v>
      </x:c>
      <x:c r="C4" s="12" t="n">
        <x:v>10</x:v>
      </x:c>
      <x:c r="D4" s="12" t="n">
        <x:v>1000</x:v>
      </x:c>
      <x:c r="E4" s="12" t="n">
        <x:f>C4/D4*D4</x:f>
        <x:v>10</x:v>
      </x:c>
      <x:c r="F4" s="12" t="n">
        <x:f>D4-E4</x:f>
        <x:v>990</x:v>
      </x:c>
    </x:row>
    <x:row r="5" ht="15" hidden="0" customHeight="1">
      <x:c r="A5" s="5" t="str">
        <x:v>Synthetic standard</x:v>
      </x:c>
      <x:c r="B5" s="12" t="n">
        <x:v>20</x:v>
      </x:c>
      <x:c r="C5" s="12" t="n">
        <x:v>2</x:v>
      </x:c>
      <x:c r="D5" s="12" t="n">
        <x:v>500</x:v>
      </x:c>
      <x:c r="E5" s="12" t="n">
        <x:f>C5/D5*D5</x:f>
        <x:v>2</x:v>
      </x:c>
      <x:c r="F5" s="12" t="n">
        <x:f>D5-E5</x:f>
        <x:v>498</x:v>
      </x:c>
    </x:row>
    <x:row r="6" ht="15" hidden="0" customHeight="1">
      <x:c r="A6" s="5" t="str">
        <x:v>Control mix</x:v>
      </x:c>
      <x:c r="B6" s="12" t="n">
        <x:v>50</x:v>
      </x:c>
      <x:c r="C6" s="12" t="n">
        <x:v>5</x:v>
      </x:c>
      <x:c r="D6" s="12" t="n">
        <x:v>750</x:v>
      </x:c>
      <x:c r="E6" s="12" t="n">
        <x:f>C6/D6*D6</x:f>
        <x:v>5</x:v>
      </x:c>
      <x:c r="F6" s="12" t="n">
        <x:f>D6-E6</x:f>
        <x:v>745</x:v>
      </x:c>
    </x:row>
    <x:row r="7" ht="15" hidden="0" customHeight="1">
      <x:c r="A7" s="5" t="str">
        <x:v>Wash solution</x:v>
      </x:c>
      <x:c r="B7" s="12" t="n">
        <x:v>10</x:v>
      </x:c>
      <x:c r="C7" s="12" t="n">
        <x:v>1</x:v>
      </x:c>
      <x:c r="D7" s="12" t="n">
        <x:v>1200</x:v>
      </x:c>
      <x:c r="E7" s="12" t="n">
        <x:f>C7/D7*D7</x:f>
        <x:v>1</x:v>
      </x:c>
      <x:c r="F7" s="12" t="n">
        <x:f>D7-E7</x:f>
        <x:v>1199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1.11000061035156" hidden="0" customWidth="1"/>
    <x:col min="2" max="2" width="5" hidden="0" customWidth="1"/>
    <x:col min="3" max="3" width="7" hidden="0" customWidth="1"/>
    <x:col min="4" max="4" width="4.78000020980835" hidden="0" customWidth="1"/>
    <x:col min="5" max="5" width="4.78000020980835" hidden="0" customWidth="1"/>
  </x:cols>
  <x:sheetData>
    <x:row r="1" ht="16.799999237060547" hidden="0" customHeight="1">
      <x:c r="A1" s="4" t="str">
        <x:v>Synthetic protocol QC review</x:v>
      </x:c>
      <x:c r="B1" s="4"/>
      <x:c r="C1" s="4"/>
      <x:c r="D1" s="4"/>
      <x:c r="E1" s="4"/>
      <x:c r="F1" s="8"/>
    </x:row>
    <x:row r="2" ht="15" hidden="0" customHeight="1">
      <x:c r="A2" s="5" t="str">
        <x:v>Orchid Cellworks | Study Alpha | 2026-07-13 | cohort A-24 | assay 6.8 ng/mL</x:v>
      </x:c>
      <x:c r="B2" s="5"/>
      <x:c r="C2" s="5"/>
      <x:c r="D2" s="5"/>
      <x:c r="E2" s="5"/>
      <x:c r="F2" s="9"/>
    </x:row>
    <x:row r="3" ht="15" hidden="0" customHeight="1">
      <x:c r="A3" s="5"/>
      <x:c r="B3" s="5"/>
      <x:c r="C3" s="5"/>
      <x:c r="D3" s="5"/>
      <x:c r="E3" s="5"/>
      <x:c r="F3" s="9"/>
    </x:row>
    <x:row r="4" ht="15" hidden="0" customHeight="1">
      <x:c r="A4" s="11" t="str">
        <x:v>Control</x:v>
      </x:c>
      <x:c r="B4" s="11" t="str">
        <x:v>Target</x:v>
      </x:c>
      <x:c r="C4" s="11" t="str">
        <x:v>Observed</x:v>
      </x:c>
      <x:c r="D4" s="11" t="str">
        <x:v>Unit</x:v>
      </x:c>
      <x:c r="E4" s="11" t="str">
        <x:v>Status</x:v>
      </x:c>
      <x:c r="F4" s="9"/>
    </x:row>
    <x:row r="5" ht="15" hidden="0" customHeight="1">
      <x:c r="A5" s="5" t="str">
        <x:v>Blank</x:v>
      </x:c>
      <x:c r="B5" s="13" t="n">
        <x:v>0.02</x:v>
      </x:c>
      <x:c r="C5" s="13" t="n">
        <x:v>0.02</x:v>
      </x:c>
      <x:c r="D5" s="5" t="str">
        <x:v>AU</x:v>
      </x:c>
      <x:c r="E5" s="5" t="str">
        <x:v>PASS</x:v>
      </x:c>
      <x:c r="F5" s="9"/>
    </x:row>
    <x:row r="6" ht="15" hidden="0" customHeight="1">
      <x:c r="A6" s="5" t="str">
        <x:v>Slope</x:v>
      </x:c>
      <x:c r="B6" s="13" t="n">
        <x:v>0.998</x:v>
      </x:c>
      <x:c r="C6" s="13" t="n">
        <x:v>0.998</x:v>
      </x:c>
      <x:c r="D6" s="5" t="str">
        <x:v>ratio</x:v>
      </x:c>
      <x:c r="E6" s="5" t="str">
        <x:v>PASS</x:v>
      </x:c>
      <x:c r="F6" s="9"/>
    </x:row>
    <x:row r="7" ht="15" hidden="0" customHeight="1">
      <x:c r="A7" s="5" t="str">
        <x:v>R squared</x:v>
      </x:c>
      <x:c r="B7" s="13" t="n">
        <x:v>0.9992</x:v>
      </x:c>
      <x:c r="C7" s="13" t="n">
        <x:v>0.9992</x:v>
      </x:c>
      <x:c r="D7" s="5" t="str">
        <x:v>ratio</x:v>
      </x:c>
      <x:c r="E7" s="5" t="str">
        <x:v>PASS</x:v>
      </x:c>
      <x:c r="F7" s="9"/>
    </x:row>
    <x:row r="8" ht="15" hidden="0" customHeight="1">
      <x:c r="A8" s="5" t="str">
        <x:v>Median assay</x:v>
      </x:c>
      <x:c r="B8" s="13" t="n">
        <x:v>6.8</x:v>
      </x:c>
      <x:c r="C8" s="13" t="n">
        <x:v>6.8</x:v>
      </x:c>
      <x:c r="D8" s="5" t="str">
        <x:v>ng/mL</x:v>
      </x:c>
      <x:c r="E8" s="5" t="str">
        <x:v>PASS</x:v>
      </x:c>
      <x:c r="F8" s="9"/>
    </x:row>
  </x:sheetData>
  <x:mergeCells>
    <x:mergeCell ref="A1:E1"/>
  </x:mergeCells>
  <x:pageMargins left="0.7" right="0.7" top="0.75" bottom="0.75" header="0.3" footer="0.3"/>
</x:worksheet>
</file>