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Summary" sheetId="1" state="visible" r:id="rId1"/>
    <sheet xmlns:r="http://schemas.openxmlformats.org/officeDocument/2006/relationships" name="Raw Readings" sheetId="2" state="visible" r:id="rId2"/>
    <sheet xmlns:r="http://schemas.openxmlformats.org/officeDocument/2006/relationships" name="Calculation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0 &quot;ng/mL&quot;"/>
    <numFmt numFmtId="165" formatCode="yyyy-mm-dd"/>
    <numFmt numFmtId="166" formatCode="0.00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007C83"/>
    </font>
    <font>
      <b val="1"/>
      <color rgb="00FFFFFF"/>
    </font>
    <font>
      <b val="1"/>
      <color rgb="0054278F"/>
    </font>
  </fonts>
  <fills count="6">
    <fill>
      <patternFill/>
    </fill>
    <fill>
      <patternFill patternType="gray125"/>
    </fill>
    <fill>
      <patternFill patternType="solid">
        <fgColor rgb="0054278F"/>
      </patternFill>
    </fill>
    <fill>
      <patternFill patternType="solid">
        <fgColor rgb="00007C83"/>
      </patternFill>
    </fill>
    <fill>
      <patternFill patternType="solid">
        <fgColor rgb="00EEE8F7"/>
      </patternFill>
    </fill>
    <fill>
      <patternFill patternType="solid">
        <fgColor rgb="00E5F3F2"/>
      </patternFill>
    </fill>
  </fills>
  <borders count="2">
    <border>
      <left/>
      <right/>
      <top/>
      <bottom/>
      <diagonal/>
    </border>
    <border>
      <bottom style="thin">
        <color rgb="00B8B1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3" fillId="3" borderId="0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12" customWidth="1" min="4" max="4"/>
    <col width="14" customWidth="1" min="5" max="5"/>
    <col width="25" customWidth="1" min="6" max="6"/>
  </cols>
  <sheetData>
    <row r="1">
      <c r="A1" s="1" t="inlineStr">
        <is>
          <t>Orchid Cellworks - Study Alpha Assay Checks</t>
        </is>
      </c>
    </row>
    <row r="2">
      <c r="A2" s="2" t="inlineStr">
        <is>
          <t>Synthetic baseline review | Cohort A-24 | Baseline 2026-07-13 | Windows laboratory workstation</t>
        </is>
      </c>
    </row>
    <row r="4">
      <c r="A4" s="3" t="inlineStr">
        <is>
          <t>Control</t>
        </is>
      </c>
      <c r="B4" s="3" t="inlineStr">
        <is>
          <t>Observed (ng/mL)</t>
        </is>
      </c>
      <c r="C4" s="3" t="inlineStr">
        <is>
          <t>Lower limit</t>
        </is>
      </c>
      <c r="D4" s="3" t="inlineStr">
        <is>
          <t>Upper limit</t>
        </is>
      </c>
      <c r="E4" s="3" t="inlineStr">
        <is>
          <t>QC status</t>
        </is>
      </c>
      <c r="F4" s="3" t="inlineStr">
        <is>
          <t>Review note</t>
        </is>
      </c>
    </row>
    <row r="5">
      <c r="A5" s="4" t="inlineStr">
        <is>
          <t>Blank</t>
        </is>
      </c>
      <c r="B5" s="5" t="n">
        <v>0.02</v>
      </c>
      <c r="C5" s="4" t="n">
        <v>0</v>
      </c>
      <c r="D5" s="4" t="n">
        <v>0.05</v>
      </c>
      <c r="E5" s="4">
        <f>IF(AND(B5&gt;=C5,B5&lt;=D5),"PASS","REVIEW")</f>
        <v/>
      </c>
      <c r="F5" s="4" t="inlineStr">
        <is>
          <t>Background within limit</t>
        </is>
      </c>
    </row>
    <row r="6">
      <c r="A6" s="4" t="inlineStr">
        <is>
          <t>Low control</t>
        </is>
      </c>
      <c r="B6" s="5" t="n">
        <v>2.1</v>
      </c>
      <c r="C6" s="4" t="n">
        <v>1.8</v>
      </c>
      <c r="D6" s="4" t="n">
        <v>2.4</v>
      </c>
      <c r="E6" s="4">
        <f>IF(AND(B6&gt;=C6,B6&lt;=D6),"PASS","REVIEW")</f>
        <v/>
      </c>
      <c r="F6" s="4" t="inlineStr">
        <is>
          <t>Low control accepted</t>
        </is>
      </c>
    </row>
    <row r="7">
      <c r="A7" s="4" t="inlineStr">
        <is>
          <t>Mid control</t>
        </is>
      </c>
      <c r="B7" s="5" t="n">
        <v>6.8</v>
      </c>
      <c r="C7" s="4" t="n">
        <v>6</v>
      </c>
      <c r="D7" s="4" t="n">
        <v>7.5</v>
      </c>
      <c r="E7" s="4">
        <f>IF(AND(B7&gt;=C7,B7&lt;=D7),"PASS","REVIEW")</f>
        <v/>
      </c>
      <c r="F7" s="4" t="inlineStr">
        <is>
          <t>Cohort A-24 baseline reference</t>
        </is>
      </c>
    </row>
    <row r="8">
      <c r="A8" s="4" t="inlineStr">
        <is>
          <t>High control</t>
        </is>
      </c>
      <c r="B8" s="5" t="n">
        <v>12.2</v>
      </c>
      <c r="C8" s="4" t="n">
        <v>11</v>
      </c>
      <c r="D8" s="4" t="n">
        <v>13.5</v>
      </c>
      <c r="E8" s="4">
        <f>IF(AND(B8&gt;=C8,B8&lt;=D8),"PASS","REVIEW")</f>
        <v/>
      </c>
      <c r="F8" s="4" t="inlineStr">
        <is>
          <t>High control accepted</t>
        </is>
      </c>
    </row>
    <row r="10">
      <c r="A10" s="6" t="inlineStr">
        <is>
          <t>Cohort A-24 assay value</t>
        </is>
      </c>
      <c r="B10" s="7">
        <f>B7</f>
        <v/>
      </c>
    </row>
    <row r="11">
      <c r="A11" s="6" t="inlineStr">
        <is>
          <t>Decision threshold</t>
        </is>
      </c>
      <c r="B11" s="7" t="n">
        <v>6</v>
      </c>
    </row>
    <row r="12">
      <c r="A12" s="6" t="inlineStr">
        <is>
          <t>Analysis routing</t>
        </is>
      </c>
      <c r="B12" s="8">
        <f>IF(AND(B10&gt;=B11,E7="PASS"),"PREPARE ANALYSIS","HOLD FOR REVIEW")</f>
        <v/>
      </c>
    </row>
    <row r="14">
      <c r="A14" t="inlineStr">
        <is>
          <t>Synthetic-data notice</t>
        </is>
      </c>
      <c r="B14" s="9" t="inlineStr">
        <is>
          <t>All values, identifiers, and notes are fictional research material; no patient or participant data are included.</t>
        </is>
      </c>
    </row>
  </sheetData>
  <mergeCells count="3">
    <mergeCell ref="A2:F2"/>
    <mergeCell ref="A1:F1"/>
    <mergeCell ref="B14:F14"/>
  </mergeCells>
  <conditionalFormatting sqref="E5:E8">
    <cfRule type="cellIs" priority="1" operator="equal" dxfId="0">
      <formula>"PASS"</formula>
    </cfRule>
  </conditionalFormatting>
  <pageMargins left="0.25" right="0.25" top="1" bottom="1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4" customWidth="1" min="4" max="4"/>
    <col width="8" customWidth="1" min="5" max="5"/>
    <col width="12" customWidth="1" min="6" max="6"/>
    <col width="18" customWidth="1" min="7" max="7"/>
    <col width="12" customWidth="1" min="8" max="8"/>
  </cols>
  <sheetData>
    <row r="1">
      <c r="A1" s="10" t="inlineStr">
        <is>
          <t>Record</t>
        </is>
      </c>
      <c r="B1" s="10" t="inlineStr">
        <is>
          <t>Study</t>
        </is>
      </c>
      <c r="C1" s="10" t="inlineStr">
        <is>
          <t>Cohort</t>
        </is>
      </c>
      <c r="D1" s="10" t="inlineStr">
        <is>
          <t>Baseline date</t>
        </is>
      </c>
      <c r="E1" s="10" t="inlineStr">
        <is>
          <t>Well</t>
        </is>
      </c>
      <c r="F1" s="10" t="inlineStr">
        <is>
          <t>OD 450 nm</t>
        </is>
      </c>
      <c r="G1" s="10" t="inlineStr">
        <is>
          <t>Calculated (ng/mL)</t>
        </is>
      </c>
      <c r="H1" s="10" t="inlineStr">
        <is>
          <t>QC flag</t>
        </is>
      </c>
    </row>
    <row r="2">
      <c r="A2" s="11" t="inlineStr">
        <is>
          <t>A24-B01</t>
        </is>
      </c>
      <c r="B2" s="11" t="inlineStr">
        <is>
          <t>Study Alpha</t>
        </is>
      </c>
      <c r="C2" s="11" t="inlineStr">
        <is>
          <t>A-24</t>
        </is>
      </c>
      <c r="D2" s="12" t="inlineStr">
        <is>
          <t>2026-07-13</t>
        </is>
      </c>
      <c r="E2" s="11" t="inlineStr">
        <is>
          <t>B01</t>
        </is>
      </c>
      <c r="F2" s="13" t="n">
        <v>0.412</v>
      </c>
      <c r="G2" s="14" t="n">
        <v>6.74</v>
      </c>
      <c r="H2" s="11" t="inlineStr">
        <is>
          <t>Accepted</t>
        </is>
      </c>
    </row>
    <row r="3">
      <c r="A3" s="11" t="inlineStr">
        <is>
          <t>A24-B02</t>
        </is>
      </c>
      <c r="B3" s="11" t="inlineStr">
        <is>
          <t>Study Alpha</t>
        </is>
      </c>
      <c r="C3" s="11" t="inlineStr">
        <is>
          <t>A-24</t>
        </is>
      </c>
      <c r="D3" s="12" t="inlineStr">
        <is>
          <t>2026-07-13</t>
        </is>
      </c>
      <c r="E3" s="11" t="inlineStr">
        <is>
          <t>B02</t>
        </is>
      </c>
      <c r="F3" s="13" t="n">
        <v>0.416</v>
      </c>
      <c r="G3" s="14" t="n">
        <v>6.8</v>
      </c>
      <c r="H3" s="11" t="inlineStr">
        <is>
          <t>Accepted</t>
        </is>
      </c>
    </row>
    <row r="4">
      <c r="A4" s="11" t="inlineStr">
        <is>
          <t>A24-B03</t>
        </is>
      </c>
      <c r="B4" s="11" t="inlineStr">
        <is>
          <t>Study Alpha</t>
        </is>
      </c>
      <c r="C4" s="11" t="inlineStr">
        <is>
          <t>A-24</t>
        </is>
      </c>
      <c r="D4" s="12" t="inlineStr">
        <is>
          <t>2026-07-13</t>
        </is>
      </c>
      <c r="E4" s="11" t="inlineStr">
        <is>
          <t>B03</t>
        </is>
      </c>
      <c r="F4" s="13" t="n">
        <v>0.419</v>
      </c>
      <c r="G4" s="14" t="n">
        <v>6.86</v>
      </c>
      <c r="H4" s="11" t="inlineStr">
        <is>
          <t>Accepted</t>
        </is>
      </c>
    </row>
    <row r="5">
      <c r="A5" s="11" t="inlineStr">
        <is>
          <t>A24-B04</t>
        </is>
      </c>
      <c r="B5" s="11" t="inlineStr">
        <is>
          <t>Study Alpha</t>
        </is>
      </c>
      <c r="C5" s="11" t="inlineStr">
        <is>
          <t>A-24</t>
        </is>
      </c>
      <c r="D5" s="12" t="inlineStr">
        <is>
          <t>2026-07-13</t>
        </is>
      </c>
      <c r="E5" s="11" t="inlineStr">
        <is>
          <t>B04</t>
        </is>
      </c>
      <c r="F5" s="13" t="n">
        <v>0.415</v>
      </c>
      <c r="G5" s="14" t="n">
        <v>6.8</v>
      </c>
      <c r="H5" s="11" t="inlineStr">
        <is>
          <t>Accepted</t>
        </is>
      </c>
    </row>
  </sheetData>
  <dataValidations count="1">
    <dataValidation sqref="H2:H100" showDropDown="0" showInputMessage="0" showErrorMessage="0" allowBlank="0" type="list">
      <formula1>"Accepted,Review"</formula1>
    </dataValidation>
  </dataValidations>
  <pageMargins left="0.25" right="0.25" top="1" bottom="1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</cols>
  <sheetData>
    <row r="1">
      <c r="A1" s="15" t="inlineStr">
        <is>
          <t>Metric</t>
        </is>
      </c>
      <c r="B1" s="15" t="inlineStr">
        <is>
          <t>Formula result</t>
        </is>
      </c>
      <c r="C1" s="15" t="inlineStr">
        <is>
          <t>Unit / interpretation</t>
        </is>
      </c>
    </row>
    <row r="2">
      <c r="A2" s="11" t="inlineStr">
        <is>
          <t>Mean concentration</t>
        </is>
      </c>
      <c r="B2" s="16">
        <f>AVERAGE('Raw Readings'!G2:G5)</f>
        <v/>
      </c>
      <c r="C2" s="11" t="inlineStr">
        <is>
          <t>ng/mL</t>
        </is>
      </c>
    </row>
    <row r="3">
      <c r="A3" s="11" t="inlineStr">
        <is>
          <t>Range</t>
        </is>
      </c>
      <c r="B3" s="16">
        <f>MAX('Raw Readings'!G2:G5)-MIN('Raw Readings'!G2:G5)</f>
        <v/>
      </c>
      <c r="C3" s="11" t="inlineStr">
        <is>
          <t>ng/mL</t>
        </is>
      </c>
    </row>
    <row r="4">
      <c r="A4" s="11" t="inlineStr">
        <is>
          <t>Mean OD</t>
        </is>
      </c>
      <c r="B4" s="13">
        <f>AVERAGE('Raw Readings'!F2:F5)</f>
        <v/>
      </c>
      <c r="C4" s="11" t="inlineStr">
        <is>
          <t>OD 450 nm</t>
        </is>
      </c>
    </row>
    <row r="5">
      <c r="A5" s="11" t="inlineStr">
        <is>
          <t>Assay check</t>
        </is>
      </c>
      <c r="B5" s="11">
        <f>IF(ABS(B2-'QC Summary'!B10)&lt;0.01,"MATCH","REVIEW")</f>
        <v/>
      </c>
      <c r="C5" s="11" t="inlineStr">
        <is>
          <t>comparison to QC Summary</t>
        </is>
      </c>
    </row>
  </sheetData>
  <pageMargins left="0.25" right="0.25" top="1" bottom="1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2026-08-23T08:48:05Z</dcterms:created>
  <dcterms:modified xmlns:dcterms="http://purl.org/dc/terms/" xmlns:xsi="http://www.w3.org/2001/XMLSchema-instance" xsi:type="dcterms:W3CDTF">2026-08-23T08:48:05Z</dcterms:modified>
</cp:coreProperties>
</file>