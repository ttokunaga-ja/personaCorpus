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379d2e1e9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1fcf696d3c53480c"/>
    <x:sheet xmlns:r="http://schemas.openxmlformats.org/officeDocument/2006/relationships" name="Summary" sheetId="2" r:id="Rd168962181c14079"/>
    <x:sheet xmlns:r="http://schemas.openxmlformats.org/officeDocument/2006/relationships" name="Data Dictionary" sheetId="3" r:id="Rf9c50c50b423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9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83B5B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83B5B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DCEBF3"/>
      </x:patternFill>
    </x:fill>
    <x:fill>
      <x:patternFill patternType="solid">
        <x:fgColor rgb="FF1C6B78"/>
      </x:patternFill>
    </x:fill>
  </x:fills>
  <x:borders count="16">
    <x:border/>
    <x:border>
      <x:right style="thin">
        <x:color rgb="FFD6E0E8"/>
      </x:right>
      <x:bottom style="thin">
        <x:color rgb="FFD6E0E8"/>
      </x:bottom>
    </x:border>
    <x:border>
      <x:left style="thin">
        <x:color rgb="FFD6E0E8"/>
      </x:left>
      <x:right style="thin">
        <x:color rgb="FFD6E0E8"/>
      </x:right>
      <x:bottom style="thin">
        <x:color rgb="FFD6E0E8"/>
      </x:bottom>
    </x:border>
    <x:border>
      <x:left style="thin">
        <x:color rgb="FFD6E0E8"/>
      </x:left>
      <x:bottom style="thin">
        <x:color rgb="FFD6E0E8"/>
      </x:bottom>
    </x:border>
    <x:border>
      <x:right style="thin">
        <x:color rgb="FFD6E0E8"/>
      </x:right>
      <x:top style="thin">
        <x:color rgb="FFD6E0E8"/>
      </x:top>
      <x:bottom style="thin">
        <x:color rgb="FFD6E0E8"/>
      </x:bottom>
    </x:border>
    <x:border>
      <x:left style="thin">
        <x:color rgb="FFD6E0E8"/>
      </x:left>
      <x:right style="thin">
        <x:color rgb="FFD6E0E8"/>
      </x:right>
      <x:top style="thin">
        <x:color rgb="FFD6E0E8"/>
      </x:top>
      <x:bottom style="thin">
        <x:color rgb="FFD6E0E8"/>
      </x:bottom>
    </x:border>
    <x:border>
      <x:left style="thin">
        <x:color rgb="FFD6E0E8"/>
      </x:left>
      <x:top style="thin">
        <x:color rgb="FFD6E0E8"/>
      </x:top>
      <x:bottom style="thin">
        <x:color rgb="FFD6E0E8"/>
      </x:bottom>
    </x:border>
    <x:border>
      <x:right style="thin">
        <x:color rgb="FFD6E0E8"/>
      </x:right>
      <x:top style="thin">
        <x:color rgb="FFD6E0E8"/>
      </x:top>
    </x:border>
    <x:border>
      <x:left style="thin">
        <x:color rgb="FFD6E0E8"/>
      </x:left>
      <x:right style="thin">
        <x:color rgb="FFD6E0E8"/>
      </x:right>
      <x:top style="thin">
        <x:color rgb="FFD6E0E8"/>
      </x:top>
    </x:border>
    <x:border>
      <x:left style="thin">
        <x:color rgb="FFD6E0E8"/>
      </x:left>
      <x:top style="thin">
        <x:color rgb="FFD6E0E8"/>
      </x:top>
    </x:border>
    <x:border>
      <x:left style="thin">
        <x:color rgb="FFAFC2D0"/>
      </x:left>
      <x:top style="thin">
        <x:color rgb="FFAFC2D0"/>
      </x:top>
    </x:border>
    <x:border>
      <x:right style="thin">
        <x:color rgb="FFAFC2D0"/>
      </x:right>
      <x:top style="thin">
        <x:color rgb="FFAFC2D0"/>
      </x:top>
    </x:border>
    <x:border>
      <x:left style="thin">
        <x:color rgb="FFAFC2D0"/>
      </x:left>
    </x:border>
    <x:border>
      <x:right style="thin">
        <x:color rgb="FFAFC2D0"/>
      </x:right>
    </x:border>
    <x:border>
      <x:left style="thin">
        <x:color rgb="FFAFC2D0"/>
      </x:left>
      <x:bottom style="thin">
        <x:color rgb="FFAFC2D0"/>
      </x:bottom>
    </x:border>
    <x:border>
      <x:right style="thin">
        <x:color rgb="FFAFC2D0"/>
      </x:right>
      <x:bottom style="thin">
        <x:color rgb="FFAFC2D0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10" xfId="0" applyNumberFormat="1" applyFont="1" applyFill="1" applyBorder="1"/>
    <x:xf numFmtId="0" fontId="0" fillId="0" borderId="11" xfId="0" applyNumberFormat="1" applyFont="1" applyFill="1" applyBorder="1"/>
    <x:xf numFmtId="0" fontId="4" fillId="3" borderId="12" xfId="0" applyNumberFormat="1" applyFont="1" applyFill="1" applyBorder="1"/>
    <x:xf numFmtId="0" fontId="0" fillId="0" borderId="13" xfId="0" applyNumberFormat="1" applyFont="1" applyFill="1" applyBorder="1"/>
    <x:xf numFmtId="0" fontId="4" fillId="3" borderId="14" xfId="0" applyNumberFormat="1" applyFont="1" applyFill="1" applyBorder="1"/>
    <x:xf numFmtId="0" fontId="0" fillId="0" borderId="15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0" fillId="0" borderId="12" xfId="0" applyNumberFormat="1" applyFont="1" applyFill="1" applyBorder="1"/>
    <x:xf numFmtId="201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10" xfId="0" applyNumberFormat="1" applyFont="1" applyFill="1" applyBorder="1"/>
    <x:xf numFmtId="0" fontId="7" fillId="0" borderId="11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8" fillId="3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2" xfId="0" applyNumberFormat="1" applyFont="1" applyFill="1" applyBorder="1"/>
    <x:xf numFmtId="201" fontId="7" fillId="0" borderId="13" xfId="0" applyNumberFormat="1" applyFont="1" applyFill="1" applyBorder="1"/>
    <x:xf numFmtId="0" fontId="7" fillId="0" borderId="14" xfId="0" applyNumberFormat="1" applyFont="1" applyFill="1" applyBorder="1"/>
    <x:xf numFmtId="201" fontId="7" fillId="0" borderId="15" xfId="0" applyNumberFormat="1" applyFont="1" applyFill="1" applyBorder="1"/>
    <x:xf numFmtId="0" fontId="8" fillId="3" borderId="14" xfId="0" applyNumberFormat="1" applyFont="1" applyFill="1" applyBorder="1"/>
    <x:xf numFmtId="0" fontId="7" fillId="0" borderId="15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65C36"/>
      </x:font>
      <x:fill>
        <x:patternFill patternType="solid">
          <x:bgColor rgb="FFDDF3E4"/>
        </x:patternFill>
      </x:fill>
    </x:dxf>
    <x:dxf>
      <x:font>
        <x:color rgb="FF5A347D"/>
      </x:font>
      <x:fill>
        <x:patternFill patternType="solid">
          <x:bgColor rgb="FFEEE5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c00902c244db0" /><Relationship Type="http://schemas.openxmlformats.org/officeDocument/2006/relationships/theme" Target="/xl/theme/theme1.xml" Id="R2f1d3c127eab40f4" /><Relationship Type="http://schemas.openxmlformats.org/officeDocument/2006/relationships/sharedStrings" Target="/xl/sharedStrings.xml" Id="R59c1f6a6460646c9" /><Relationship Type="http://schemas.openxmlformats.org/officeDocument/2006/relationships/worksheet" Target="/xl/worksheets/sheet1.xml" Id="R1fcf696d3c53480c" /><Relationship Type="http://schemas.openxmlformats.org/officeDocument/2006/relationships/worksheet" Target="/xl/worksheets/sheet2.xml" Id="Rd168962181c14079" /><Relationship Type="http://schemas.openxmlformats.org/officeDocument/2006/relationships/worksheet" Target="/xl/worksheets/sheet3.xml" Id="Rf9c50c50b42348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</x:cols>
  <x:sheetData>
    <x:row r="1">
      <x:c r="A1" s="16" t="str">
        <x:v>Sample ID</x:v>
      </x:c>
      <x:c r="B1" s="17" t="str">
        <x:v>Alias</x:v>
      </x:c>
      <x:c r="C1" s="17" t="str">
        <x:v>Container</x:v>
      </x:c>
      <x:c r="D1" s="17" t="str">
        <x:v>Position</x:v>
      </x:c>
      <x:c r="E1" s="17" t="str">
        <x:v>Matrix</x:v>
      </x:c>
      <x:c r="F1" s="17" t="str">
        <x:v>Volume (uL)</x:v>
      </x:c>
      <x:c r="G1" s="17" t="str">
        <x:v>Storage location</x:v>
      </x:c>
      <x:c r="H1" s="18" t="str">
        <x:v>Status</x:v>
      </x:c>
    </x:row>
    <x:row r="2">
      <x:c r="A2" s="19" t="str">
        <x:v>OCW-A24-001</x:v>
      </x:c>
      <x:c r="B2" s="20" t="str">
        <x:v>A24-01</x:v>
      </x:c>
      <x:c r="C2" s="20" t="str">
        <x:v>BX-A1</x:v>
      </x:c>
      <x:c r="D2" s="20" t="str">
        <x:v>A01</x:v>
      </x:c>
      <x:c r="E2" s="20" t="str">
        <x:v>synthetic lysate</x:v>
      </x:c>
      <x:c r="F2" s="21" t="n">
        <x:v>180</x:v>
      </x:c>
      <x:c r="G2" s="20" t="str">
        <x:v>FZ-02/R1/A01</x:v>
      </x:c>
      <x:c r="H2" s="22" t="str">
        <x:v>available</x:v>
      </x:c>
    </x:row>
    <x:row r="3">
      <x:c r="A3" s="19" t="str">
        <x:v>OCW-A24-002</x:v>
      </x:c>
      <x:c r="B3" s="20" t="str">
        <x:v>A24-02</x:v>
      </x:c>
      <x:c r="C3" s="20" t="str">
        <x:v>BX-A1</x:v>
      </x:c>
      <x:c r="D3" s="20" t="str">
        <x:v>A02</x:v>
      </x:c>
      <x:c r="E3" s="20" t="str">
        <x:v>synthetic lysate</x:v>
      </x:c>
      <x:c r="F3" s="21" t="n">
        <x:v>175</x:v>
      </x:c>
      <x:c r="G3" s="20" t="str">
        <x:v>FZ-02/R1/A02</x:v>
      </x:c>
      <x:c r="H3" s="22" t="str">
        <x:v>available</x:v>
      </x:c>
    </x:row>
    <x:row r="4">
      <x:c r="A4" s="19" t="str">
        <x:v>OCW-A24-003</x:v>
      </x:c>
      <x:c r="B4" s="20" t="str">
        <x:v>A24-03</x:v>
      </x:c>
      <x:c r="C4" s="20" t="str">
        <x:v>BX-A1</x:v>
      </x:c>
      <x:c r="D4" s="20" t="str">
        <x:v>A03</x:v>
      </x:c>
      <x:c r="E4" s="20" t="str">
        <x:v>synthetic lysate</x:v>
      </x:c>
      <x:c r="F4" s="21" t="n">
        <x:v>185</x:v>
      </x:c>
      <x:c r="G4" s="20" t="str">
        <x:v>FZ-02/R1/A03</x:v>
      </x:c>
      <x:c r="H4" s="22" t="str">
        <x:v>available</x:v>
      </x:c>
    </x:row>
    <x:row r="5">
      <x:c r="A5" s="19" t="str">
        <x:v>OCW-A24-004</x:v>
      </x:c>
      <x:c r="B5" s="20" t="str">
        <x:v>A24-04</x:v>
      </x:c>
      <x:c r="C5" s="20" t="str">
        <x:v>BX-A1</x:v>
      </x:c>
      <x:c r="D5" s="20" t="str">
        <x:v>A04</x:v>
      </x:c>
      <x:c r="E5" s="20" t="str">
        <x:v>synthetic lysate</x:v>
      </x:c>
      <x:c r="F5" s="21" t="n">
        <x:v>170</x:v>
      </x:c>
      <x:c r="G5" s="20" t="str">
        <x:v>FZ-02/R1/A04</x:v>
      </x:c>
      <x:c r="H5" s="22" t="str">
        <x:v>available</x:v>
      </x:c>
    </x:row>
    <x:row r="6">
      <x:c r="A6" s="19" t="str">
        <x:v>OCW-A24-005</x:v>
      </x:c>
      <x:c r="B6" s="20" t="str">
        <x:v>A24-05</x:v>
      </x:c>
      <x:c r="C6" s="20" t="str">
        <x:v>BX-A1</x:v>
      </x:c>
      <x:c r="D6" s="20" t="str">
        <x:v>A05</x:v>
      </x:c>
      <x:c r="E6" s="20" t="str">
        <x:v>synthetic lysate</x:v>
      </x:c>
      <x:c r="F6" s="21" t="n">
        <x:v>190</x:v>
      </x:c>
      <x:c r="G6" s="20" t="str">
        <x:v>FZ-02/R1/A05</x:v>
      </x:c>
      <x:c r="H6" s="22" t="str">
        <x:v>available</x:v>
      </x:c>
    </x:row>
    <x:row r="7">
      <x:c r="A7" s="19" t="str">
        <x:v>OCW-A24-006</x:v>
      </x:c>
      <x:c r="B7" s="20" t="str">
        <x:v>A24-06</x:v>
      </x:c>
      <x:c r="C7" s="20" t="str">
        <x:v>BX-A1</x:v>
      </x:c>
      <x:c r="D7" s="20" t="str">
        <x:v>A06</x:v>
      </x:c>
      <x:c r="E7" s="20" t="str">
        <x:v>synthetic lysate</x:v>
      </x:c>
      <x:c r="F7" s="21" t="n">
        <x:v>180</x:v>
      </x:c>
      <x:c r="G7" s="20" t="str">
        <x:v>FZ-02/R1/A06</x:v>
      </x:c>
      <x:c r="H7" s="22" t="str">
        <x:v>available</x:v>
      </x:c>
    </x:row>
    <x:row r="8">
      <x:c r="A8" s="19" t="str">
        <x:v>OCW-A24-007</x:v>
      </x:c>
      <x:c r="B8" s="20" t="str">
        <x:v>A24-07</x:v>
      </x:c>
      <x:c r="C8" s="20" t="str">
        <x:v>BX-A1</x:v>
      </x:c>
      <x:c r="D8" s="20" t="str">
        <x:v>A07</x:v>
      </x:c>
      <x:c r="E8" s="20" t="str">
        <x:v>synthetic lysate</x:v>
      </x:c>
      <x:c r="F8" s="21" t="n">
        <x:v>165</x:v>
      </x:c>
      <x:c r="G8" s="20" t="str">
        <x:v>FZ-02/R1/A07</x:v>
      </x:c>
      <x:c r="H8" s="22" t="str">
        <x:v>available</x:v>
      </x:c>
    </x:row>
    <x:row r="9">
      <x:c r="A9" s="19" t="str">
        <x:v>OCW-A24-008</x:v>
      </x:c>
      <x:c r="B9" s="20" t="str">
        <x:v>A24-08</x:v>
      </x:c>
      <x:c r="C9" s="20" t="str">
        <x:v>BX-A1</x:v>
      </x:c>
      <x:c r="D9" s="20" t="str">
        <x:v>A08</x:v>
      </x:c>
      <x:c r="E9" s="20" t="str">
        <x:v>synthetic lysate</x:v>
      </x:c>
      <x:c r="F9" s="21" t="n">
        <x:v>185</x:v>
      </x:c>
      <x:c r="G9" s="20" t="str">
        <x:v>FZ-02/R1/A08</x:v>
      </x:c>
      <x:c r="H9" s="22" t="str">
        <x:v>available</x:v>
      </x:c>
    </x:row>
    <x:row r="10">
      <x:c r="A10" s="19" t="str">
        <x:v>OCW-A24-009</x:v>
      </x:c>
      <x:c r="B10" s="20" t="str">
        <x:v>A24-09</x:v>
      </x:c>
      <x:c r="C10" s="20" t="str">
        <x:v>BX-A2</x:v>
      </x:c>
      <x:c r="D10" s="20" t="str">
        <x:v>B01</x:v>
      </x:c>
      <x:c r="E10" s="20" t="str">
        <x:v>synthetic lysate</x:v>
      </x:c>
      <x:c r="F10" s="21" t="n">
        <x:v>180</x:v>
      </x:c>
      <x:c r="G10" s="20" t="str">
        <x:v>FZ-02/R1/B01</x:v>
      </x:c>
      <x:c r="H10" s="22" t="str">
        <x:v>available</x:v>
      </x:c>
    </x:row>
    <x:row r="11">
      <x:c r="A11" s="19" t="str">
        <x:v>OCW-A24-010</x:v>
      </x:c>
      <x:c r="B11" s="20" t="str">
        <x:v>A24-10</x:v>
      </x:c>
      <x:c r="C11" s="20" t="str">
        <x:v>BX-A2</x:v>
      </x:c>
      <x:c r="D11" s="20" t="str">
        <x:v>B02</x:v>
      </x:c>
      <x:c r="E11" s="20" t="str">
        <x:v>synthetic lysate</x:v>
      </x:c>
      <x:c r="F11" s="21" t="n">
        <x:v>175</x:v>
      </x:c>
      <x:c r="G11" s="20" t="str">
        <x:v>FZ-02/R1/B02</x:v>
      </x:c>
      <x:c r="H11" s="22" t="str">
        <x:v>available</x:v>
      </x:c>
    </x:row>
    <x:row r="12">
      <x:c r="A12" s="19" t="str">
        <x:v>OCW-A24-011</x:v>
      </x:c>
      <x:c r="B12" s="20" t="str">
        <x:v>A24-11</x:v>
      </x:c>
      <x:c r="C12" s="20" t="str">
        <x:v>BX-A2</x:v>
      </x:c>
      <x:c r="D12" s="20" t="str">
        <x:v>B03</x:v>
      </x:c>
      <x:c r="E12" s="20" t="str">
        <x:v>synthetic lysate</x:v>
      </x:c>
      <x:c r="F12" s="21" t="n">
        <x:v>185</x:v>
      </x:c>
      <x:c r="G12" s="20" t="str">
        <x:v>FZ-02/R1/B03</x:v>
      </x:c>
      <x:c r="H12" s="22" t="str">
        <x:v>available</x:v>
      </x:c>
    </x:row>
    <x:row r="13">
      <x:c r="A13" s="19" t="str">
        <x:v>OCW-A24-012</x:v>
      </x:c>
      <x:c r="B13" s="20" t="str">
        <x:v>A24-12</x:v>
      </x:c>
      <x:c r="C13" s="20" t="str">
        <x:v>BX-A2</x:v>
      </x:c>
      <x:c r="D13" s="20" t="str">
        <x:v>B04</x:v>
      </x:c>
      <x:c r="E13" s="20" t="str">
        <x:v>synthetic lysate</x:v>
      </x:c>
      <x:c r="F13" s="21" t="n">
        <x:v>170</x:v>
      </x:c>
      <x:c r="G13" s="20" t="str">
        <x:v>FZ-02/R1/B04</x:v>
      </x:c>
      <x:c r="H13" s="22" t="str">
        <x:v>available</x:v>
      </x:c>
    </x:row>
    <x:row r="14">
      <x:c r="A14" s="19" t="str">
        <x:v>OCW-A24-013</x:v>
      </x:c>
      <x:c r="B14" s="20" t="str">
        <x:v>A24-13</x:v>
      </x:c>
      <x:c r="C14" s="20" t="str">
        <x:v>BX-A2</x:v>
      </x:c>
      <x:c r="D14" s="20" t="str">
        <x:v>B05</x:v>
      </x:c>
      <x:c r="E14" s="20" t="str">
        <x:v>synthetic lysate</x:v>
      </x:c>
      <x:c r="F14" s="21" t="n">
        <x:v>190</x:v>
      </x:c>
      <x:c r="G14" s="20" t="str">
        <x:v>FZ-02/R1/B05</x:v>
      </x:c>
      <x:c r="H14" s="22" t="str">
        <x:v>available</x:v>
      </x:c>
    </x:row>
    <x:row r="15">
      <x:c r="A15" s="19" t="str">
        <x:v>OCW-A24-014</x:v>
      </x:c>
      <x:c r="B15" s="20" t="str">
        <x:v>A24-14</x:v>
      </x:c>
      <x:c r="C15" s="20" t="str">
        <x:v>BX-A2</x:v>
      </x:c>
      <x:c r="D15" s="20" t="str">
        <x:v>B06</x:v>
      </x:c>
      <x:c r="E15" s="20" t="str">
        <x:v>synthetic lysate</x:v>
      </x:c>
      <x:c r="F15" s="21" t="n">
        <x:v>180</x:v>
      </x:c>
      <x:c r="G15" s="20" t="str">
        <x:v>FZ-02/R1/B06</x:v>
      </x:c>
      <x:c r="H15" s="22" t="str">
        <x:v>available</x:v>
      </x:c>
    </x:row>
    <x:row r="16">
      <x:c r="A16" s="19" t="str">
        <x:v>OCW-A24-015</x:v>
      </x:c>
      <x:c r="B16" s="20" t="str">
        <x:v>A24-15</x:v>
      </x:c>
      <x:c r="C16" s="20" t="str">
        <x:v>BX-A2</x:v>
      </x:c>
      <x:c r="D16" s="20" t="str">
        <x:v>B07</x:v>
      </x:c>
      <x:c r="E16" s="20" t="str">
        <x:v>synthetic lysate</x:v>
      </x:c>
      <x:c r="F16" s="21" t="n">
        <x:v>165</x:v>
      </x:c>
      <x:c r="G16" s="20" t="str">
        <x:v>FZ-02/R1/B07</x:v>
      </x:c>
      <x:c r="H16" s="22" t="str">
        <x:v>available</x:v>
      </x:c>
    </x:row>
    <x:row r="17">
      <x:c r="A17" s="19" t="str">
        <x:v>OCW-A24-016</x:v>
      </x:c>
      <x:c r="B17" s="20" t="str">
        <x:v>A24-16</x:v>
      </x:c>
      <x:c r="C17" s="20" t="str">
        <x:v>BX-A2</x:v>
      </x:c>
      <x:c r="D17" s="20" t="str">
        <x:v>B08</x:v>
      </x:c>
      <x:c r="E17" s="20" t="str">
        <x:v>synthetic lysate</x:v>
      </x:c>
      <x:c r="F17" s="21" t="n">
        <x:v>185</x:v>
      </x:c>
      <x:c r="G17" s="20" t="str">
        <x:v>FZ-02/R1/B08</x:v>
      </x:c>
      <x:c r="H17" s="22" t="str">
        <x:v>available</x:v>
      </x:c>
    </x:row>
    <x:row r="18">
      <x:c r="A18" s="19" t="str">
        <x:v>OCW-A24-017</x:v>
      </x:c>
      <x:c r="B18" s="20" t="str">
        <x:v>A24-17</x:v>
      </x:c>
      <x:c r="C18" s="20" t="str">
        <x:v>BX-A3</x:v>
      </x:c>
      <x:c r="D18" s="20" t="str">
        <x:v>C01</x:v>
      </x:c>
      <x:c r="E18" s="20" t="str">
        <x:v>synthetic lysate</x:v>
      </x:c>
      <x:c r="F18" s="21" t="n">
        <x:v>180</x:v>
      </x:c>
      <x:c r="G18" s="20" t="str">
        <x:v>FZ-02/R1/C01</x:v>
      </x:c>
      <x:c r="H18" s="22" t="str">
        <x:v>reserved</x:v>
      </x:c>
    </x:row>
    <x:row r="19">
      <x:c r="A19" s="19" t="str">
        <x:v>OCW-A24-018</x:v>
      </x:c>
      <x:c r="B19" s="20" t="str">
        <x:v>A24-18</x:v>
      </x:c>
      <x:c r="C19" s="20" t="str">
        <x:v>BX-A3</x:v>
      </x:c>
      <x:c r="D19" s="20" t="str">
        <x:v>C02</x:v>
      </x:c>
      <x:c r="E19" s="20" t="str">
        <x:v>synthetic lysate</x:v>
      </x:c>
      <x:c r="F19" s="21" t="n">
        <x:v>175</x:v>
      </x:c>
      <x:c r="G19" s="20" t="str">
        <x:v>FZ-02/R1/C02</x:v>
      </x:c>
      <x:c r="H19" s="22" t="str">
        <x:v>reserved</x:v>
      </x:c>
    </x:row>
    <x:row r="20">
      <x:c r="A20" s="19" t="str">
        <x:v>OCW-A24-019</x:v>
      </x:c>
      <x:c r="B20" s="20" t="str">
        <x:v>A24-19</x:v>
      </x:c>
      <x:c r="C20" s="20" t="str">
        <x:v>BX-A3</x:v>
      </x:c>
      <x:c r="D20" s="20" t="str">
        <x:v>C03</x:v>
      </x:c>
      <x:c r="E20" s="20" t="str">
        <x:v>synthetic lysate</x:v>
      </x:c>
      <x:c r="F20" s="21" t="n">
        <x:v>185</x:v>
      </x:c>
      <x:c r="G20" s="20" t="str">
        <x:v>FZ-02/R1/C03</x:v>
      </x:c>
      <x:c r="H20" s="22" t="str">
        <x:v>reserved</x:v>
      </x:c>
    </x:row>
    <x:row r="21">
      <x:c r="A21" s="19" t="str">
        <x:v>OCW-A24-020</x:v>
      </x:c>
      <x:c r="B21" s="20" t="str">
        <x:v>A24-20</x:v>
      </x:c>
      <x:c r="C21" s="20" t="str">
        <x:v>BX-A3</x:v>
      </x:c>
      <x:c r="D21" s="20" t="str">
        <x:v>C04</x:v>
      </x:c>
      <x:c r="E21" s="20" t="str">
        <x:v>synthetic lysate</x:v>
      </x:c>
      <x:c r="F21" s="21" t="n">
        <x:v>170</x:v>
      </x:c>
      <x:c r="G21" s="20" t="str">
        <x:v>FZ-02/R1/C04</x:v>
      </x:c>
      <x:c r="H21" s="22" t="str">
        <x:v>reserved</x:v>
      </x:c>
    </x:row>
    <x:row r="22">
      <x:c r="A22" s="19" t="str">
        <x:v>OCW-A24-021</x:v>
      </x:c>
      <x:c r="B22" s="20" t="str">
        <x:v>A24-21</x:v>
      </x:c>
      <x:c r="C22" s="20" t="str">
        <x:v>BX-A3</x:v>
      </x:c>
      <x:c r="D22" s="20" t="str">
        <x:v>C05</x:v>
      </x:c>
      <x:c r="E22" s="20" t="str">
        <x:v>synthetic lysate</x:v>
      </x:c>
      <x:c r="F22" s="21" t="n">
        <x:v>190</x:v>
      </x:c>
      <x:c r="G22" s="20" t="str">
        <x:v>FZ-02/R1/C05</x:v>
      </x:c>
      <x:c r="H22" s="22" t="str">
        <x:v>reserved</x:v>
      </x:c>
    </x:row>
    <x:row r="23">
      <x:c r="A23" s="19" t="str">
        <x:v>OCW-A24-022</x:v>
      </x:c>
      <x:c r="B23" s="20" t="str">
        <x:v>A24-22</x:v>
      </x:c>
      <x:c r="C23" s="20" t="str">
        <x:v>BX-A3</x:v>
      </x:c>
      <x:c r="D23" s="20" t="str">
        <x:v>C06</x:v>
      </x:c>
      <x:c r="E23" s="20" t="str">
        <x:v>synthetic lysate</x:v>
      </x:c>
      <x:c r="F23" s="21" t="n">
        <x:v>180</x:v>
      </x:c>
      <x:c r="G23" s="20" t="str">
        <x:v>FZ-02/R1/C06</x:v>
      </x:c>
      <x:c r="H23" s="22" t="str">
        <x:v>reserved</x:v>
      </x:c>
    </x:row>
    <x:row r="24">
      <x:c r="A24" s="19" t="str">
        <x:v>OCW-A24-023</x:v>
      </x:c>
      <x:c r="B24" s="20" t="str">
        <x:v>A24-23</x:v>
      </x:c>
      <x:c r="C24" s="20" t="str">
        <x:v>BX-A3</x:v>
      </x:c>
      <x:c r="D24" s="20" t="str">
        <x:v>C07</x:v>
      </x:c>
      <x:c r="E24" s="20" t="str">
        <x:v>synthetic lysate</x:v>
      </x:c>
      <x:c r="F24" s="21" t="n">
        <x:v>165</x:v>
      </x:c>
      <x:c r="G24" s="20" t="str">
        <x:v>FZ-02/R1/C07</x:v>
      </x:c>
      <x:c r="H24" s="22" t="str">
        <x:v>reserved</x:v>
      </x:c>
    </x:row>
    <x:row r="25">
      <x:c r="A25" s="23" t="str">
        <x:v>OCW-A24-024</x:v>
      </x:c>
      <x:c r="B25" s="24" t="str">
        <x:v>A24-24</x:v>
      </x:c>
      <x:c r="C25" s="24" t="str">
        <x:v>BX-A3</x:v>
      </x:c>
      <x:c r="D25" s="24" t="str">
        <x:v>C08</x:v>
      </x:c>
      <x:c r="E25" s="24" t="str">
        <x:v>synthetic lysate</x:v>
      </x:c>
      <x:c r="F25" s="25" t="n">
        <x:v>185</x:v>
      </x:c>
      <x:c r="G25" s="24" t="str">
        <x:v>FZ-02/R1/C08</x:v>
      </x:c>
      <x:c r="H25" s="26" t="str">
        <x:v>reserved</x:v>
      </x:c>
    </x:row>
  </x:sheetData>
  <x:conditionalFormatting sqref="H2:H25">
    <x:cfRule type="containsText" dxfId="0" priority="1" operator="containsText" text="available"/>
    <x:cfRule type="containsText" dxfId="1" priority="2" operator="containsText" text="reserv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4" max="4" width="24" hidden="0" customWidth="1"/>
    <x:col min="5" max="5" width="22" hidden="0" customWidth="1"/>
  </x:cols>
  <x:sheetData>
    <x:row r="1" ht="30" customHeight="1">
      <x:c r="A1" s="48" t="str">
        <x:v>Orchid Cellworks - Synthetic Sample Inventory</x:v>
      </x:c>
      <x:c r="B1" s="48"/>
      <x:c r="C1" s="48"/>
      <x:c r="D1" s="48"/>
      <x:c r="E1" s="48"/>
      <x:c r="F1" s="48"/>
    </x:row>
    <x:row r="2">
      <x:c r="A2" s="49"/>
      <x:c r="B2" s="49"/>
      <x:c r="C2" s="49"/>
      <x:c r="D2" s="49"/>
      <x:c r="E2" s="49"/>
      <x:c r="F2" s="49"/>
    </x:row>
    <x:row r="3">
      <x:c r="A3" s="50" t="str">
        <x:v>Study</x:v>
      </x:c>
      <x:c r="B3" s="51" t="str">
        <x:v>Study Alpha</x:v>
      </x:c>
      <x:c r="C3" s="49"/>
      <x:c r="D3" s="52" t="str">
        <x:v>Metric</x:v>
      </x:c>
      <x:c r="E3" s="53" t="str">
        <x:v>Formula-driven value</x:v>
      </x:c>
      <x:c r="F3" s="49"/>
    </x:row>
    <x:row r="4">
      <x:c r="A4" s="54" t="str">
        <x:v>Cohort</x:v>
      </x:c>
      <x:c r="B4" s="55" t="str">
        <x:v>cohort A-24</x:v>
      </x:c>
      <x:c r="C4" s="49"/>
      <x:c r="D4" s="56" t="str">
        <x:v>Registered samples</x:v>
      </x:c>
      <x:c r="E4" s="57" t="n">
        <x:f>COUNTA('Inventory'!A2:A25)</x:f>
        <x:v>24</x:v>
      </x:c>
      <x:c r="F4" s="49"/>
    </x:row>
    <x:row r="5">
      <x:c r="A5" s="54" t="str">
        <x:v>Reference date</x:v>
      </x:c>
      <x:c r="B5" s="55" t="str">
        <x:v>2026-07-13</x:v>
      </x:c>
      <x:c r="C5" s="49"/>
      <x:c r="D5" s="56" t="str">
        <x:v>Available volume (uL)</x:v>
      </x:c>
      <x:c r="E5" s="57" t="n">
        <x:f>SUMIF('Inventory'!H2:H25,"available",'Inventory'!F2:F25)</x:f>
        <x:v>2860</x:v>
      </x:c>
      <x:c r="F5" s="49"/>
    </x:row>
    <x:row r="6">
      <x:c r="A6" s="54" t="str">
        <x:v>QC anchor</x:v>
      </x:c>
      <x:c r="B6" s="55" t="str">
        <x:v>assay 6.8 ng/mL</x:v>
      </x:c>
      <x:c r="C6" s="49"/>
      <x:c r="D6" s="58" t="str">
        <x:v>Mean volume (uL)</x:v>
      </x:c>
      <x:c r="E6" s="59" t="n">
        <x:f>AVERAGE('Inventory'!F2:F25)</x:f>
        <x:v>178.75</x:v>
      </x:c>
      <x:c r="F6" s="49"/>
    </x:row>
    <x:row r="7">
      <x:c r="A7" s="60" t="str">
        <x:v>Synthetic data</x:v>
      </x:c>
      <x:c r="B7" s="61" t="str">
        <x:v>Yes - no clinical material</x:v>
      </x:c>
      <x:c r="C7" s="49"/>
      <x:c r="D7" s="49"/>
      <x:c r="E7" s="49"/>
      <x:c r="F7" s="49"/>
    </x:row>
    <x:row r="8">
      <x:c r="A8" s="49"/>
      <x:c r="B8" s="49"/>
      <x:c r="C8" s="49"/>
      <x:c r="D8" s="49"/>
      <x:c r="E8" s="49"/>
      <x:c r="F8" s="49"/>
    </x:row>
    <x:row r="9">
      <x:c r="A9" s="49"/>
      <x:c r="B9" s="49"/>
      <x:c r="C9" s="49"/>
      <x:c r="D9" s="49"/>
      <x:c r="E9" s="49"/>
      <x:c r="F9" s="49"/>
    </x:row>
    <x:row r="10">
      <x:c r="A10" s="49"/>
      <x:c r="B10" s="49"/>
      <x:c r="C10" s="49"/>
      <x:c r="D10" s="49"/>
      <x:c r="E10" s="49"/>
      <x:c r="F10" s="49"/>
    </x:row>
    <x:row r="11">
      <x:c r="A11" s="49"/>
      <x:c r="B11" s="49"/>
      <x:c r="C11" s="49"/>
      <x:c r="D11" s="49"/>
      <x:c r="E11" s="49"/>
      <x:c r="F11" s="49"/>
    </x:row>
    <x:row r="12">
      <x:c r="A12" s="49"/>
      <x:c r="B12" s="49"/>
      <x:c r="C12" s="49"/>
      <x:c r="D12" s="49"/>
      <x:c r="E12" s="49"/>
      <x:c r="F12" s="49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15" hidden="0" customWidth="1"/>
  </x:cols>
  <x:sheetData>
    <x:row r="1">
      <x:c r="A1" s="72" t="str">
        <x:v>Field</x:v>
      </x:c>
      <x:c r="B1" s="73" t="str">
        <x:v>Definition</x:v>
      </x:c>
      <x:c r="C1" s="74" t="str">
        <x:v>Type</x:v>
      </x:c>
    </x:row>
    <x:row r="2">
      <x:c r="A2" s="75" t="str">
        <x:v>Sample ID</x:v>
      </x:c>
      <x:c r="B2" s="76" t="str">
        <x:v>Wholly synthetic inventory identifier</x:v>
      </x:c>
      <x:c r="C2" s="77" t="str">
        <x:v>text</x:v>
      </x:c>
    </x:row>
    <x:row r="3">
      <x:c r="A3" s="75" t="str">
        <x:v>Alias</x:v>
      </x:c>
      <x:c r="B3" s="76" t="str">
        <x:v>Operational short label</x:v>
      </x:c>
      <x:c r="C3" s="77" t="str">
        <x:v>text</x:v>
      </x:c>
    </x:row>
    <x:row r="4">
      <x:c r="A4" s="75" t="str">
        <x:v>Container</x:v>
      </x:c>
      <x:c r="B4" s="76" t="str">
        <x:v>Synthetic freezer box</x:v>
      </x:c>
      <x:c r="C4" s="77" t="str">
        <x:v>text</x:v>
      </x:c>
    </x:row>
    <x:row r="5">
      <x:c r="A5" s="75" t="str">
        <x:v>Position</x:v>
      </x:c>
      <x:c r="B5" s="76" t="str">
        <x:v>Rack coordinate</x:v>
      </x:c>
      <x:c r="C5" s="77" t="str">
        <x:v>text</x:v>
      </x:c>
    </x:row>
    <x:row r="6">
      <x:c r="A6" s="75" t="str">
        <x:v>Matrix</x:v>
      </x:c>
      <x:c r="B6" s="76" t="str">
        <x:v>Synthetic assay material</x:v>
      </x:c>
      <x:c r="C6" s="77" t="str">
        <x:v>text</x:v>
      </x:c>
    </x:row>
    <x:row r="7">
      <x:c r="A7" s="75" t="str">
        <x:v>Volume (uL)</x:v>
      </x:c>
      <x:c r="B7" s="76" t="str">
        <x:v>Stored volume in microlitres</x:v>
      </x:c>
      <x:c r="C7" s="77" t="str">
        <x:v>number</x:v>
      </x:c>
    </x:row>
    <x:row r="8">
      <x:c r="A8" s="75" t="str">
        <x:v>Storage location</x:v>
      </x:c>
      <x:c r="B8" s="76" t="str">
        <x:v>Freezer and rack coordinate</x:v>
      </x:c>
      <x:c r="C8" s="77" t="str">
        <x:v>text</x:v>
      </x:c>
    </x:row>
    <x:row r="9">
      <x:c r="A9" s="78" t="str">
        <x:v>Status</x:v>
      </x:c>
      <x:c r="B9" s="79" t="str">
        <x:v>Inventory availability state</x:v>
      </x:c>
      <x:c r="C9" s="80" t="str">
        <x:v>text</x:v>
      </x:c>
    </x:row>
  </x:sheetData>
  <x:pageMargins left="0.7" right="0.7" top="0.75" bottom="0.75" header="0.3" footer="0.3"/>
</x:worksheet>
</file>