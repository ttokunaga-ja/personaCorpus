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Budget by Category" sheetId="3" state="visible" r:id="rId3"/>
  </sheets>
  <definedNames>
    <definedName name="_xlnm.Print_Area" localSheetId="0">'Milestones'!$A$1:$H$7</definedName>
    <definedName name="_xlnm.Print_Area" localSheetId="1">'Inputs &amp; Assumptions'!$A$1:$D$9</definedName>
    <definedName name="_xlnm.Print_Area" localSheetId="2">'Budget by Category'!$A$1:$Q$20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"/>
    <numFmt numFmtId="166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08C95"/>
      </patternFill>
    </fill>
    <fill>
      <patternFill patternType="solid">
        <fgColor rgb="008154A0"/>
      </patternFill>
    </fill>
  </fills>
  <borders count="2">
    <border>
      <left/>
      <right/>
      <top/>
      <bottom/>
      <diagonal/>
    </border>
    <border>
      <bottom style="thin">
        <color rgb="00B9C8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  <xf numFmtId="0" fontId="2" fillId="3" borderId="0" pivotButton="0" quotePrefix="0" xfId="0"/>
    <xf numFmtId="3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by Category'!B2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'Budget by Category'!$A$3:$A$6</f>
            </numRef>
          </cat>
          <val>
            <numRef>
              <f>'Budget by Category'!$B$3:$B$6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7" customWidth="1" min="3" max="3"/>
    <col width="27" customWidth="1" min="4" max="4"/>
    <col width="12" customWidth="1" min="5" max="5"/>
    <col width="20" customWidth="1" min="6" max="6"/>
    <col width="22" customWidth="1" min="7" max="7"/>
    <col width="27" customWidth="1" min="8" max="8"/>
  </cols>
  <sheetData>
    <row r="1" ht="28" customHeight="1">
      <c r="A1" s="1" t="inlineStr">
        <is>
          <t>Study Alpha A-24 | Milestone and Budget Model</t>
        </is>
      </c>
    </row>
    <row r="2">
      <c r="A2" s="2" t="inlineStr">
        <is>
          <t>Milestone</t>
        </is>
      </c>
      <c r="B2" s="2" t="inlineStr">
        <is>
          <t>Weeks</t>
        </is>
      </c>
      <c r="C2" s="2" t="inlineStr">
        <is>
          <t>Owner role</t>
        </is>
      </c>
      <c r="D2" s="2" t="inlineStr">
        <is>
          <t>Deliverable</t>
        </is>
      </c>
      <c r="E2" s="2" t="inlineStr">
        <is>
          <t>Release %</t>
        </is>
      </c>
      <c r="F2" s="2" t="inlineStr">
        <is>
          <t>Planned cost (USD)</t>
        </is>
      </c>
      <c r="G2" s="2" t="inlineStr">
        <is>
          <t>Cumulative cost (USD)</t>
        </is>
      </c>
      <c r="H2" s="2" t="inlineStr">
        <is>
          <t>QC gate</t>
        </is>
      </c>
    </row>
    <row r="3">
      <c r="A3" s="3" t="inlineStr">
        <is>
          <t>Readiness lock</t>
        </is>
      </c>
      <c r="B3" s="3" t="inlineStr">
        <is>
          <t>1–3</t>
        </is>
      </c>
      <c r="C3" s="3" t="inlineStr">
        <is>
          <t>Program lead</t>
        </is>
      </c>
      <c r="D3" s="3" t="inlineStr">
        <is>
          <t>Roster + protocol lock</t>
        </is>
      </c>
      <c r="E3" s="4" t="n">
        <v>0.18</v>
      </c>
      <c r="F3" s="5" t="n">
        <v>12960</v>
      </c>
      <c r="G3" s="5">
        <f>SUM($F$3:F3)</f>
        <v/>
      </c>
      <c r="H3" s="3" t="inlineStr">
        <is>
          <t>Traceability complete</t>
        </is>
      </c>
    </row>
    <row r="4">
      <c r="A4" s="3" t="inlineStr">
        <is>
          <t>Verification runs</t>
        </is>
      </c>
      <c r="B4" s="3" t="inlineStr">
        <is>
          <t>4–9</t>
        </is>
      </c>
      <c r="C4" s="3" t="inlineStr">
        <is>
          <t>Assay lead</t>
        </is>
      </c>
      <c r="D4" s="3" t="inlineStr">
        <is>
          <t>3 controlled runs</t>
        </is>
      </c>
      <c r="E4" s="4" t="n">
        <v>0.32</v>
      </c>
      <c r="F4" s="5" t="n">
        <v>23040</v>
      </c>
      <c r="G4" s="5">
        <f>SUM($F$3:F4)</f>
        <v/>
      </c>
      <c r="H4" s="3" t="inlineStr">
        <is>
          <t>CV ≤10%; recovery 90–110%</t>
        </is>
      </c>
    </row>
    <row r="5">
      <c r="A5" s="3" t="inlineStr">
        <is>
          <t>Quality review</t>
        </is>
      </c>
      <c r="B5" s="3" t="inlineStr">
        <is>
          <t>10–13</t>
        </is>
      </c>
      <c r="C5" s="3" t="inlineStr">
        <is>
          <t>Quality reviewer</t>
        </is>
      </c>
      <c r="D5" s="3" t="inlineStr">
        <is>
          <t>Exception closure record</t>
        </is>
      </c>
      <c r="E5" s="4" t="n">
        <v>0.25</v>
      </c>
      <c r="F5" s="5" t="n">
        <v>18000</v>
      </c>
      <c r="G5" s="5">
        <f>SUM($F$3:F5)</f>
        <v/>
      </c>
      <c r="H5" s="3" t="inlineStr">
        <is>
          <t>No critical issue open</t>
        </is>
      </c>
    </row>
    <row r="6">
      <c r="A6" s="3" t="inlineStr">
        <is>
          <t>Decision package</t>
        </is>
      </c>
      <c r="B6" s="3" t="inlineStr">
        <is>
          <t>14–16</t>
        </is>
      </c>
      <c r="C6" s="3" t="inlineStr">
        <is>
          <t>Research lead</t>
        </is>
      </c>
      <c r="D6" s="3" t="inlineStr">
        <is>
          <t>Internal recommendation</t>
        </is>
      </c>
      <c r="E6" s="4" t="n">
        <v>0.25</v>
      </c>
      <c r="F6" s="5" t="n">
        <v>18000</v>
      </c>
      <c r="G6" s="5">
        <f>SUM($F$3:F6)</f>
        <v/>
      </c>
      <c r="H6" s="3" t="inlineStr">
        <is>
          <t>Evidence package accepted</t>
        </is>
      </c>
    </row>
    <row r="7">
      <c r="A7" s="3" t="inlineStr">
        <is>
          <t>Total</t>
        </is>
      </c>
      <c r="B7" s="3" t="inlineStr"/>
      <c r="C7" s="3" t="inlineStr"/>
      <c r="D7" s="3" t="inlineStr"/>
      <c r="E7" s="4">
        <f>SUM(E3:E6)</f>
        <v/>
      </c>
      <c r="F7" s="5">
        <f>SUM(F3:F6)</f>
        <v/>
      </c>
      <c r="G7" s="5">
        <f>MAX(G3:G6)</f>
        <v/>
      </c>
      <c r="H7" s="3" t="inlineStr"/>
    </row>
  </sheetData>
  <mergeCells count="1">
    <mergeCell ref="A1:H1"/>
  </mergeCells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42" customWidth="1" min="4" max="4"/>
  </cols>
  <sheetData>
    <row r="1">
      <c r="A1" s="6" t="inlineStr">
        <is>
          <t>Model Inputs &amp; Analytical Acceptance Criteria</t>
        </is>
      </c>
    </row>
    <row r="2">
      <c r="A2" s="7" t="inlineStr">
        <is>
          <t>Input</t>
        </is>
      </c>
      <c r="B2" s="7" t="inlineStr">
        <is>
          <t>Value</t>
        </is>
      </c>
      <c r="C2" s="7" t="inlineStr">
        <is>
          <t>Unit</t>
        </is>
      </c>
      <c r="D2" s="7" t="inlineStr">
        <is>
          <t>Note</t>
        </is>
      </c>
    </row>
    <row r="3">
      <c r="A3" s="3" t="inlineStr">
        <is>
          <t>Total planned budget</t>
        </is>
      </c>
      <c r="B3" s="8" t="n">
        <v>72000</v>
      </c>
      <c r="C3" s="3" t="inlineStr">
        <is>
          <t>USD</t>
        </is>
      </c>
      <c r="D3" s="3" t="inlineStr">
        <is>
          <t>Synthetic internal planning budget</t>
        </is>
      </c>
    </row>
    <row r="4">
      <c r="A4" s="3" t="inlineStr">
        <is>
          <t>Baseline median</t>
        </is>
      </c>
      <c r="B4" s="9" t="n">
        <v>6.8</v>
      </c>
      <c r="C4" s="3" t="inlineStr">
        <is>
          <t>ng/mL</t>
        </is>
      </c>
      <c r="D4" s="3" t="inlineStr">
        <is>
          <t>ALPHA-A24-R03 descriptive context</t>
        </is>
      </c>
    </row>
    <row r="5">
      <c r="A5" s="3" t="inlineStr">
        <is>
          <t>Duplicate CV threshold</t>
        </is>
      </c>
      <c r="B5" s="10" t="n">
        <v>0.1</v>
      </c>
      <c r="C5" s="3" t="inlineStr">
        <is>
          <t>fraction</t>
        </is>
      </c>
      <c r="D5" s="3" t="inlineStr">
        <is>
          <t>Must be at or below threshold</t>
        </is>
      </c>
    </row>
    <row r="6">
      <c r="A6" s="3" t="inlineStr">
        <is>
          <t>Recovery lower bound</t>
        </is>
      </c>
      <c r="B6" s="10" t="n">
        <v>0.9</v>
      </c>
      <c r="C6" s="3" t="inlineStr">
        <is>
          <t>fraction</t>
        </is>
      </c>
      <c r="D6" s="3" t="inlineStr">
        <is>
          <t>Inclusive acceptance bound</t>
        </is>
      </c>
    </row>
    <row r="7">
      <c r="A7" s="3" t="inlineStr">
        <is>
          <t>Recovery upper bound</t>
        </is>
      </c>
      <c r="B7" s="10" t="n">
        <v>1.1</v>
      </c>
      <c r="C7" s="3" t="inlineStr">
        <is>
          <t>fraction</t>
        </is>
      </c>
      <c r="D7" s="3" t="inlineStr">
        <is>
          <t>Inclusive acceptance bound</t>
        </is>
      </c>
    </row>
    <row r="8">
      <c r="A8" s="3" t="inlineStr">
        <is>
          <t>Cohort size</t>
        </is>
      </c>
      <c r="B8" s="8" t="n">
        <v>24</v>
      </c>
      <c r="C8" s="3" t="inlineStr">
        <is>
          <t>coded records</t>
        </is>
      </c>
      <c r="D8" s="3" t="inlineStr">
        <is>
          <t>OCW-A24-001 through OCW-A24-024</t>
        </is>
      </c>
    </row>
    <row r="9">
      <c r="A9" s="3" t="n"/>
      <c r="B9" s="8" t="n"/>
      <c r="C9" s="3" t="n"/>
      <c r="D9" s="3" t="n"/>
    </row>
  </sheetData>
  <mergeCells count="1">
    <mergeCell ref="A1:D1"/>
  </mergeCells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44" customWidth="1" min="4" max="4"/>
  </cols>
  <sheetData>
    <row r="1">
      <c r="A1" s="11" t="inlineStr">
        <is>
          <t>Budget by Category</t>
        </is>
      </c>
    </row>
    <row r="2">
      <c r="A2" s="7" t="inlineStr">
        <is>
          <t>Category</t>
        </is>
      </c>
      <c r="B2" s="7" t="inlineStr">
        <is>
          <t>Amount (USD)</t>
        </is>
      </c>
      <c r="C2" s="7" t="inlineStr">
        <is>
          <t>Share of total</t>
        </is>
      </c>
      <c r="D2" s="7" t="inlineStr">
        <is>
          <t>Rationale</t>
        </is>
      </c>
    </row>
    <row r="3">
      <c r="A3" s="3" t="inlineStr">
        <is>
          <t>Personnel</t>
        </is>
      </c>
      <c r="B3" s="5" t="n">
        <v>32400</v>
      </c>
      <c r="C3" s="10">
        <f>B3/$B$7</f>
        <v/>
      </c>
      <c r="D3" s="3" t="inlineStr">
        <is>
          <t>Planning, assay execution, quality review</t>
        </is>
      </c>
    </row>
    <row r="4">
      <c r="A4" s="3" t="inlineStr">
        <is>
          <t>Assay materials</t>
        </is>
      </c>
      <c r="B4" s="5" t="n">
        <v>18000</v>
      </c>
      <c r="C4" s="10">
        <f>B4/$B$7</f>
        <v/>
      </c>
      <c r="D4" s="3" t="inlineStr">
        <is>
          <t>Synthetic controls and consumables</t>
        </is>
      </c>
    </row>
    <row r="5">
      <c r="A5" s="3" t="inlineStr">
        <is>
          <t>Quality documentation</t>
        </is>
      </c>
      <c r="B5" s="5" t="n">
        <v>10800</v>
      </c>
      <c r="C5" s="10">
        <f>B5/$B$7</f>
        <v/>
      </c>
      <c r="D5" s="3" t="inlineStr">
        <is>
          <t>Review, reconciliation, evidence assembly</t>
        </is>
      </c>
    </row>
    <row r="6">
      <c r="A6" s="3" t="inlineStr">
        <is>
          <t>Dissemination package</t>
        </is>
      </c>
      <c r="B6" s="5" t="n">
        <v>10800</v>
      </c>
      <c r="C6" s="10">
        <f>B6/$B$7</f>
        <v/>
      </c>
      <c r="D6" s="3" t="inlineStr">
        <is>
          <t>Figure, checklist, internal packet</t>
        </is>
      </c>
    </row>
    <row r="7">
      <c r="A7" s="3" t="inlineStr">
        <is>
          <t>Total</t>
        </is>
      </c>
      <c r="B7" s="5">
        <f>SUM(B3:B6)</f>
        <v/>
      </c>
      <c r="C7" s="10">
        <f>SUM(C3:C6)</f>
        <v/>
      </c>
      <c r="D7" s="3" t="inlineStr"/>
    </row>
  </sheetData>
  <mergeCells count="1">
    <mergeCell ref="A1:D1"/>
  </mergeCells>
  <pageMargins left="0.25" right="0.25" top="0.35" bottom="0.35" header="0.5" footer="0.5"/>
  <pageSetup orientation="landscape" paperSize="1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2026-08-23T08:24:18Z</dcterms:created>
  <dcterms:modified xmlns:dcterms="http://purl.org/dc/terms/" xmlns:xsi="http://www.w3.org/2001/XMLSchema-instance" xsi:type="dcterms:W3CDTF">2026-08-23T08:24:18Z</dcterms:modified>
</cp:coreProperties>
</file>