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QC comparison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 &quot;ng/mL&quot;"/>
    <numFmt numFmtId="165" formatCode="0.0%"/>
  </numFmts>
  <fonts count="4">
    <font>
      <sz val="10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b/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F4E8C1"/>
        <bgColor indexed="64"/>
      </patternFill>
    </fill>
    <fill>
      <patternFill patternType="solid">
        <fgColor rgb="FFE6F3F5"/>
        <bgColor indexed="64"/>
      </patternFill>
    </fill>
  </fills>
  <borders count="2">
    <border>
      <left/>
      <right/>
      <top/>
      <bottom/>
      <diagonal/>
    </border>
    <border>
      <left style="thin">
        <color rgb="FFD5E2E8"/>
      </left>
      <right style="thin">
        <color rgb="FFD5E2E8"/>
      </right>
      <top style="thin">
        <color rgb="FFD5E2E8"/>
      </top>
      <bottom style="thin">
        <color rgb="FFD5E2E8"/>
      </bottom>
      <diagonal/>
    </border>
  </borders>
  <cellXfs count="9">
    <xf numFmtId="0" fontId="0" fillId="0" borderId="0"/>
    <xf numFmtId="0" fontId="1" fillId="2" borderId="0" applyFont="1" applyFill="1"/>
    <xf numFmtId="0" fontId="2" fillId="3" borderId="1" applyFont="1" applyFill="1" applyBorder="1"/>
    <xf numFmtId="0" fontId="3" fillId="4" borderId="1" applyFont="1" applyFill="1" applyBorder="1"/>
    <xf numFmtId="164" fontId="0" fillId="0" borderId="1" applyNumberFormat="1" applyBorder="1"/>
    <xf numFmtId="165" fontId="0" fillId="0" borderId="1" applyNumberFormat="1" applyBorder="1"/>
    <xf numFmtId="0" fontId="0" fillId="5" borderId="1" applyFill="1" applyBorder="1"/>
    <xf numFmtId="0" fontId="3" fillId="5" borderId="1" applyFont="1" applyFill="1" applyBorder="1"/>
    <xf numFmtId="0" fontId="0" fillId="0" borderId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5" topLeftCell="B6" activePane="bottomRight" state="frozen"/>
    </sheetView>
  </sheetViews>
  <cols>
    <col min="1" max="1" width="20" customWidth="1"/>
    <col min="2" max="2" width="16" customWidth="1"/>
    <col min="3" max="3" width="16" customWidth="1"/>
    <col min="4" max="4" width="14" customWidth="1"/>
    <col min="5" max="5" width="18" customWidth="1"/>
    <col min="6" max="6" width="13" customWidth="1"/>
    <col min="7" max="7" width="28" customWidth="1"/>
  </cols>
  <sheetData>
    <row r="1" ht="28" customHeight="1">
      <c r="A1" s="1" t="inlineStr">
        <is>
          <t>ORCHID CELLWORKS | Beta B-16 QC sheet</t>
        </is>
      </c>
    </row>
    <row r="2" ht="28" customHeight="1">
      <c r="A2" s="6" t="inlineStr">
        <is>
          <t>Baseline comparison | Working date 2026-07-13 | Synthetic control series</t>
        </is>
      </c>
    </row>
    <row r="4" ht="28" customHeight="1">
      <c r="A4" s="7" t="inlineStr">
        <is>
          <t>Baseline</t>
        </is>
      </c>
      <c r="B4" s="8" t="n">
        <v>1.0</v>
      </c>
      <c r="C4" s="6" t="inlineStr">
        <is>
          <t>normalized response</t>
        </is>
      </c>
      <c r="E4" s="7" t="inlineStr">
        <is>
          <t>Treated</t>
        </is>
      </c>
      <c r="F4" s="8" t="n">
        <v>1.18</v>
      </c>
      <c r="G4" s="6" t="inlineStr">
        <is>
          <t>normalized response</t>
        </is>
      </c>
    </row>
    <row r="5" ht="28" customHeight="1">
      <c r="A5" s="2" t="inlineStr">
        <is>
          <t>QC item</t>
        </is>
      </c>
      <c r="B5" s="2" t="inlineStr">
        <is>
          <t>Baseline</t>
        </is>
      </c>
      <c r="C5" s="2" t="inlineStr">
        <is>
          <t>Treated</t>
        </is>
      </c>
      <c r="D5" s="2" t="inlineStr">
        <is>
          <t>Delta</t>
        </is>
      </c>
      <c r="E5" s="2" t="inlineStr">
        <is>
          <t>Percent change</t>
        </is>
      </c>
      <c r="F5" s="2" t="inlineStr">
        <is>
          <t>Limit</t>
        </is>
      </c>
      <c r="G5" s="2" t="inlineStr">
        <is>
          <t>Disposition</t>
        </is>
      </c>
    </row>
    <row r="6" ht="20" customHeight="1">
      <c r="A6" s="8" t="inlineStr">
        <is>
          <t>B-16 QC-1</t>
        </is>
      </c>
      <c r="B6" s="8" t="n">
        <v>1.0</v>
      </c>
      <c r="C6" s="8" t="n">
        <v>1.18</v>
      </c>
      <c r="D6" s="8">
        <f>C6-B6</f>
        <v>0.18</v>
      </c>
      <c r="E6" s="5">
        <f>D6/B6</f>
        <v>0.18</v>
      </c>
      <c r="F6" s="5" t="n">
        <v>0.2</v>
      </c>
      <c r="G6" s="6" t="str">
        <f>IF(ABS(E6)&lt;=F6,"PASS","REVIEW")</f>
        <v>PASS</v>
      </c>
    </row>
    <row r="7" ht="20" customHeight="1">
      <c r="A7" s="8" t="inlineStr">
        <is>
          <t>B-16 QC-2</t>
        </is>
      </c>
      <c r="B7" s="8" t="n">
        <v>0.99</v>
      </c>
      <c r="C7" s="8" t="n">
        <v>1.17</v>
      </c>
      <c r="D7" s="8">
        <f>C7-B7</f>
        <v>0.18</v>
      </c>
      <c r="E7" s="5">
        <f>D7/B7</f>
        <v>0.1818</v>
      </c>
      <c r="F7" s="5" t="n">
        <v>0.2</v>
      </c>
      <c r="G7" s="6" t="str">
        <f>IF(ABS(E7)&lt;=F7,"PASS","REVIEW")</f>
        <v>PASS</v>
      </c>
    </row>
    <row r="8" ht="20" customHeight="1">
      <c r="A8" s="8" t="inlineStr">
        <is>
          <t>B-16 QC-3</t>
        </is>
      </c>
      <c r="B8" s="8" t="n">
        <v>1.01</v>
      </c>
      <c r="C8" s="8" t="n">
        <v>1.19</v>
      </c>
      <c r="D8" s="8">
        <f>C8-B8</f>
        <v>0.18</v>
      </c>
      <c r="E8" s="5">
        <f>D8/B8</f>
        <v>0.1782</v>
      </c>
      <c r="F8" s="5" t="n">
        <v>0.2</v>
      </c>
      <c r="G8" s="6" t="str">
        <f>IF(ABS(E8)&lt;=F8,"PASS","REVIEW")</f>
        <v>PASS</v>
      </c>
    </row>
    <row r="9" ht="20" customHeight="1">
      <c r="A9" s="8" t="inlineStr">
        <is>
          <t>B-16 QC-4</t>
        </is>
      </c>
      <c r="B9" s="8" t="n">
        <v>1.0</v>
      </c>
      <c r="C9" s="8" t="n">
        <v>1.18</v>
      </c>
      <c r="D9" s="8">
        <f>C9-B9</f>
        <v>0.18</v>
      </c>
      <c r="E9" s="5">
        <f>D9/B9</f>
        <v>0.18</v>
      </c>
      <c r="F9" s="5" t="n">
        <v>0.2</v>
      </c>
      <c r="G9" s="6" t="str">
        <f>IF(ABS(E9)&lt;=F9,"PASS","REVIEW")</f>
        <v>PASS</v>
      </c>
    </row>
    <row r="10" ht="20" customHeight="1">
      <c r="A10" s="8" t="inlineStr">
        <is>
          <t>B-16 QC-5</t>
        </is>
      </c>
      <c r="B10" s="8" t="n">
        <v>1.0</v>
      </c>
      <c r="C10" s="8" t="n">
        <v>1.18</v>
      </c>
      <c r="D10" s="8">
        <f>C10-B10</f>
        <v>0.18</v>
      </c>
      <c r="E10" s="5">
        <f>D10/B10</f>
        <v>0.18</v>
      </c>
      <c r="F10" s="5" t="n">
        <v>0.2</v>
      </c>
      <c r="G10" s="6" t="str">
        <f>IF(ABS(E10)&lt;=F10,"PASS","REVIEW")</f>
        <v>PASS</v>
      </c>
    </row>
    <row r="12" ht="20" customHeight="1">
      <c r="A13" s="3" t="inlineStr">
        <is>
          <t>QC summary</t>
        </is>
      </c>
      <c r="B13" s="3" t="inlineStr">
        <is>
          <t>Result</t>
        </is>
      </c>
      <c r="C13" s="3" t="inlineStr">
        <is>
          <t>Interpretation</t>
        </is>
      </c>
    </row>
    <row r="13" ht="20" customHeight="1">
      <c r="A14" s="8" t="inlineStr">
        <is>
          <t>Mean baseline</t>
        </is>
      </c>
      <c r="B14" s="8">
        <f>AVERAGE(B6:B10)</f>
        <v>1.0</v>
      </c>
      <c r="C14" s="8" t="inlineStr">
        <is>
          <t>reference</t>
        </is>
      </c>
    </row>
    <row r="14" ht="20" customHeight="1">
      <c r="A15" s="8" t="inlineStr">
        <is>
          <t>Mean treated</t>
        </is>
      </c>
      <c r="B15" s="8">
        <f>AVERAGE(C6:C10)</f>
        <v>1.18</v>
      </c>
      <c r="C15" s="8" t="inlineStr">
        <is>
          <t>post-treatment</t>
        </is>
      </c>
    </row>
    <row r="15" ht="20" customHeight="1">
      <c r="A16" s="8" t="inlineStr">
        <is>
          <t>Shift</t>
        </is>
      </c>
      <c r="B16" s="8">
        <f>B15-B14</f>
        <v>0.18</v>
      </c>
      <c r="C16" s="8" t="inlineStr">
        <is>
          <t>normalized units</t>
        </is>
      </c>
    </row>
    <row r="16" ht="20" customHeight="1">
      <c r="A17" s="8" t="inlineStr">
        <is>
          <t>Percent shift</t>
        </is>
      </c>
      <c r="B17" s="5">
        <f>B16/B14</f>
        <v>0.18</v>
      </c>
      <c r="C17" s="8" t="inlineStr">
        <is>
          <t>target 18.0%; limit +/-20.0%</t>
        </is>
      </c>
    </row>
    <row r="17" ht="20" customHeight="1">
      <c r="A18" s="8" t="inlineStr">
        <is>
          <t>Run disposition</t>
        </is>
      </c>
      <c r="B18" s="6" t="str">
        <f>IF(ABS(B17)&lt;=0.20,"ACCEPT","REVIEW")</f>
        <v>ACCEPT</v>
      </c>
      <c r="C18" s="8" t="inlineStr">
        <is>
          <t>treated shift within QC limit</t>
        </is>
      </c>
    </row>
  </sheetData>
  <mergeCells count="1">
    <mergeCell ref="A1:G1"/>
  </mergeCells>
  <autoFilter ref="A5:H14"/>
</worksheet>
</file>