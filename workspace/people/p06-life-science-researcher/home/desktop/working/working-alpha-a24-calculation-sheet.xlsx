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un calculation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 &quot;ng/mL&quot;"/>
    <numFmt numFmtId="165" formatCode="0.0%"/>
  </numFmts>
  <fonts count="4">
    <font>
      <sz val="10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b/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FF123B5D"/>
        <bgColor indexed="64"/>
      </patternFill>
    </fill>
    <fill>
      <patternFill patternType="solid">
        <fgColor rgb="FF0E7490"/>
        <bgColor indexed="64"/>
      </patternFill>
    </fill>
    <fill>
      <patternFill patternType="solid">
        <fgColor rgb="FFF4E8C1"/>
        <bgColor indexed="64"/>
      </patternFill>
    </fill>
    <fill>
      <patternFill patternType="solid">
        <fgColor rgb="FFE6F3F5"/>
        <bgColor indexed="64"/>
      </patternFill>
    </fill>
  </fills>
  <borders count="2">
    <border>
      <left/>
      <right/>
      <top/>
      <bottom/>
      <diagonal/>
    </border>
    <border>
      <left style="thin">
        <color rgb="FFD5E2E8"/>
      </left>
      <right style="thin">
        <color rgb="FFD5E2E8"/>
      </right>
      <top style="thin">
        <color rgb="FFD5E2E8"/>
      </top>
      <bottom style="thin">
        <color rgb="FFD5E2E8"/>
      </bottom>
      <diagonal/>
    </border>
  </borders>
  <cellXfs count="9">
    <xf numFmtId="0" fontId="0" fillId="0" borderId="0"/>
    <xf numFmtId="0" fontId="1" fillId="2" borderId="0" applyFont="1" applyFill="1"/>
    <xf numFmtId="0" fontId="2" fillId="3" borderId="1" applyFont="1" applyFill="1" applyBorder="1"/>
    <xf numFmtId="0" fontId="3" fillId="4" borderId="1" applyFont="1" applyFill="1" applyBorder="1"/>
    <xf numFmtId="164" fontId="0" fillId="0" borderId="1" applyNumberFormat="1" applyBorder="1"/>
    <xf numFmtId="165" fontId="0" fillId="0" borderId="1" applyNumberFormat="1" applyBorder="1"/>
    <xf numFmtId="0" fontId="0" fillId="5" borderId="1" applyFill="1" applyBorder="1"/>
    <xf numFmtId="0" fontId="3" fillId="5" borderId="1" applyFont="1" applyFill="1" applyBorder="1"/>
    <xf numFmtId="0" fontId="0" fillId="0" borderId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5" topLeftCell="B6" activePane="bottomRight" state="frozen"/>
    </sheetView>
  </sheetViews>
  <cols>
    <col min="1" max="1" width="18" customWidth="1"/>
    <col min="2" max="2" width="18" customWidth="1"/>
    <col min="3" max="3" width="19" customWidth="1"/>
    <col min="4" max="4" width="18" customWidth="1"/>
    <col min="5" max="5" width="18" customWidth="1"/>
    <col min="6" max="6" width="16" customWidth="1"/>
    <col min="7" max="7" width="25" customWidth="1"/>
  </cols>
  <sheetData>
    <row r="1" ht="28" customHeight="1">
      <c r="A1" s="1" t="inlineStr">
        <is>
          <t>ORCHID CELLWORKS | Alpha A-24 calculation sheet</t>
        </is>
      </c>
    </row>
    <row r="2" ht="28" customHeight="1">
      <c r="A2" s="6" t="inlineStr">
        <is>
          <t>Run ALPHA-A24-R03 | Protocol OCW-BIO-017 | Working date 2026-07-13</t>
        </is>
      </c>
    </row>
    <row r="4" ht="28" customHeight="1">
      <c r="A4" s="7" t="inlineStr">
        <is>
          <t>Target concentration</t>
        </is>
      </c>
      <c r="B4" s="4" t="n">
        <v>6.8</v>
      </c>
      <c r="C4" s="6" t="inlineStr">
        <is>
          <t>ng/mL</t>
        </is>
      </c>
      <c r="E4" s="7" t="inlineStr">
        <is>
          <t>Acceptance band</t>
        </is>
      </c>
      <c r="F4" s="5" t="n">
        <v>0.15</v>
      </c>
      <c r="G4" s="6" t="inlineStr">
        <is>
          <t>relative</t>
        </is>
      </c>
    </row>
    <row r="5" ht="28" customHeight="1">
      <c r="A5" s="2" t="inlineStr">
        <is>
          <t>Replicate</t>
        </is>
      </c>
      <c r="B5" s="2" t="inlineStr">
        <is>
          <t>Plate well</t>
        </is>
      </c>
      <c r="C5" s="2" t="inlineStr">
        <is>
          <t>Observed ng/mL</t>
        </is>
      </c>
      <c r="D5" s="2" t="inlineStr">
        <is>
          <t>Deviation ng/mL</t>
        </is>
      </c>
      <c r="E5" s="2" t="inlineStr">
        <is>
          <t>Relative deviation</t>
        </is>
      </c>
      <c r="F5" s="2" t="inlineStr">
        <is>
          <t>Within band</t>
        </is>
      </c>
      <c r="G5" s="2" t="inlineStr">
        <is>
          <t>Analyst note</t>
        </is>
      </c>
    </row>
    <row r="6" ht="20" customHeight="1">
      <c r="A6" s="8" t="n">
        <v>1</v>
      </c>
      <c r="B6" s="8" t="inlineStr">
        <is>
          <t>C4</t>
        </is>
      </c>
      <c r="C6" s="4" t="n">
        <v>6.72</v>
      </c>
      <c r="D6" s="4">
        <f>C6-$B$4</f>
        <v>-0.08</v>
      </c>
      <c r="E6" s="5">
        <f>D6/$B$4</f>
        <v>-0.011765</v>
      </c>
      <c r="F6" s="6" t="str">
        <f>IF(ABS(E6)&lt;=$F$4,"PASS","REVIEW")</f>
        <v>PASS</v>
      </c>
      <c r="G6" s="8" t="inlineStr">
        <is>
          <t>replicate retained</t>
        </is>
      </c>
    </row>
    <row r="7" ht="20" customHeight="1">
      <c r="A7" s="8" t="n">
        <v>2</v>
      </c>
      <c r="B7" s="8" t="inlineStr">
        <is>
          <t>C5</t>
        </is>
      </c>
      <c r="C7" s="4" t="n">
        <v>6.81</v>
      </c>
      <c r="D7" s="4">
        <f>C7-$B$4</f>
        <v>0.01</v>
      </c>
      <c r="E7" s="5">
        <f>D7/$B$4</f>
        <v>0.001471</v>
      </c>
      <c r="F7" s="6" t="str">
        <f>IF(ABS(E7)&lt;=$F$4,"PASS","REVIEW")</f>
        <v>PASS</v>
      </c>
      <c r="G7" s="8" t="inlineStr">
        <is>
          <t>replicate retained</t>
        </is>
      </c>
    </row>
    <row r="8" ht="20" customHeight="1">
      <c r="A8" s="8" t="n">
        <v>3</v>
      </c>
      <c r="B8" s="8" t="inlineStr">
        <is>
          <t>C6</t>
        </is>
      </c>
      <c r="C8" s="4" t="n">
        <v>6.87</v>
      </c>
      <c r="D8" s="4">
        <f>C8-$B$4</f>
        <v>0.07</v>
      </c>
      <c r="E8" s="5">
        <f>D8/$B$4</f>
        <v>0.010294</v>
      </c>
      <c r="F8" s="6" t="str">
        <f>IF(ABS(E8)&lt;=$F$4,"PASS","REVIEW")</f>
        <v>PASS</v>
      </c>
      <c r="G8" s="8" t="inlineStr">
        <is>
          <t>replicate retained</t>
        </is>
      </c>
    </row>
    <row r="9" ht="20" customHeight="1">
      <c r="A9" s="8" t="n">
        <v>4</v>
      </c>
      <c r="B9" s="8" t="inlineStr">
        <is>
          <t>D4</t>
        </is>
      </c>
      <c r="C9" s="4" t="n">
        <v>6.75</v>
      </c>
      <c r="D9" s="4">
        <f>C9-$B$4</f>
        <v>-0.05</v>
      </c>
      <c r="E9" s="5">
        <f>D9/$B$4</f>
        <v>-0.007353</v>
      </c>
      <c r="F9" s="6" t="str">
        <f>IF(ABS(E9)&lt;=$F$4,"PASS","REVIEW")</f>
        <v>PASS</v>
      </c>
      <c r="G9" s="8" t="inlineStr">
        <is>
          <t>replicate retained</t>
        </is>
      </c>
    </row>
    <row r="10" ht="20" customHeight="1">
      <c r="A10" s="8" t="n">
        <v>5</v>
      </c>
      <c r="B10" s="8" t="inlineStr">
        <is>
          <t>D5</t>
        </is>
      </c>
      <c r="C10" s="4" t="n">
        <v>6.79</v>
      </c>
      <c r="D10" s="4">
        <f>C10-$B$4</f>
        <v>-0.01</v>
      </c>
      <c r="E10" s="5">
        <f>D10/$B$4</f>
        <v>-0.001471</v>
      </c>
      <c r="F10" s="6" t="str">
        <f>IF(ABS(E10)&lt;=$F$4,"PASS","REVIEW")</f>
        <v>PASS</v>
      </c>
      <c r="G10" s="8" t="inlineStr">
        <is>
          <t>replicate retained</t>
        </is>
      </c>
    </row>
    <row r="11" ht="20" customHeight="1">
      <c r="A11" s="8" t="n">
        <v>6</v>
      </c>
      <c r="B11" s="8" t="inlineStr">
        <is>
          <t>D6</t>
        </is>
      </c>
      <c r="C11" s="4" t="n">
        <v>6.84</v>
      </c>
      <c r="D11" s="4">
        <f>C11-$B$4</f>
        <v>0.04</v>
      </c>
      <c r="E11" s="5">
        <f>D11/$B$4</f>
        <v>0.005882</v>
      </c>
      <c r="F11" s="6" t="str">
        <f>IF(ABS(E11)&lt;=$F$4,"PASS","REVIEW")</f>
        <v>PASS</v>
      </c>
      <c r="G11" s="8" t="inlineStr">
        <is>
          <t>replicate retained</t>
        </is>
      </c>
    </row>
    <row r="12" ht="20" customHeight="1">
      <c r="A12" s="8" t="n">
        <v>7</v>
      </c>
      <c r="B12" s="8" t="inlineStr">
        <is>
          <t>E4</t>
        </is>
      </c>
      <c r="C12" s="4" t="n">
        <v>6.77</v>
      </c>
      <c r="D12" s="4">
        <f>C12-$B$4</f>
        <v>-0.03</v>
      </c>
      <c r="E12" s="5">
        <f>D12/$B$4</f>
        <v>-0.004412</v>
      </c>
      <c r="F12" s="6" t="str">
        <f>IF(ABS(E12)&lt;=$F$4,"PASS","REVIEW")</f>
        <v>PASS</v>
      </c>
      <c r="G12" s="8" t="inlineStr">
        <is>
          <t>replicate retained</t>
        </is>
      </c>
    </row>
    <row r="13" ht="20" customHeight="1">
      <c r="A13" s="8" t="n">
        <v>8</v>
      </c>
      <c r="B13" s="8" t="inlineStr">
        <is>
          <t>E5</t>
        </is>
      </c>
      <c r="C13" s="4" t="n">
        <v>6.83</v>
      </c>
      <c r="D13" s="4">
        <f>C13-$B$4</f>
        <v>0.03</v>
      </c>
      <c r="E13" s="5">
        <f>D13/$B$4</f>
        <v>0.004412</v>
      </c>
      <c r="F13" s="6" t="str">
        <f>IF(ABS(E13)&lt;=$F$4,"PASS","REVIEW")</f>
        <v>PASS</v>
      </c>
      <c r="G13" s="8" t="inlineStr">
        <is>
          <t>replicate retained</t>
        </is>
      </c>
    </row>
    <row r="14" ht="20" customHeight="1">
      <c r="A14" s="8" t="n">
        <v>9</v>
      </c>
      <c r="B14" s="8" t="inlineStr">
        <is>
          <t>E6</t>
        </is>
      </c>
      <c r="C14" s="4" t="n">
        <v>6.8</v>
      </c>
      <c r="D14" s="4">
        <f>C14-$B$4</f>
        <v>0.0</v>
      </c>
      <c r="E14" s="5">
        <f>D14/$B$4</f>
        <v>0.0</v>
      </c>
      <c r="F14" s="6" t="str">
        <f>IF(ABS(E14)&lt;=$F$4,"PASS","REVIEW")</f>
        <v>PASS</v>
      </c>
      <c r="G14" s="8" t="inlineStr">
        <is>
          <t>replicate retained</t>
        </is>
      </c>
    </row>
    <row r="16" ht="20" customHeight="1">
      <c r="A16" s="3" t="inlineStr">
        <is>
          <t>Summary</t>
        </is>
      </c>
      <c r="B16" s="3" t="inlineStr">
        <is>
          <t>Formula result</t>
        </is>
      </c>
      <c r="C16" s="3" t="inlineStr">
        <is>
          <t>Unit</t>
        </is>
      </c>
    </row>
    <row r="17" ht="20" customHeight="1">
      <c r="A17" s="8" t="inlineStr">
        <is>
          <t>Mean observed</t>
        </is>
      </c>
      <c r="B17" s="4">
        <f>AVERAGE(C6:C14)</f>
        <v>6.7978</v>
      </c>
      <c r="C17" s="8" t="inlineStr">
        <is>
          <t>ng/mL</t>
        </is>
      </c>
    </row>
    <row r="18" ht="20" customHeight="1">
      <c r="A18" s="8" t="inlineStr">
        <is>
          <t>SD</t>
        </is>
      </c>
      <c r="B18" s="4">
        <f>STDEV.S(C6:C14)</f>
        <v>0.047</v>
      </c>
      <c r="C18" s="8" t="inlineStr">
        <is>
          <t>ng/mL</t>
        </is>
      </c>
    </row>
    <row r="19" ht="20" customHeight="1">
      <c r="A19" s="8" t="inlineStr">
        <is>
          <t>CV</t>
        </is>
      </c>
      <c r="B19" s="5">
        <f>B18/B17</f>
        <v>0.0069</v>
      </c>
      <c r="C19" s="8" t="inlineStr">
        <is>
          <t>relative</t>
        </is>
      </c>
    </row>
    <row r="20" ht="20" customHeight="1">
      <c r="A20" s="8" t="inlineStr">
        <is>
          <t>Mean vs target</t>
        </is>
      </c>
      <c r="B20" s="5">
        <f>(B17-$B$4)/$B$4</f>
        <v>-0.0003</v>
      </c>
      <c r="C20" s="8" t="inlineStr">
        <is>
          <t>relative</t>
        </is>
      </c>
    </row>
    <row r="21" ht="20" customHeight="1">
      <c r="A21" s="8" t="inlineStr">
        <is>
          <t>Run disposition</t>
        </is>
      </c>
      <c r="B21" s="6" t="str">
        <f>IF(AND(B19&lt;=0.10,ABS(B20)&lt;=$F$4),"ACCEPT","REVIEW")</f>
        <v>ACCEPT</v>
      </c>
      <c r="C21" s="8" t="inlineStr">
        <is>
          <t>all 9 replicates in band</t>
        </is>
      </c>
    </row>
  </sheetData>
  <mergeCells count="1">
    <mergeCell ref="A1:G1"/>
  </mergeCells>
  <autoFilter ref="A5:H14"/>
</worksheet>
</file>