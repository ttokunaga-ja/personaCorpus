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d2dbd4536047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Analysis" sheetId="1" r:id="R8037afa3f17949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6f1f784f914f34" /><Relationship Type="http://schemas.openxmlformats.org/officeDocument/2006/relationships/theme" Target="/xl/theme/theme1.xml" Id="R7a74023dc4174d53" /><Relationship Type="http://schemas.openxmlformats.org/officeDocument/2006/relationships/sharedStrings" Target="/xl/sharedStrings.xml" Id="R40c7016d2c274c88" /><Relationship Type="http://schemas.openxmlformats.org/officeDocument/2006/relationships/worksheet" Target="/xl/worksheets/sheet1.xml" Id="R8037afa3f17949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8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24" hidden="0" customWidth="1"/>
    <x:col min="10" max="10" width="16" hidden="0" customWidth="1"/>
  </x:cols>
  <x:sheetData>
    <x:row r="1" ht="28" customHeight="1">
      <x:c r="A1" s="4" t="str">
        <x:v>Course Alpha 2026 Term 1 Item Analysis</x:v>
      </x:c>
      <x:c r="B1" s="4"/>
      <x:c r="C1" s="4"/>
      <x:c r="D1" s="4"/>
      <x:c r="E1" s="4"/>
      <x:c r="F1" s="4"/>
      <x:c r="G1" s="4"/>
      <x:c r="H1" s="4"/>
    </x:row>
    <x:row r="2">
      <x:c r="A2" s="6" t="str">
        <x:v>Maple Learning | Snapshot 2026-09-14 | Synthetic cohort: 36 learners | Rubric max: 20</x:v>
      </x:c>
      <x:c r="B2" s="6" t="str">
        <x:v>Maple Learning | Snapshot 2026-09-14 | Synthetic cohort: 36 learners | Rubric max: 20</x:v>
      </x:c>
      <x:c r="C2" s="6" t="str">
        <x:v>Maple Learning | Snapshot 2026-09-14 | Synthetic cohort: 36 learners | Rubric max: 20</x:v>
      </x:c>
      <x:c r="D2" s="6" t="str">
        <x:v>Maple Learning | Snapshot 2026-09-14 | Synthetic cohort: 36 learners | Rubric max: 20</x:v>
      </x:c>
      <x:c r="E2" s="6" t="str">
        <x:v>Maple Learning | Snapshot 2026-09-14 | Synthetic cohort: 36 learners | Rubric max: 20</x:v>
      </x:c>
      <x:c r="F2" s="6" t="str">
        <x:v>Maple Learning | Snapshot 2026-09-14 | Synthetic cohort: 36 learners | Rubric max: 20</x:v>
      </x:c>
      <x:c r="G2" s="6" t="str">
        <x:v>Maple Learning | Snapshot 2026-09-14 | Synthetic cohort: 36 learners | Rubric max: 20</x:v>
      </x:c>
      <x:c r="H2" s="6" t="str">
        <x:v>Maple Learning | Snapshot 2026-09-14 | Synthetic cohort: 36 learners | Rubric max: 20</x:v>
      </x:c>
    </x:row>
    <x:row r="4">
      <x:c r="A4" s="11" t="str">
        <x:v>Learner ID</x:v>
      </x:c>
      <x:c r="B4" s="11" t="str">
        <x:v>Assignment</x:v>
      </x:c>
      <x:c r="C4" s="11" t="str">
        <x:v>k</x:v>
      </x:c>
      <x:c r="D4" s="11" t="str">
        <x:v>E</x:v>
      </x:c>
      <x:c r="E4" s="11" t="str">
        <x:v>R</x:v>
      </x:c>
      <x:c r="F4" s="11" t="str">
        <x:v>O</x:v>
      </x:c>
      <x:c r="G4" s="11" t="str">
        <x:v>F</x:v>
      </x:c>
      <x:c r="H4" s="11" t="str">
        <x:v>Total</x:v>
      </x:c>
      <x:c r="I4" s="11" t="str">
        <x:v>Item ID</x:v>
      </x:c>
      <x:c r="J4" s="11" t="str">
        <x:v>Review status</x:v>
      </x:c>
    </x:row>
    <x:row r="5">
      <x:c r="A5" s="12" t="str">
        <x:v>ML26-S001</x:v>
      </x:c>
      <x:c r="B5" s="12" t="str">
        <x:v>A-101</x:v>
      </x:c>
      <x:c r="C5" s="12" t="n">
        <x:v>1</x:v>
      </x:c>
      <x:c r="D5" s="12" t="n">
        <x:f>3+MOD(1+C5,4)</x:f>
        <x:v>5</x:v>
      </x:c>
      <x:c r="E5" s="12" t="n">
        <x:f>3+MOD(2*1+C5,4)</x:f>
        <x:v>6</x:v>
      </x:c>
      <x:c r="F5" s="12" t="n">
        <x:f>2+MOD(1+2*C5,3)</x:f>
        <x:v>2</x:v>
      </x:c>
      <x:c r="G5" s="12" t="n">
        <x:f>2+MOD(2*1+C5,3)</x:f>
        <x:v>2</x:v>
      </x:c>
      <x:c r="H5" s="12" t="n">
        <x:f>SUM(D5:G5)</x:f>
        <x:v>15</x:v>
      </x:c>
      <x:c r="I5" s="12" t="str">
        <x:v>ML-ITM-A101-01</x:v>
      </x:c>
      <x:c r="J5" s="12" t="str">
        <x:v>reviewed</x:v>
      </x:c>
    </x:row>
    <x:row r="6">
      <x:c r="A6" s="12" t="str">
        <x:v>ML26-S002</x:v>
      </x:c>
      <x:c r="B6" s="12" t="str">
        <x:v>A-101</x:v>
      </x:c>
      <x:c r="C6" s="12" t="n">
        <x:v>1</x:v>
      </x:c>
      <x:c r="D6" s="12" t="n">
        <x:f>3+MOD(2+C6,4)</x:f>
        <x:v>6</x:v>
      </x:c>
      <x:c r="E6" s="12" t="n">
        <x:f>3+MOD(2*2+C6,4)</x:f>
        <x:v>4</x:v>
      </x:c>
      <x:c r="F6" s="12" t="n">
        <x:f>2+MOD(2+2*C6,3)</x:f>
        <x:v>3</x:v>
      </x:c>
      <x:c r="G6" s="12" t="n">
        <x:f>2+MOD(2*2+C6,3)</x:f>
        <x:v>4</x:v>
      </x:c>
      <x:c r="H6" s="12" t="n">
        <x:f>SUM(D6:G6)</x:f>
        <x:v>17</x:v>
      </x:c>
      <x:c r="I6" s="12" t="str">
        <x:v>ML-ITM-A101-02</x:v>
      </x:c>
      <x:c r="J6" s="12" t="str">
        <x:v>reviewed</x:v>
      </x:c>
    </x:row>
    <x:row r="7">
      <x:c r="A7" s="12" t="str">
        <x:v>ML26-S003</x:v>
      </x:c>
      <x:c r="B7" s="12" t="str">
        <x:v>A-101</x:v>
      </x:c>
      <x:c r="C7" s="12" t="n">
        <x:v>1</x:v>
      </x:c>
      <x:c r="D7" s="12" t="n">
        <x:f>3+MOD(3+C7,4)</x:f>
        <x:v>3</x:v>
      </x:c>
      <x:c r="E7" s="12" t="n">
        <x:f>3+MOD(2*3+C7,4)</x:f>
        <x:v>6</x:v>
      </x:c>
      <x:c r="F7" s="12" t="n">
        <x:f>2+MOD(3+2*C7,3)</x:f>
        <x:v>4</x:v>
      </x:c>
      <x:c r="G7" s="12" t="n">
        <x:f>2+MOD(2*3+C7,3)</x:f>
        <x:v>3</x:v>
      </x:c>
      <x:c r="H7" s="12" t="n">
        <x:f>SUM(D7:G7)</x:f>
        <x:v>16</x:v>
      </x:c>
      <x:c r="I7" s="12" t="str">
        <x:v>ML-ITM-A101-01</x:v>
      </x:c>
      <x:c r="J7" s="12" t="str">
        <x:v>reviewed</x:v>
      </x:c>
    </x:row>
    <x:row r="8">
      <x:c r="A8" s="12" t="str">
        <x:v>ML26-S004</x:v>
      </x:c>
      <x:c r="B8" s="12" t="str">
        <x:v>A-101</x:v>
      </x:c>
      <x:c r="C8" s="12" t="n">
        <x:v>1</x:v>
      </x:c>
      <x:c r="D8" s="12" t="n">
        <x:f>3+MOD(4+C8,4)</x:f>
        <x:v>4</x:v>
      </x:c>
      <x:c r="E8" s="12" t="n">
        <x:f>3+MOD(2*4+C8,4)</x:f>
        <x:v>4</x:v>
      </x:c>
      <x:c r="F8" s="12" t="n">
        <x:f>2+MOD(4+2*C8,3)</x:f>
        <x:v>2</x:v>
      </x:c>
      <x:c r="G8" s="12" t="n">
        <x:f>2+MOD(2*4+C8,3)</x:f>
        <x:v>2</x:v>
      </x:c>
      <x:c r="H8" s="12" t="n">
        <x:f>SUM(D8:G8)</x:f>
        <x:v>12</x:v>
      </x:c>
      <x:c r="I8" s="12" t="str">
        <x:v>ML-ITM-A101-02</x:v>
      </x:c>
      <x:c r="J8" s="12" t="str">
        <x:v>reviewed</x:v>
      </x:c>
    </x:row>
    <x:row r="9">
      <x:c r="A9" s="12" t="str">
        <x:v>ML26-S005</x:v>
      </x:c>
      <x:c r="B9" s="12" t="str">
        <x:v>A-101</x:v>
      </x:c>
      <x:c r="C9" s="12" t="n">
        <x:v>1</x:v>
      </x:c>
      <x:c r="D9" s="12" t="n">
        <x:f>3+MOD(5+C9,4)</x:f>
        <x:v>5</x:v>
      </x:c>
      <x:c r="E9" s="12" t="n">
        <x:f>3+MOD(2*5+C9,4)</x:f>
        <x:v>6</x:v>
      </x:c>
      <x:c r="F9" s="12" t="n">
        <x:f>2+MOD(5+2*C9,3)</x:f>
        <x:v>3</x:v>
      </x:c>
      <x:c r="G9" s="12" t="n">
        <x:f>2+MOD(2*5+C9,3)</x:f>
        <x:v>4</x:v>
      </x:c>
      <x:c r="H9" s="12" t="n">
        <x:f>SUM(D9:G9)</x:f>
        <x:v>18</x:v>
      </x:c>
      <x:c r="I9" s="12" t="str">
        <x:v>ML-ITM-A101-01</x:v>
      </x:c>
      <x:c r="J9" s="12" t="str">
        <x:v>reviewed</x:v>
      </x:c>
    </x:row>
    <x:row r="10">
      <x:c r="A10" s="12" t="str">
        <x:v>ML26-S006</x:v>
      </x:c>
      <x:c r="B10" s="12" t="str">
        <x:v>A-101</x:v>
      </x:c>
      <x:c r="C10" s="12" t="n">
        <x:v>1</x:v>
      </x:c>
      <x:c r="D10" s="12" t="n">
        <x:f>3+MOD(6+C10,4)</x:f>
        <x:v>6</x:v>
      </x:c>
      <x:c r="E10" s="12" t="n">
        <x:f>3+MOD(2*6+C10,4)</x:f>
        <x:v>4</x:v>
      </x:c>
      <x:c r="F10" s="12" t="n">
        <x:f>2+MOD(6+2*C10,3)</x:f>
        <x:v>4</x:v>
      </x:c>
      <x:c r="G10" s="12" t="n">
        <x:f>2+MOD(2*6+C10,3)</x:f>
        <x:v>3</x:v>
      </x:c>
      <x:c r="H10" s="12" t="n">
        <x:f>SUM(D10:G10)</x:f>
        <x:v>17</x:v>
      </x:c>
      <x:c r="I10" s="12" t="str">
        <x:v>ML-ITM-A101-02</x:v>
      </x:c>
      <x:c r="J10" s="12" t="str">
        <x:v>reviewed</x:v>
      </x:c>
    </x:row>
    <x:row r="11">
      <x:c r="A11" s="12" t="str">
        <x:v>ML26-S007</x:v>
      </x:c>
      <x:c r="B11" s="12" t="str">
        <x:v>A-101</x:v>
      </x:c>
      <x:c r="C11" s="12" t="n">
        <x:v>1</x:v>
      </x:c>
      <x:c r="D11" s="12" t="n">
        <x:f>3+MOD(7+C11,4)</x:f>
        <x:v>3</x:v>
      </x:c>
      <x:c r="E11" s="12" t="n">
        <x:f>3+MOD(2*7+C11,4)</x:f>
        <x:v>6</x:v>
      </x:c>
      <x:c r="F11" s="12" t="n">
        <x:f>2+MOD(7+2*C11,3)</x:f>
        <x:v>2</x:v>
      </x:c>
      <x:c r="G11" s="12" t="n">
        <x:f>2+MOD(2*7+C11,3)</x:f>
        <x:v>2</x:v>
      </x:c>
      <x:c r="H11" s="12" t="n">
        <x:f>SUM(D11:G11)</x:f>
        <x:v>13</x:v>
      </x:c>
      <x:c r="I11" s="12" t="str">
        <x:v>ML-ITM-A101-01</x:v>
      </x:c>
      <x:c r="J11" s="12" t="str">
        <x:v>reviewed</x:v>
      </x:c>
    </x:row>
    <x:row r="12">
      <x:c r="A12" s="12" t="str">
        <x:v>ML26-S008</x:v>
      </x:c>
      <x:c r="B12" s="12" t="str">
        <x:v>A-101</x:v>
      </x:c>
      <x:c r="C12" s="12" t="n">
        <x:v>1</x:v>
      </x:c>
      <x:c r="D12" s="12" t="n">
        <x:f>3+MOD(8+C12,4)</x:f>
        <x:v>4</x:v>
      </x:c>
      <x:c r="E12" s="12" t="n">
        <x:f>3+MOD(2*8+C12,4)</x:f>
        <x:v>4</x:v>
      </x:c>
      <x:c r="F12" s="12" t="n">
        <x:f>2+MOD(8+2*C12,3)</x:f>
        <x:v>3</x:v>
      </x:c>
      <x:c r="G12" s="12" t="n">
        <x:f>2+MOD(2*8+C12,3)</x:f>
        <x:v>4</x:v>
      </x:c>
      <x:c r="H12" s="12" t="n">
        <x:f>SUM(D12:G12)</x:f>
        <x:v>15</x:v>
      </x:c>
      <x:c r="I12" s="12" t="str">
        <x:v>ML-ITM-A101-02</x:v>
      </x:c>
      <x:c r="J12" s="12" t="str">
        <x:v>reviewed</x:v>
      </x:c>
    </x:row>
    <x:row r="13">
      <x:c r="A13" s="12" t="str">
        <x:v>ML26-S009</x:v>
      </x:c>
      <x:c r="B13" s="12" t="str">
        <x:v>A-101</x:v>
      </x:c>
      <x:c r="C13" s="12" t="n">
        <x:v>1</x:v>
      </x:c>
      <x:c r="D13" s="12" t="n">
        <x:f>3+MOD(9+C13,4)</x:f>
        <x:v>5</x:v>
      </x:c>
      <x:c r="E13" s="12" t="n">
        <x:f>3+MOD(2*9+C13,4)</x:f>
        <x:v>6</x:v>
      </x:c>
      <x:c r="F13" s="12" t="n">
        <x:f>2+MOD(9+2*C13,3)</x:f>
        <x:v>4</x:v>
      </x:c>
      <x:c r="G13" s="12" t="n">
        <x:f>2+MOD(2*9+C13,3)</x:f>
        <x:v>3</x:v>
      </x:c>
      <x:c r="H13" s="12" t="n">
        <x:f>SUM(D13:G13)</x:f>
        <x:v>18</x:v>
      </x:c>
      <x:c r="I13" s="12" t="str">
        <x:v>ML-ITM-A101-01</x:v>
      </x:c>
      <x:c r="J13" s="12" t="str">
        <x:v>reviewed</x:v>
      </x:c>
    </x:row>
    <x:row r="14">
      <x:c r="A14" s="12" t="str">
        <x:v>ML26-S010</x:v>
      </x:c>
      <x:c r="B14" s="12" t="str">
        <x:v>A-101</x:v>
      </x:c>
      <x:c r="C14" s="12" t="n">
        <x:v>1</x:v>
      </x:c>
      <x:c r="D14" s="12" t="n">
        <x:f>3+MOD(10+C14,4)</x:f>
        <x:v>6</x:v>
      </x:c>
      <x:c r="E14" s="12" t="n">
        <x:f>3+MOD(2*10+C14,4)</x:f>
        <x:v>4</x:v>
      </x:c>
      <x:c r="F14" s="12" t="n">
        <x:f>2+MOD(10+2*C14,3)</x:f>
        <x:v>2</x:v>
      </x:c>
      <x:c r="G14" s="12" t="n">
        <x:f>2+MOD(2*10+C14,3)</x:f>
        <x:v>2</x:v>
      </x:c>
      <x:c r="H14" s="12" t="n">
        <x:f>SUM(D14:G14)</x:f>
        <x:v>14</x:v>
      </x:c>
      <x:c r="I14" s="12" t="str">
        <x:v>ML-ITM-A101-02</x:v>
      </x:c>
      <x:c r="J14" s="12" t="str">
        <x:v>reviewed</x:v>
      </x:c>
    </x:row>
    <x:row r="15">
      <x:c r="A15" s="12" t="str">
        <x:v>ML26-S011</x:v>
      </x:c>
      <x:c r="B15" s="12" t="str">
        <x:v>A-101</x:v>
      </x:c>
      <x:c r="C15" s="12" t="n">
        <x:v>1</x:v>
      </x:c>
      <x:c r="D15" s="12" t="n">
        <x:f>3+MOD(11+C15,4)</x:f>
        <x:v>3</x:v>
      </x:c>
      <x:c r="E15" s="12" t="n">
        <x:f>3+MOD(2*11+C15,4)</x:f>
        <x:v>6</x:v>
      </x:c>
      <x:c r="F15" s="12" t="n">
        <x:f>2+MOD(11+2*C15,3)</x:f>
        <x:v>3</x:v>
      </x:c>
      <x:c r="G15" s="12" t="n">
        <x:f>2+MOD(2*11+C15,3)</x:f>
        <x:v>4</x:v>
      </x:c>
      <x:c r="H15" s="12" t="n">
        <x:f>SUM(D15:G15)</x:f>
        <x:v>16</x:v>
      </x:c>
      <x:c r="I15" s="12" t="str">
        <x:v>ML-ITM-A101-01</x:v>
      </x:c>
      <x:c r="J15" s="12" t="str">
        <x:v>reviewed</x:v>
      </x:c>
    </x:row>
    <x:row r="16">
      <x:c r="A16" s="12" t="str">
        <x:v>ML26-S012</x:v>
      </x:c>
      <x:c r="B16" s="12" t="str">
        <x:v>A-101</x:v>
      </x:c>
      <x:c r="C16" s="12" t="n">
        <x:v>1</x:v>
      </x:c>
      <x:c r="D16" s="12" t="n">
        <x:f>3+MOD(12+C16,4)</x:f>
        <x:v>4</x:v>
      </x:c>
      <x:c r="E16" s="12" t="n">
        <x:f>3+MOD(2*12+C16,4)</x:f>
        <x:v>4</x:v>
      </x:c>
      <x:c r="F16" s="12" t="n">
        <x:f>2+MOD(12+2*C16,3)</x:f>
        <x:v>4</x:v>
      </x:c>
      <x:c r="G16" s="12" t="n">
        <x:f>2+MOD(2*12+C16,3)</x:f>
        <x:v>3</x:v>
      </x:c>
      <x:c r="H16" s="12" t="n">
        <x:f>SUM(D16:G16)</x:f>
        <x:v>15</x:v>
      </x:c>
      <x:c r="I16" s="12" t="str">
        <x:v>ML-ITM-A101-02</x:v>
      </x:c>
      <x:c r="J16" s="12" t="str">
        <x:v>reviewed</x:v>
      </x:c>
    </x:row>
    <x:row r="17">
      <x:c r="A17" s="12" t="str">
        <x:v>ML26-S013</x:v>
      </x:c>
      <x:c r="B17" s="12" t="str">
        <x:v>A-101</x:v>
      </x:c>
      <x:c r="C17" s="12" t="n">
        <x:v>1</x:v>
      </x:c>
      <x:c r="D17" s="12" t="n">
        <x:f>3+MOD(13+C17,4)</x:f>
        <x:v>5</x:v>
      </x:c>
      <x:c r="E17" s="12" t="n">
        <x:f>3+MOD(2*13+C17,4)</x:f>
        <x:v>6</x:v>
      </x:c>
      <x:c r="F17" s="12" t="n">
        <x:f>2+MOD(13+2*C17,3)</x:f>
        <x:v>2</x:v>
      </x:c>
      <x:c r="G17" s="12" t="n">
        <x:f>2+MOD(2*13+C17,3)</x:f>
        <x:v>2</x:v>
      </x:c>
      <x:c r="H17" s="12" t="n">
        <x:f>SUM(D17:G17)</x:f>
        <x:v>15</x:v>
      </x:c>
      <x:c r="I17" s="12" t="str">
        <x:v>ML-ITM-A101-01</x:v>
      </x:c>
      <x:c r="J17" s="12" t="str">
        <x:v>reviewed</x:v>
      </x:c>
    </x:row>
    <x:row r="18">
      <x:c r="A18" s="12" t="str">
        <x:v>ML26-S014</x:v>
      </x:c>
      <x:c r="B18" s="12" t="str">
        <x:v>A-101</x:v>
      </x:c>
      <x:c r="C18" s="12" t="n">
        <x:v>1</x:v>
      </x:c>
      <x:c r="D18" s="12" t="n">
        <x:f>3+MOD(14+C18,4)</x:f>
        <x:v>6</x:v>
      </x:c>
      <x:c r="E18" s="12" t="n">
        <x:f>3+MOD(2*14+C18,4)</x:f>
        <x:v>4</x:v>
      </x:c>
      <x:c r="F18" s="12" t="n">
        <x:f>2+MOD(14+2*C18,3)</x:f>
        <x:v>3</x:v>
      </x:c>
      <x:c r="G18" s="12" t="n">
        <x:f>2+MOD(2*14+C18,3)</x:f>
        <x:v>4</x:v>
      </x:c>
      <x:c r="H18" s="12" t="n">
        <x:f>SUM(D18:G18)</x:f>
        <x:v>17</x:v>
      </x:c>
      <x:c r="I18" s="12" t="str">
        <x:v>ML-ITM-A101-02</x:v>
      </x:c>
      <x:c r="J18" s="12" t="str">
        <x:v>reviewed</x:v>
      </x:c>
    </x:row>
    <x:row r="19">
      <x:c r="A19" s="12" t="str">
        <x:v>ML26-S015</x:v>
      </x:c>
      <x:c r="B19" s="12" t="str">
        <x:v>A-101</x:v>
      </x:c>
      <x:c r="C19" s="12" t="n">
        <x:v>1</x:v>
      </x:c>
      <x:c r="D19" s="12" t="n">
        <x:f>3+MOD(15+C19,4)</x:f>
        <x:v>3</x:v>
      </x:c>
      <x:c r="E19" s="12" t="n">
        <x:f>3+MOD(2*15+C19,4)</x:f>
        <x:v>6</x:v>
      </x:c>
      <x:c r="F19" s="12" t="n">
        <x:f>2+MOD(15+2*C19,3)</x:f>
        <x:v>4</x:v>
      </x:c>
      <x:c r="G19" s="12" t="n">
        <x:f>2+MOD(2*15+C19,3)</x:f>
        <x:v>3</x:v>
      </x:c>
      <x:c r="H19" s="12" t="n">
        <x:f>SUM(D19:G19)</x:f>
        <x:v>16</x:v>
      </x:c>
      <x:c r="I19" s="12" t="str">
        <x:v>ML-ITM-A101-01</x:v>
      </x:c>
      <x:c r="J19" s="12" t="str">
        <x:v>reviewed</x:v>
      </x:c>
    </x:row>
    <x:row r="20">
      <x:c r="A20" s="12" t="str">
        <x:v>ML26-S016</x:v>
      </x:c>
      <x:c r="B20" s="12" t="str">
        <x:v>A-101</x:v>
      </x:c>
      <x:c r="C20" s="12" t="n">
        <x:v>1</x:v>
      </x:c>
      <x:c r="D20" s="12" t="n">
        <x:f>3+MOD(16+C20,4)</x:f>
        <x:v>4</x:v>
      </x:c>
      <x:c r="E20" s="12" t="n">
        <x:f>3+MOD(2*16+C20,4)</x:f>
        <x:v>4</x:v>
      </x:c>
      <x:c r="F20" s="12" t="n">
        <x:f>2+MOD(16+2*C20,3)</x:f>
        <x:v>2</x:v>
      </x:c>
      <x:c r="G20" s="12" t="n">
        <x:f>2+MOD(2*16+C20,3)</x:f>
        <x:v>2</x:v>
      </x:c>
      <x:c r="H20" s="12" t="n">
        <x:f>SUM(D20:G20)</x:f>
        <x:v>12</x:v>
      </x:c>
      <x:c r="I20" s="12" t="str">
        <x:v>ML-ITM-A101-02</x:v>
      </x:c>
      <x:c r="J20" s="12" t="str">
        <x:v>reviewed</x:v>
      </x:c>
    </x:row>
    <x:row r="21">
      <x:c r="A21" s="12" t="str">
        <x:v>ML26-S017</x:v>
      </x:c>
      <x:c r="B21" s="12" t="str">
        <x:v>A-101</x:v>
      </x:c>
      <x:c r="C21" s="12" t="n">
        <x:v>1</x:v>
      </x:c>
      <x:c r="D21" s="12" t="n">
        <x:f>3+MOD(17+C21,4)</x:f>
        <x:v>5</x:v>
      </x:c>
      <x:c r="E21" s="12" t="n">
        <x:f>3+MOD(2*17+C21,4)</x:f>
        <x:v>6</x:v>
      </x:c>
      <x:c r="F21" s="12" t="n">
        <x:f>2+MOD(17+2*C21,3)</x:f>
        <x:v>3</x:v>
      </x:c>
      <x:c r="G21" s="12" t="n">
        <x:f>2+MOD(2*17+C21,3)</x:f>
        <x:v>4</x:v>
      </x:c>
      <x:c r="H21" s="12" t="n">
        <x:f>SUM(D21:G21)</x:f>
        <x:v>18</x:v>
      </x:c>
      <x:c r="I21" s="12" t="str">
        <x:v>ML-ITM-A101-01</x:v>
      </x:c>
      <x:c r="J21" s="12" t="str">
        <x:v>reviewed</x:v>
      </x:c>
    </x:row>
    <x:row r="22">
      <x:c r="A22" s="12" t="str">
        <x:v>ML26-S018</x:v>
      </x:c>
      <x:c r="B22" s="12" t="str">
        <x:v>A-101</x:v>
      </x:c>
      <x:c r="C22" s="12" t="n">
        <x:v>1</x:v>
      </x:c>
      <x:c r="D22" s="12" t="n">
        <x:f>3+MOD(18+C22,4)</x:f>
        <x:v>6</x:v>
      </x:c>
      <x:c r="E22" s="12" t="n">
        <x:f>3+MOD(2*18+C22,4)</x:f>
        <x:v>4</x:v>
      </x:c>
      <x:c r="F22" s="12" t="n">
        <x:f>2+MOD(18+2*C22,3)</x:f>
        <x:v>4</x:v>
      </x:c>
      <x:c r="G22" s="12" t="n">
        <x:f>2+MOD(2*18+C22,3)</x:f>
        <x:v>3</x:v>
      </x:c>
      <x:c r="H22" s="12" t="n">
        <x:f>SUM(D22:G22)</x:f>
        <x:v>17</x:v>
      </x:c>
      <x:c r="I22" s="12" t="str">
        <x:v>ML-ITM-A101-02</x:v>
      </x:c>
      <x:c r="J22" s="12" t="str">
        <x:v>reviewed</x:v>
      </x:c>
    </x:row>
    <x:row r="23">
      <x:c r="A23" s="12" t="str">
        <x:v>ML26-S019</x:v>
      </x:c>
      <x:c r="B23" s="12" t="str">
        <x:v>A-101</x:v>
      </x:c>
      <x:c r="C23" s="12" t="n">
        <x:v>1</x:v>
      </x:c>
      <x:c r="D23" s="12" t="n">
        <x:f>3+MOD(19+C23,4)</x:f>
        <x:v>3</x:v>
      </x:c>
      <x:c r="E23" s="12" t="n">
        <x:f>3+MOD(2*19+C23,4)</x:f>
        <x:v>6</x:v>
      </x:c>
      <x:c r="F23" s="12" t="n">
        <x:f>2+MOD(19+2*C23,3)</x:f>
        <x:v>2</x:v>
      </x:c>
      <x:c r="G23" s="12" t="n">
        <x:f>2+MOD(2*19+C23,3)</x:f>
        <x:v>2</x:v>
      </x:c>
      <x:c r="H23" s="12" t="n">
        <x:f>SUM(D23:G23)</x:f>
        <x:v>13</x:v>
      </x:c>
      <x:c r="I23" s="12" t="str">
        <x:v>ML-ITM-A101-01</x:v>
      </x:c>
      <x:c r="J23" s="12" t="str">
        <x:v>reviewed</x:v>
      </x:c>
    </x:row>
    <x:row r="24">
      <x:c r="A24" s="12" t="str">
        <x:v>ML26-S020</x:v>
      </x:c>
      <x:c r="B24" s="12" t="str">
        <x:v>A-101</x:v>
      </x:c>
      <x:c r="C24" s="12" t="n">
        <x:v>1</x:v>
      </x:c>
      <x:c r="D24" s="12" t="n">
        <x:f>3+MOD(20+C24,4)</x:f>
        <x:v>4</x:v>
      </x:c>
      <x:c r="E24" s="12" t="n">
        <x:f>3+MOD(2*20+C24,4)</x:f>
        <x:v>4</x:v>
      </x:c>
      <x:c r="F24" s="12" t="n">
        <x:f>2+MOD(20+2*C24,3)</x:f>
        <x:v>3</x:v>
      </x:c>
      <x:c r="G24" s="12" t="n">
        <x:f>2+MOD(2*20+C24,3)</x:f>
        <x:v>4</x:v>
      </x:c>
      <x:c r="H24" s="12" t="n">
        <x:f>SUM(D24:G24)</x:f>
        <x:v>15</x:v>
      </x:c>
      <x:c r="I24" s="12" t="str">
        <x:v>ML-ITM-A101-02</x:v>
      </x:c>
      <x:c r="J24" s="12" t="str">
        <x:v>reviewed</x:v>
      </x:c>
    </x:row>
    <x:row r="25">
      <x:c r="A25" s="12" t="str">
        <x:v>ML26-S021</x:v>
      </x:c>
      <x:c r="B25" s="12" t="str">
        <x:v>A-101</x:v>
      </x:c>
      <x:c r="C25" s="12" t="n">
        <x:v>1</x:v>
      </x:c>
      <x:c r="D25" s="12" t="n">
        <x:f>3+MOD(21+C25,4)</x:f>
        <x:v>5</x:v>
      </x:c>
      <x:c r="E25" s="12" t="n">
        <x:f>3+MOD(2*21+C25,4)</x:f>
        <x:v>6</x:v>
      </x:c>
      <x:c r="F25" s="12" t="n">
        <x:f>2+MOD(21+2*C25,3)</x:f>
        <x:v>4</x:v>
      </x:c>
      <x:c r="G25" s="12" t="n">
        <x:f>2+MOD(2*21+C25,3)</x:f>
        <x:v>3</x:v>
      </x:c>
      <x:c r="H25" s="12" t="n">
        <x:f>SUM(D25:G25)</x:f>
        <x:v>18</x:v>
      </x:c>
      <x:c r="I25" s="12" t="str">
        <x:v>ML-ITM-A101-01</x:v>
      </x:c>
      <x:c r="J25" s="12" t="str">
        <x:v>reviewed</x:v>
      </x:c>
    </x:row>
    <x:row r="26">
      <x:c r="A26" s="12" t="str">
        <x:v>ML26-S022</x:v>
      </x:c>
      <x:c r="B26" s="12" t="str">
        <x:v>A-101</x:v>
      </x:c>
      <x:c r="C26" s="12" t="n">
        <x:v>1</x:v>
      </x:c>
      <x:c r="D26" s="12" t="n">
        <x:f>3+MOD(22+C26,4)</x:f>
        <x:v>6</x:v>
      </x:c>
      <x:c r="E26" s="12" t="n">
        <x:f>3+MOD(2*22+C26,4)</x:f>
        <x:v>4</x:v>
      </x:c>
      <x:c r="F26" s="12" t="n">
        <x:f>2+MOD(22+2*C26,3)</x:f>
        <x:v>2</x:v>
      </x:c>
      <x:c r="G26" s="12" t="n">
        <x:f>2+MOD(2*22+C26,3)</x:f>
        <x:v>2</x:v>
      </x:c>
      <x:c r="H26" s="12" t="n">
        <x:f>SUM(D26:G26)</x:f>
        <x:v>14</x:v>
      </x:c>
      <x:c r="I26" s="12" t="str">
        <x:v>ML-ITM-A101-02</x:v>
      </x:c>
      <x:c r="J26" s="12" t="str">
        <x:v>reviewed</x:v>
      </x:c>
    </x:row>
    <x:row r="27">
      <x:c r="A27" s="12" t="str">
        <x:v>ML26-S023</x:v>
      </x:c>
      <x:c r="B27" s="12" t="str">
        <x:v>A-101</x:v>
      </x:c>
      <x:c r="C27" s="12" t="n">
        <x:v>1</x:v>
      </x:c>
      <x:c r="D27" s="12" t="n">
        <x:f>3+MOD(23+C27,4)</x:f>
        <x:v>3</x:v>
      </x:c>
      <x:c r="E27" s="12" t="n">
        <x:f>3+MOD(2*23+C27,4)</x:f>
        <x:v>6</x:v>
      </x:c>
      <x:c r="F27" s="12" t="n">
        <x:f>2+MOD(23+2*C27,3)</x:f>
        <x:v>3</x:v>
      </x:c>
      <x:c r="G27" s="12" t="n">
        <x:f>2+MOD(2*23+C27,3)</x:f>
        <x:v>4</x:v>
      </x:c>
      <x:c r="H27" s="12" t="n">
        <x:f>SUM(D27:G27)</x:f>
        <x:v>16</x:v>
      </x:c>
      <x:c r="I27" s="12" t="str">
        <x:v>ML-ITM-A101-01</x:v>
      </x:c>
      <x:c r="J27" s="12" t="str">
        <x:v>reviewed</x:v>
      </x:c>
    </x:row>
    <x:row r="28">
      <x:c r="A28" s="12" t="str">
        <x:v>ML26-S024</x:v>
      </x:c>
      <x:c r="B28" s="12" t="str">
        <x:v>A-101</x:v>
      </x:c>
      <x:c r="C28" s="12" t="n">
        <x:v>1</x:v>
      </x:c>
      <x:c r="D28" s="12" t="n">
        <x:f>3+MOD(24+C28,4)</x:f>
        <x:v>4</x:v>
      </x:c>
      <x:c r="E28" s="12" t="n">
        <x:f>3+MOD(2*24+C28,4)</x:f>
        <x:v>4</x:v>
      </x:c>
      <x:c r="F28" s="12" t="n">
        <x:f>2+MOD(24+2*C28,3)</x:f>
        <x:v>4</x:v>
      </x:c>
      <x:c r="G28" s="12" t="n">
        <x:f>2+MOD(2*24+C28,3)</x:f>
        <x:v>3</x:v>
      </x:c>
      <x:c r="H28" s="12" t="n">
        <x:f>SUM(D28:G28)</x:f>
        <x:v>15</x:v>
      </x:c>
      <x:c r="I28" s="12" t="str">
        <x:v>ML-ITM-A101-02</x:v>
      </x:c>
      <x:c r="J28" s="12" t="str">
        <x:v>reviewed</x:v>
      </x:c>
    </x:row>
    <x:row r="29">
      <x:c r="A29" s="12" t="str">
        <x:v>ML26-S025</x:v>
      </x:c>
      <x:c r="B29" s="12" t="str">
        <x:v>A-101</x:v>
      </x:c>
      <x:c r="C29" s="12" t="n">
        <x:v>1</x:v>
      </x:c>
      <x:c r="D29" s="12" t="n">
        <x:f>3+MOD(25+C29,4)</x:f>
        <x:v>5</x:v>
      </x:c>
      <x:c r="E29" s="12" t="n">
        <x:f>3+MOD(2*25+C29,4)</x:f>
        <x:v>6</x:v>
      </x:c>
      <x:c r="F29" s="12" t="n">
        <x:f>2+MOD(25+2*C29,3)</x:f>
        <x:v>2</x:v>
      </x:c>
      <x:c r="G29" s="12" t="n">
        <x:f>2+MOD(2*25+C29,3)</x:f>
        <x:v>2</x:v>
      </x:c>
      <x:c r="H29" s="12" t="n">
        <x:f>SUM(D29:G29)</x:f>
        <x:v>15</x:v>
      </x:c>
      <x:c r="I29" s="12" t="str">
        <x:v>ML-ITM-A101-01</x:v>
      </x:c>
      <x:c r="J29" s="12" t="str">
        <x:v>reviewed</x:v>
      </x:c>
    </x:row>
    <x:row r="30">
      <x:c r="A30" s="12" t="str">
        <x:v>ML26-S026</x:v>
      </x:c>
      <x:c r="B30" s="12" t="str">
        <x:v>A-101</x:v>
      </x:c>
      <x:c r="C30" s="12" t="n">
        <x:v>1</x:v>
      </x:c>
      <x:c r="D30" s="12" t="n">
        <x:f>3+MOD(26+C30,4)</x:f>
        <x:v>6</x:v>
      </x:c>
      <x:c r="E30" s="12" t="n">
        <x:f>3+MOD(2*26+C30,4)</x:f>
        <x:v>4</x:v>
      </x:c>
      <x:c r="F30" s="12" t="n">
        <x:f>2+MOD(26+2*C30,3)</x:f>
        <x:v>3</x:v>
      </x:c>
      <x:c r="G30" s="12" t="n">
        <x:f>2+MOD(2*26+C30,3)</x:f>
        <x:v>4</x:v>
      </x:c>
      <x:c r="H30" s="12" t="n">
        <x:f>SUM(D30:G30)</x:f>
        <x:v>17</x:v>
      </x:c>
      <x:c r="I30" s="12" t="str">
        <x:v>ML-ITM-A101-02</x:v>
      </x:c>
      <x:c r="J30" s="12" t="str">
        <x:v>reviewed</x:v>
      </x:c>
    </x:row>
    <x:row r="31">
      <x:c r="A31" s="12" t="str">
        <x:v>ML26-S027</x:v>
      </x:c>
      <x:c r="B31" s="12" t="str">
        <x:v>A-101</x:v>
      </x:c>
      <x:c r="C31" s="12" t="n">
        <x:v>1</x:v>
      </x:c>
      <x:c r="D31" s="12" t="n">
        <x:f>3+MOD(27+C31,4)</x:f>
        <x:v>3</x:v>
      </x:c>
      <x:c r="E31" s="12" t="n">
        <x:f>3+MOD(2*27+C31,4)</x:f>
        <x:v>6</x:v>
      </x:c>
      <x:c r="F31" s="12" t="n">
        <x:f>2+MOD(27+2*C31,3)</x:f>
        <x:v>4</x:v>
      </x:c>
      <x:c r="G31" s="12" t="n">
        <x:f>2+MOD(2*27+C31,3)</x:f>
        <x:v>3</x:v>
      </x:c>
      <x:c r="H31" s="12" t="n">
        <x:f>SUM(D31:G31)</x:f>
        <x:v>16</x:v>
      </x:c>
      <x:c r="I31" s="12" t="str">
        <x:v>ML-ITM-A101-01</x:v>
      </x:c>
      <x:c r="J31" s="12" t="str">
        <x:v>reviewed</x:v>
      </x:c>
    </x:row>
    <x:row r="32">
      <x:c r="A32" s="12" t="str">
        <x:v>ML26-S028</x:v>
      </x:c>
      <x:c r="B32" s="12" t="str">
        <x:v>A-101</x:v>
      </x:c>
      <x:c r="C32" s="12" t="n">
        <x:v>1</x:v>
      </x:c>
      <x:c r="D32" s="12" t="n">
        <x:f>3+MOD(28+C32,4)</x:f>
        <x:v>4</x:v>
      </x:c>
      <x:c r="E32" s="12" t="n">
        <x:f>3+MOD(2*28+C32,4)</x:f>
        <x:v>4</x:v>
      </x:c>
      <x:c r="F32" s="12" t="n">
        <x:f>2+MOD(28+2*C32,3)</x:f>
        <x:v>2</x:v>
      </x:c>
      <x:c r="G32" s="12" t="n">
        <x:f>2+MOD(2*28+C32,3)</x:f>
        <x:v>2</x:v>
      </x:c>
      <x:c r="H32" s="12" t="n">
        <x:f>SUM(D32:G32)</x:f>
        <x:v>12</x:v>
      </x:c>
      <x:c r="I32" s="12" t="str">
        <x:v>ML-ITM-A101-02</x:v>
      </x:c>
      <x:c r="J32" s="12" t="str">
        <x:v>reviewed</x:v>
      </x:c>
    </x:row>
    <x:row r="33">
      <x:c r="A33" s="12" t="str">
        <x:v>ML26-S029</x:v>
      </x:c>
      <x:c r="B33" s="12" t="str">
        <x:v>A-101</x:v>
      </x:c>
      <x:c r="C33" s="12" t="n">
        <x:v>1</x:v>
      </x:c>
      <x:c r="D33" s="12" t="n">
        <x:f>3+MOD(29+C33,4)</x:f>
        <x:v>5</x:v>
      </x:c>
      <x:c r="E33" s="12" t="n">
        <x:f>3+MOD(2*29+C33,4)</x:f>
        <x:v>6</x:v>
      </x:c>
      <x:c r="F33" s="12" t="n">
        <x:f>2+MOD(29+2*C33,3)</x:f>
        <x:v>3</x:v>
      </x:c>
      <x:c r="G33" s="12" t="n">
        <x:f>2+MOD(2*29+C33,3)</x:f>
        <x:v>4</x:v>
      </x:c>
      <x:c r="H33" s="12" t="n">
        <x:f>SUM(D33:G33)</x:f>
        <x:v>18</x:v>
      </x:c>
      <x:c r="I33" s="12" t="str">
        <x:v>ML-ITM-A101-01</x:v>
      </x:c>
      <x:c r="J33" s="12" t="str">
        <x:v>reviewed</x:v>
      </x:c>
    </x:row>
    <x:row r="34">
      <x:c r="A34" s="12" t="str">
        <x:v>ML26-S030</x:v>
      </x:c>
      <x:c r="B34" s="12" t="str">
        <x:v>A-101</x:v>
      </x:c>
      <x:c r="C34" s="12" t="n">
        <x:v>1</x:v>
      </x:c>
      <x:c r="D34" s="12" t="n">
        <x:f>3+MOD(30+C34,4)</x:f>
        <x:v>6</x:v>
      </x:c>
      <x:c r="E34" s="12" t="n">
        <x:f>3+MOD(2*30+C34,4)</x:f>
        <x:v>4</x:v>
      </x:c>
      <x:c r="F34" s="12" t="n">
        <x:f>2+MOD(30+2*C34,3)</x:f>
        <x:v>4</x:v>
      </x:c>
      <x:c r="G34" s="12" t="n">
        <x:f>2+MOD(2*30+C34,3)</x:f>
        <x:v>3</x:v>
      </x:c>
      <x:c r="H34" s="12" t="n">
        <x:f>SUM(D34:G34)</x:f>
        <x:v>17</x:v>
      </x:c>
      <x:c r="I34" s="12" t="str">
        <x:v>ML-ITM-A101-02</x:v>
      </x:c>
      <x:c r="J34" s="12" t="str">
        <x:v>reviewed</x:v>
      </x:c>
    </x:row>
    <x:row r="35">
      <x:c r="A35" s="12" t="str">
        <x:v>ML26-S031</x:v>
      </x:c>
      <x:c r="B35" s="12" t="str">
        <x:v>A-101</x:v>
      </x:c>
      <x:c r="C35" s="12" t="n">
        <x:v>1</x:v>
      </x:c>
      <x:c r="D35" s="12" t="n">
        <x:f>3+MOD(31+C35,4)</x:f>
        <x:v>3</x:v>
      </x:c>
      <x:c r="E35" s="12" t="n">
        <x:f>3+MOD(2*31+C35,4)</x:f>
        <x:v>6</x:v>
      </x:c>
      <x:c r="F35" s="12" t="n">
        <x:f>2+MOD(31+2*C35,3)</x:f>
        <x:v>2</x:v>
      </x:c>
      <x:c r="G35" s="12" t="n">
        <x:f>2+MOD(2*31+C35,3)</x:f>
        <x:v>2</x:v>
      </x:c>
      <x:c r="H35" s="12" t="n">
        <x:f>SUM(D35:G35)</x:f>
        <x:v>13</x:v>
      </x:c>
      <x:c r="I35" s="12" t="str">
        <x:v>ML-ITM-A101-01</x:v>
      </x:c>
      <x:c r="J35" s="12" t="str">
        <x:v>reviewed</x:v>
      </x:c>
    </x:row>
    <x:row r="36">
      <x:c r="A36" s="12" t="str">
        <x:v>ML26-S032</x:v>
      </x:c>
      <x:c r="B36" s="12" t="str">
        <x:v>A-101</x:v>
      </x:c>
      <x:c r="C36" s="12" t="n">
        <x:v>1</x:v>
      </x:c>
      <x:c r="D36" s="12" t="n">
        <x:f>3+MOD(32+C36,4)</x:f>
        <x:v>4</x:v>
      </x:c>
      <x:c r="E36" s="12" t="n">
        <x:f>3+MOD(2*32+C36,4)</x:f>
        <x:v>4</x:v>
      </x:c>
      <x:c r="F36" s="12" t="n">
        <x:f>2+MOD(32+2*C36,3)</x:f>
        <x:v>3</x:v>
      </x:c>
      <x:c r="G36" s="12" t="n">
        <x:f>2+MOD(2*32+C36,3)</x:f>
        <x:v>4</x:v>
      </x:c>
      <x:c r="H36" s="12" t="n">
        <x:f>SUM(D36:G36)</x:f>
        <x:v>15</x:v>
      </x:c>
      <x:c r="I36" s="12" t="str">
        <x:v>ML-ITM-A101-02</x:v>
      </x:c>
      <x:c r="J36" s="12" t="str">
        <x:v>reviewed</x:v>
      </x:c>
    </x:row>
    <x:row r="37">
      <x:c r="A37" s="12" t="str">
        <x:v>ML26-S033</x:v>
      </x:c>
      <x:c r="B37" s="12" t="str">
        <x:v>A-101</x:v>
      </x:c>
      <x:c r="C37" s="12" t="n">
        <x:v>1</x:v>
      </x:c>
      <x:c r="D37" s="12" t="n">
        <x:f>3+MOD(33+C37,4)</x:f>
        <x:v>5</x:v>
      </x:c>
      <x:c r="E37" s="12" t="n">
        <x:f>3+MOD(2*33+C37,4)</x:f>
        <x:v>6</x:v>
      </x:c>
      <x:c r="F37" s="12" t="n">
        <x:f>2+MOD(33+2*C37,3)</x:f>
        <x:v>4</x:v>
      </x:c>
      <x:c r="G37" s="12" t="n">
        <x:f>2+MOD(2*33+C37,3)</x:f>
        <x:v>3</x:v>
      </x:c>
      <x:c r="H37" s="12" t="n">
        <x:f>SUM(D37:G37)</x:f>
        <x:v>18</x:v>
      </x:c>
      <x:c r="I37" s="12" t="str">
        <x:v>ML-ITM-A101-01</x:v>
      </x:c>
      <x:c r="J37" s="12" t="str">
        <x:v>reviewed</x:v>
      </x:c>
    </x:row>
    <x:row r="38">
      <x:c r="A38" s="12" t="str">
        <x:v>ML26-S034</x:v>
      </x:c>
      <x:c r="B38" s="12" t="str">
        <x:v>A-101</x:v>
      </x:c>
      <x:c r="C38" s="12" t="n">
        <x:v>1</x:v>
      </x:c>
      <x:c r="D38" s="12" t="n">
        <x:f>3+MOD(34+C38,4)</x:f>
        <x:v>6</x:v>
      </x:c>
      <x:c r="E38" s="12" t="n">
        <x:f>3+MOD(2*34+C38,4)</x:f>
        <x:v>4</x:v>
      </x:c>
      <x:c r="F38" s="12" t="n">
        <x:f>2+MOD(34+2*C38,3)</x:f>
        <x:v>2</x:v>
      </x:c>
      <x:c r="G38" s="12" t="n">
        <x:f>2+MOD(2*34+C38,3)</x:f>
        <x:v>2</x:v>
      </x:c>
      <x:c r="H38" s="12" t="n">
        <x:f>SUM(D38:G38)</x:f>
        <x:v>14</x:v>
      </x:c>
      <x:c r="I38" s="12" t="str">
        <x:v>ML-ITM-A101-02</x:v>
      </x:c>
      <x:c r="J38" s="12" t="str">
        <x:v>reviewed</x:v>
      </x:c>
    </x:row>
    <x:row r="39">
      <x:c r="A39" s="12" t="str">
        <x:v>ML26-S035</x:v>
      </x:c>
      <x:c r="B39" s="12" t="str">
        <x:v>A-101</x:v>
      </x:c>
      <x:c r="C39" s="12" t="n">
        <x:v>1</x:v>
      </x:c>
      <x:c r="D39" s="12" t="n">
        <x:f>3+MOD(35+C39,4)</x:f>
        <x:v>3</x:v>
      </x:c>
      <x:c r="E39" s="12" t="n">
        <x:f>3+MOD(2*35+C39,4)</x:f>
        <x:v>6</x:v>
      </x:c>
      <x:c r="F39" s="12" t="n">
        <x:f>2+MOD(35+2*C39,3)</x:f>
        <x:v>3</x:v>
      </x:c>
      <x:c r="G39" s="12" t="n">
        <x:f>2+MOD(2*35+C39,3)</x:f>
        <x:v>4</x:v>
      </x:c>
      <x:c r="H39" s="12" t="n">
        <x:f>SUM(D39:G39)</x:f>
        <x:v>16</x:v>
      </x:c>
      <x:c r="I39" s="12" t="str">
        <x:v>ML-ITM-A101-01</x:v>
      </x:c>
      <x:c r="J39" s="12" t="str">
        <x:v>reviewed</x:v>
      </x:c>
    </x:row>
    <x:row r="40">
      <x:c r="A40" s="12" t="str">
        <x:v>ML26-S036</x:v>
      </x:c>
      <x:c r="B40" s="12" t="str">
        <x:v>A-101</x:v>
      </x:c>
      <x:c r="C40" s="12" t="n">
        <x:v>1</x:v>
      </x:c>
      <x:c r="D40" s="12" t="n">
        <x:f>3+MOD(36+C40,4)</x:f>
        <x:v>4</x:v>
      </x:c>
      <x:c r="E40" s="12" t="n">
        <x:f>3+MOD(2*36+C40,4)</x:f>
        <x:v>4</x:v>
      </x:c>
      <x:c r="F40" s="12" t="n">
        <x:f>2+MOD(36+2*C40,3)</x:f>
        <x:v>4</x:v>
      </x:c>
      <x:c r="G40" s="12" t="n">
        <x:f>2+MOD(2*36+C40,3)</x:f>
        <x:v>3</x:v>
      </x:c>
      <x:c r="H40" s="12" t="n">
        <x:f>SUM(D40:G40)</x:f>
        <x:v>15</x:v>
      </x:c>
      <x:c r="I40" s="12" t="str">
        <x:v>ML-ITM-A101-02</x:v>
      </x:c>
      <x:c r="J40" s="12" t="str">
        <x:v>reviewed</x:v>
      </x:c>
    </x:row>
    <x:row r="41">
      <x:c r="A41" s="12" t="str">
        <x:v>ML26-S001</x:v>
      </x:c>
      <x:c r="B41" s="12" t="str">
        <x:v>A-102</x:v>
      </x:c>
      <x:c r="C41" s="12" t="n">
        <x:v>2</x:v>
      </x:c>
      <x:c r="D41" s="12" t="n">
        <x:f>3+MOD(1+C41,4)</x:f>
        <x:v>6</x:v>
      </x:c>
      <x:c r="E41" s="12" t="n">
        <x:f>3+MOD(2*1+C41,4)</x:f>
        <x:v>3</x:v>
      </x:c>
      <x:c r="F41" s="12" t="n">
        <x:f>2+MOD(1+2*C41,3)</x:f>
        <x:v>4</x:v>
      </x:c>
      <x:c r="G41" s="12" t="n">
        <x:f>2+MOD(2*1+C41,3)</x:f>
        <x:v>3</x:v>
      </x:c>
      <x:c r="H41" s="12" t="n">
        <x:f>SUM(D41:G41)</x:f>
        <x:v>16</x:v>
      </x:c>
      <x:c r="I41" s="12" t="str">
        <x:v>ML-ITM-A102-01</x:v>
      </x:c>
      <x:c r="J41" s="12" t="str">
        <x:v>reviewed</x:v>
      </x:c>
    </x:row>
    <x:row r="42">
      <x:c r="A42" s="12" t="str">
        <x:v>ML26-S002</x:v>
      </x:c>
      <x:c r="B42" s="12" t="str">
        <x:v>A-102</x:v>
      </x:c>
      <x:c r="C42" s="12" t="n">
        <x:v>2</x:v>
      </x:c>
      <x:c r="D42" s="12" t="n">
        <x:f>3+MOD(2+C42,4)</x:f>
        <x:v>3</x:v>
      </x:c>
      <x:c r="E42" s="12" t="n">
        <x:f>3+MOD(2*2+C42,4)</x:f>
        <x:v>5</x:v>
      </x:c>
      <x:c r="F42" s="12" t="n">
        <x:f>2+MOD(2+2*C42,3)</x:f>
        <x:v>2</x:v>
      </x:c>
      <x:c r="G42" s="12" t="n">
        <x:f>2+MOD(2*2+C42,3)</x:f>
        <x:v>2</x:v>
      </x:c>
      <x:c r="H42" s="12" t="n">
        <x:f>SUM(D42:G42)</x:f>
        <x:v>12</x:v>
      </x:c>
      <x:c r="I42" s="12" t="str">
        <x:v>ML-ITM-A102-02</x:v>
      </x:c>
      <x:c r="J42" s="12" t="str">
        <x:v>reviewed</x:v>
      </x:c>
    </x:row>
    <x:row r="43">
      <x:c r="A43" s="12" t="str">
        <x:v>ML26-S003</x:v>
      </x:c>
      <x:c r="B43" s="12" t="str">
        <x:v>A-102</x:v>
      </x:c>
      <x:c r="C43" s="12" t="n">
        <x:v>2</x:v>
      </x:c>
      <x:c r="D43" s="12" t="n">
        <x:f>3+MOD(3+C43,4)</x:f>
        <x:v>4</x:v>
      </x:c>
      <x:c r="E43" s="12" t="n">
        <x:f>3+MOD(2*3+C43,4)</x:f>
        <x:v>3</x:v>
      </x:c>
      <x:c r="F43" s="12" t="n">
        <x:f>2+MOD(3+2*C43,3)</x:f>
        <x:v>3</x:v>
      </x:c>
      <x:c r="G43" s="12" t="n">
        <x:f>2+MOD(2*3+C43,3)</x:f>
        <x:v>4</x:v>
      </x:c>
      <x:c r="H43" s="12" t="n">
        <x:f>SUM(D43:G43)</x:f>
        <x:v>14</x:v>
      </x:c>
      <x:c r="I43" s="12" t="str">
        <x:v>ML-ITM-A102-01</x:v>
      </x:c>
      <x:c r="J43" s="12" t="str">
        <x:v>reviewed</x:v>
      </x:c>
    </x:row>
    <x:row r="44">
      <x:c r="A44" s="12" t="str">
        <x:v>ML26-S004</x:v>
      </x:c>
      <x:c r="B44" s="12" t="str">
        <x:v>A-102</x:v>
      </x:c>
      <x:c r="C44" s="12" t="n">
        <x:v>2</x:v>
      </x:c>
      <x:c r="D44" s="12" t="n">
        <x:f>3+MOD(4+C44,4)</x:f>
        <x:v>5</x:v>
      </x:c>
      <x:c r="E44" s="12" t="n">
        <x:f>3+MOD(2*4+C44,4)</x:f>
        <x:v>5</x:v>
      </x:c>
      <x:c r="F44" s="12" t="n">
        <x:f>2+MOD(4+2*C44,3)</x:f>
        <x:v>4</x:v>
      </x:c>
      <x:c r="G44" s="12" t="n">
        <x:f>2+MOD(2*4+C44,3)</x:f>
        <x:v>3</x:v>
      </x:c>
      <x:c r="H44" s="12" t="n">
        <x:f>SUM(D44:G44)</x:f>
        <x:v>17</x:v>
      </x:c>
      <x:c r="I44" s="12" t="str">
        <x:v>ML-ITM-A102-02</x:v>
      </x:c>
      <x:c r="J44" s="12" t="str">
        <x:v>reviewed</x:v>
      </x:c>
    </x:row>
    <x:row r="45">
      <x:c r="A45" s="12" t="str">
        <x:v>ML26-S005</x:v>
      </x:c>
      <x:c r="B45" s="12" t="str">
        <x:v>A-102</x:v>
      </x:c>
      <x:c r="C45" s="12" t="n">
        <x:v>2</x:v>
      </x:c>
      <x:c r="D45" s="12" t="n">
        <x:f>3+MOD(5+C45,4)</x:f>
        <x:v>6</x:v>
      </x:c>
      <x:c r="E45" s="12" t="n">
        <x:f>3+MOD(2*5+C45,4)</x:f>
        <x:v>3</x:v>
      </x:c>
      <x:c r="F45" s="12" t="n">
        <x:f>2+MOD(5+2*C45,3)</x:f>
        <x:v>2</x:v>
      </x:c>
      <x:c r="G45" s="12" t="n">
        <x:f>2+MOD(2*5+C45,3)</x:f>
        <x:v>2</x:v>
      </x:c>
      <x:c r="H45" s="12" t="n">
        <x:f>SUM(D45:G45)</x:f>
        <x:v>13</x:v>
      </x:c>
      <x:c r="I45" s="12" t="str">
        <x:v>ML-ITM-A102-01</x:v>
      </x:c>
      <x:c r="J45" s="12" t="str">
        <x:v>reviewed</x:v>
      </x:c>
    </x:row>
    <x:row r="46">
      <x:c r="A46" s="12" t="str">
        <x:v>ML26-S006</x:v>
      </x:c>
      <x:c r="B46" s="12" t="str">
        <x:v>A-102</x:v>
      </x:c>
      <x:c r="C46" s="12" t="n">
        <x:v>2</x:v>
      </x:c>
      <x:c r="D46" s="12" t="n">
        <x:f>3+MOD(6+C46,4)</x:f>
        <x:v>3</x:v>
      </x:c>
      <x:c r="E46" s="12" t="n">
        <x:f>3+MOD(2*6+C46,4)</x:f>
        <x:v>5</x:v>
      </x:c>
      <x:c r="F46" s="12" t="n">
        <x:f>2+MOD(6+2*C46,3)</x:f>
        <x:v>3</x:v>
      </x:c>
      <x:c r="G46" s="12" t="n">
        <x:f>2+MOD(2*6+C46,3)</x:f>
        <x:v>4</x:v>
      </x:c>
      <x:c r="H46" s="12" t="n">
        <x:f>SUM(D46:G46)</x:f>
        <x:v>15</x:v>
      </x:c>
      <x:c r="I46" s="12" t="str">
        <x:v>ML-ITM-A102-02</x:v>
      </x:c>
      <x:c r="J46" s="12" t="str">
        <x:v>reviewed</x:v>
      </x:c>
    </x:row>
    <x:row r="47">
      <x:c r="A47" s="12" t="str">
        <x:v>ML26-S007</x:v>
      </x:c>
      <x:c r="B47" s="12" t="str">
        <x:v>A-102</x:v>
      </x:c>
      <x:c r="C47" s="12" t="n">
        <x:v>2</x:v>
      </x:c>
      <x:c r="D47" s="12" t="n">
        <x:f>3+MOD(7+C47,4)</x:f>
        <x:v>4</x:v>
      </x:c>
      <x:c r="E47" s="12" t="n">
        <x:f>3+MOD(2*7+C47,4)</x:f>
        <x:v>3</x:v>
      </x:c>
      <x:c r="F47" s="12" t="n">
        <x:f>2+MOD(7+2*C47,3)</x:f>
        <x:v>4</x:v>
      </x:c>
      <x:c r="G47" s="12" t="n">
        <x:f>2+MOD(2*7+C47,3)</x:f>
        <x:v>3</x:v>
      </x:c>
      <x:c r="H47" s="12" t="n">
        <x:f>SUM(D47:G47)</x:f>
        <x:v>14</x:v>
      </x:c>
      <x:c r="I47" s="12" t="str">
        <x:v>ML-ITM-A102-01</x:v>
      </x:c>
      <x:c r="J47" s="12" t="str">
        <x:v>reviewed</x:v>
      </x:c>
    </x:row>
    <x:row r="48">
      <x:c r="A48" s="12" t="str">
        <x:v>ML26-S008</x:v>
      </x:c>
      <x:c r="B48" s="12" t="str">
        <x:v>A-102</x:v>
      </x:c>
      <x:c r="C48" s="12" t="n">
        <x:v>2</x:v>
      </x:c>
      <x:c r="D48" s="12" t="n">
        <x:f>3+MOD(8+C48,4)</x:f>
        <x:v>5</x:v>
      </x:c>
      <x:c r="E48" s="12" t="n">
        <x:f>3+MOD(2*8+C48,4)</x:f>
        <x:v>5</x:v>
      </x:c>
      <x:c r="F48" s="12" t="n">
        <x:f>2+MOD(8+2*C48,3)</x:f>
        <x:v>2</x:v>
      </x:c>
      <x:c r="G48" s="12" t="n">
        <x:f>2+MOD(2*8+C48,3)</x:f>
        <x:v>2</x:v>
      </x:c>
      <x:c r="H48" s="12" t="n">
        <x:f>SUM(D48:G48)</x:f>
        <x:v>14</x:v>
      </x:c>
      <x:c r="I48" s="12" t="str">
        <x:v>ML-ITM-A102-02</x:v>
      </x:c>
      <x:c r="J48" s="12" t="str">
        <x:v>reviewed</x:v>
      </x:c>
    </x:row>
    <x:row r="49">
      <x:c r="A49" s="12" t="str">
        <x:v>ML26-S009</x:v>
      </x:c>
      <x:c r="B49" s="12" t="str">
        <x:v>A-102</x:v>
      </x:c>
      <x:c r="C49" s="12" t="n">
        <x:v>2</x:v>
      </x:c>
      <x:c r="D49" s="12" t="n">
        <x:f>3+MOD(9+C49,4)</x:f>
        <x:v>6</x:v>
      </x:c>
      <x:c r="E49" s="12" t="n">
        <x:f>3+MOD(2*9+C49,4)</x:f>
        <x:v>3</x:v>
      </x:c>
      <x:c r="F49" s="12" t="n">
        <x:f>2+MOD(9+2*C49,3)</x:f>
        <x:v>3</x:v>
      </x:c>
      <x:c r="G49" s="12" t="n">
        <x:f>2+MOD(2*9+C49,3)</x:f>
        <x:v>4</x:v>
      </x:c>
      <x:c r="H49" s="12" t="n">
        <x:f>SUM(D49:G49)</x:f>
        <x:v>16</x:v>
      </x:c>
      <x:c r="I49" s="12" t="str">
        <x:v>ML-ITM-A102-01</x:v>
      </x:c>
      <x:c r="J49" s="12" t="str">
        <x:v>reviewed</x:v>
      </x:c>
    </x:row>
    <x:row r="50">
      <x:c r="A50" s="12" t="str">
        <x:v>ML26-S010</x:v>
      </x:c>
      <x:c r="B50" s="12" t="str">
        <x:v>A-102</x:v>
      </x:c>
      <x:c r="C50" s="12" t="n">
        <x:v>2</x:v>
      </x:c>
      <x:c r="D50" s="12" t="n">
        <x:f>3+MOD(10+C50,4)</x:f>
        <x:v>3</x:v>
      </x:c>
      <x:c r="E50" s="12" t="n">
        <x:f>3+MOD(2*10+C50,4)</x:f>
        <x:v>5</x:v>
      </x:c>
      <x:c r="F50" s="12" t="n">
        <x:f>2+MOD(10+2*C50,3)</x:f>
        <x:v>4</x:v>
      </x:c>
      <x:c r="G50" s="12" t="n">
        <x:f>2+MOD(2*10+C50,3)</x:f>
        <x:v>3</x:v>
      </x:c>
      <x:c r="H50" s="12" t="n">
        <x:f>SUM(D50:G50)</x:f>
        <x:v>15</x:v>
      </x:c>
      <x:c r="I50" s="12" t="str">
        <x:v>ML-ITM-A102-02</x:v>
      </x:c>
      <x:c r="J50" s="12" t="str">
        <x:v>reviewed</x:v>
      </x:c>
    </x:row>
    <x:row r="51">
      <x:c r="A51" s="12" t="str">
        <x:v>ML26-S011</x:v>
      </x:c>
      <x:c r="B51" s="12" t="str">
        <x:v>A-102</x:v>
      </x:c>
      <x:c r="C51" s="12" t="n">
        <x:v>2</x:v>
      </x:c>
      <x:c r="D51" s="12" t="n">
        <x:f>3+MOD(11+C51,4)</x:f>
        <x:v>4</x:v>
      </x:c>
      <x:c r="E51" s="12" t="n">
        <x:f>3+MOD(2*11+C51,4)</x:f>
        <x:v>3</x:v>
      </x:c>
      <x:c r="F51" s="12" t="n">
        <x:f>2+MOD(11+2*C51,3)</x:f>
        <x:v>2</x:v>
      </x:c>
      <x:c r="G51" s="12" t="n">
        <x:f>2+MOD(2*11+C51,3)</x:f>
        <x:v>2</x:v>
      </x:c>
      <x:c r="H51" s="12" t="n">
        <x:f>SUM(D51:G51)</x:f>
        <x:v>11</x:v>
      </x:c>
      <x:c r="I51" s="12" t="str">
        <x:v>ML-ITM-A102-01</x:v>
      </x:c>
      <x:c r="J51" s="12" t="str">
        <x:v>reviewed</x:v>
      </x:c>
    </x:row>
    <x:row r="52">
      <x:c r="A52" s="12" t="str">
        <x:v>ML26-S012</x:v>
      </x:c>
      <x:c r="B52" s="12" t="str">
        <x:v>A-102</x:v>
      </x:c>
      <x:c r="C52" s="12" t="n">
        <x:v>2</x:v>
      </x:c>
      <x:c r="D52" s="12" t="n">
        <x:f>3+MOD(12+C52,4)</x:f>
        <x:v>5</x:v>
      </x:c>
      <x:c r="E52" s="12" t="n">
        <x:f>3+MOD(2*12+C52,4)</x:f>
        <x:v>5</x:v>
      </x:c>
      <x:c r="F52" s="12" t="n">
        <x:f>2+MOD(12+2*C52,3)</x:f>
        <x:v>3</x:v>
      </x:c>
      <x:c r="G52" s="12" t="n">
        <x:f>2+MOD(2*12+C52,3)</x:f>
        <x:v>4</x:v>
      </x:c>
      <x:c r="H52" s="12" t="n">
        <x:f>SUM(D52:G52)</x:f>
        <x:v>17</x:v>
      </x:c>
      <x:c r="I52" s="12" t="str">
        <x:v>ML-ITM-A102-02</x:v>
      </x:c>
      <x:c r="J52" s="12" t="str">
        <x:v>reviewed</x:v>
      </x:c>
    </x:row>
    <x:row r="53">
      <x:c r="A53" s="12" t="str">
        <x:v>ML26-S013</x:v>
      </x:c>
      <x:c r="B53" s="12" t="str">
        <x:v>A-102</x:v>
      </x:c>
      <x:c r="C53" s="12" t="n">
        <x:v>2</x:v>
      </x:c>
      <x:c r="D53" s="12" t="n">
        <x:f>3+MOD(13+C53,4)</x:f>
        <x:v>6</x:v>
      </x:c>
      <x:c r="E53" s="12" t="n">
        <x:f>3+MOD(2*13+C53,4)</x:f>
        <x:v>3</x:v>
      </x:c>
      <x:c r="F53" s="12" t="n">
        <x:f>2+MOD(13+2*C53,3)</x:f>
        <x:v>4</x:v>
      </x:c>
      <x:c r="G53" s="12" t="n">
        <x:f>2+MOD(2*13+C53,3)</x:f>
        <x:v>3</x:v>
      </x:c>
      <x:c r="H53" s="12" t="n">
        <x:f>SUM(D53:G53)</x:f>
        <x:v>16</x:v>
      </x:c>
      <x:c r="I53" s="12" t="str">
        <x:v>ML-ITM-A102-01</x:v>
      </x:c>
      <x:c r="J53" s="12" t="str">
        <x:v>reviewed</x:v>
      </x:c>
    </x:row>
    <x:row r="54">
      <x:c r="A54" s="12" t="str">
        <x:v>ML26-S014</x:v>
      </x:c>
      <x:c r="B54" s="12" t="str">
        <x:v>A-102</x:v>
      </x:c>
      <x:c r="C54" s="12" t="n">
        <x:v>2</x:v>
      </x:c>
      <x:c r="D54" s="12" t="n">
        <x:f>3+MOD(14+C54,4)</x:f>
        <x:v>3</x:v>
      </x:c>
      <x:c r="E54" s="12" t="n">
        <x:f>3+MOD(2*14+C54,4)</x:f>
        <x:v>5</x:v>
      </x:c>
      <x:c r="F54" s="12" t="n">
        <x:f>2+MOD(14+2*C54,3)</x:f>
        <x:v>2</x:v>
      </x:c>
      <x:c r="G54" s="12" t="n">
        <x:f>2+MOD(2*14+C54,3)</x:f>
        <x:v>2</x:v>
      </x:c>
      <x:c r="H54" s="12" t="n">
        <x:f>SUM(D54:G54)</x:f>
        <x:v>12</x:v>
      </x:c>
      <x:c r="I54" s="12" t="str">
        <x:v>ML-ITM-A102-02</x:v>
      </x:c>
      <x:c r="J54" s="12" t="str">
        <x:v>reviewed</x:v>
      </x:c>
    </x:row>
    <x:row r="55">
      <x:c r="A55" s="12" t="str">
        <x:v>ML26-S015</x:v>
      </x:c>
      <x:c r="B55" s="12" t="str">
        <x:v>A-102</x:v>
      </x:c>
      <x:c r="C55" s="12" t="n">
        <x:v>2</x:v>
      </x:c>
      <x:c r="D55" s="12" t="n">
        <x:f>3+MOD(15+C55,4)</x:f>
        <x:v>4</x:v>
      </x:c>
      <x:c r="E55" s="12" t="n">
        <x:f>3+MOD(2*15+C55,4)</x:f>
        <x:v>3</x:v>
      </x:c>
      <x:c r="F55" s="12" t="n">
        <x:f>2+MOD(15+2*C55,3)</x:f>
        <x:v>3</x:v>
      </x:c>
      <x:c r="G55" s="12" t="n">
        <x:f>2+MOD(2*15+C55,3)</x:f>
        <x:v>4</x:v>
      </x:c>
      <x:c r="H55" s="12" t="n">
        <x:f>SUM(D55:G55)</x:f>
        <x:v>14</x:v>
      </x:c>
      <x:c r="I55" s="12" t="str">
        <x:v>ML-ITM-A102-01</x:v>
      </x:c>
      <x:c r="J55" s="12" t="str">
        <x:v>reviewed</x:v>
      </x:c>
    </x:row>
    <x:row r="56">
      <x:c r="A56" s="12" t="str">
        <x:v>ML26-S016</x:v>
      </x:c>
      <x:c r="B56" s="12" t="str">
        <x:v>A-102</x:v>
      </x:c>
      <x:c r="C56" s="12" t="n">
        <x:v>2</x:v>
      </x:c>
      <x:c r="D56" s="12" t="n">
        <x:f>3+MOD(16+C56,4)</x:f>
        <x:v>5</x:v>
      </x:c>
      <x:c r="E56" s="12" t="n">
        <x:f>3+MOD(2*16+C56,4)</x:f>
        <x:v>5</x:v>
      </x:c>
      <x:c r="F56" s="12" t="n">
        <x:f>2+MOD(16+2*C56,3)</x:f>
        <x:v>4</x:v>
      </x:c>
      <x:c r="G56" s="12" t="n">
        <x:f>2+MOD(2*16+C56,3)</x:f>
        <x:v>3</x:v>
      </x:c>
      <x:c r="H56" s="12" t="n">
        <x:f>SUM(D56:G56)</x:f>
        <x:v>17</x:v>
      </x:c>
      <x:c r="I56" s="12" t="str">
        <x:v>ML-ITM-A102-02</x:v>
      </x:c>
      <x:c r="J56" s="12" t="str">
        <x:v>reviewed</x:v>
      </x:c>
    </x:row>
    <x:row r="57">
      <x:c r="A57" s="12" t="str">
        <x:v>ML26-S017</x:v>
      </x:c>
      <x:c r="B57" s="12" t="str">
        <x:v>A-102</x:v>
      </x:c>
      <x:c r="C57" s="12" t="n">
        <x:v>2</x:v>
      </x:c>
      <x:c r="D57" s="12" t="n">
        <x:f>3+MOD(17+C57,4)</x:f>
        <x:v>6</x:v>
      </x:c>
      <x:c r="E57" s="12" t="n">
        <x:f>3+MOD(2*17+C57,4)</x:f>
        <x:v>3</x:v>
      </x:c>
      <x:c r="F57" s="12" t="n">
        <x:f>2+MOD(17+2*C57,3)</x:f>
        <x:v>2</x:v>
      </x:c>
      <x:c r="G57" s="12" t="n">
        <x:f>2+MOD(2*17+C57,3)</x:f>
        <x:v>2</x:v>
      </x:c>
      <x:c r="H57" s="12" t="n">
        <x:f>SUM(D57:G57)</x:f>
        <x:v>13</x:v>
      </x:c>
      <x:c r="I57" s="12" t="str">
        <x:v>ML-ITM-A102-01</x:v>
      </x:c>
      <x:c r="J57" s="12" t="str">
        <x:v>reviewed</x:v>
      </x:c>
    </x:row>
    <x:row r="58">
      <x:c r="A58" s="12" t="str">
        <x:v>ML26-S018</x:v>
      </x:c>
      <x:c r="B58" s="12" t="str">
        <x:v>A-102</x:v>
      </x:c>
      <x:c r="C58" s="12" t="n">
        <x:v>2</x:v>
      </x:c>
      <x:c r="D58" s="12" t="n">
        <x:f>3+MOD(18+C58,4)</x:f>
        <x:v>3</x:v>
      </x:c>
      <x:c r="E58" s="12" t="n">
        <x:f>3+MOD(2*18+C58,4)</x:f>
        <x:v>5</x:v>
      </x:c>
      <x:c r="F58" s="12" t="n">
        <x:f>2+MOD(18+2*C58,3)</x:f>
        <x:v>3</x:v>
      </x:c>
      <x:c r="G58" s="12" t="n">
        <x:f>2+MOD(2*18+C58,3)</x:f>
        <x:v>4</x:v>
      </x:c>
      <x:c r="H58" s="12" t="n">
        <x:f>SUM(D58:G58)</x:f>
        <x:v>15</x:v>
      </x:c>
      <x:c r="I58" s="12" t="str">
        <x:v>ML-ITM-A102-02</x:v>
      </x:c>
      <x:c r="J58" s="12" t="str">
        <x:v>reviewed</x:v>
      </x:c>
    </x:row>
    <x:row r="59">
      <x:c r="A59" s="12" t="str">
        <x:v>ML26-S019</x:v>
      </x:c>
      <x:c r="B59" s="12" t="str">
        <x:v>A-102</x:v>
      </x:c>
      <x:c r="C59" s="12" t="n">
        <x:v>2</x:v>
      </x:c>
      <x:c r="D59" s="12" t="n">
        <x:f>3+MOD(19+C59,4)</x:f>
        <x:v>4</x:v>
      </x:c>
      <x:c r="E59" s="12" t="n">
        <x:f>3+MOD(2*19+C59,4)</x:f>
        <x:v>3</x:v>
      </x:c>
      <x:c r="F59" s="12" t="n">
        <x:f>2+MOD(19+2*C59,3)</x:f>
        <x:v>4</x:v>
      </x:c>
      <x:c r="G59" s="12" t="n">
        <x:f>2+MOD(2*19+C59,3)</x:f>
        <x:v>3</x:v>
      </x:c>
      <x:c r="H59" s="12" t="n">
        <x:f>SUM(D59:G59)</x:f>
        <x:v>14</x:v>
      </x:c>
      <x:c r="I59" s="12" t="str">
        <x:v>ML-ITM-A102-01</x:v>
      </x:c>
      <x:c r="J59" s="12" t="str">
        <x:v>reviewed</x:v>
      </x:c>
    </x:row>
    <x:row r="60">
      <x:c r="A60" s="12" t="str">
        <x:v>ML26-S020</x:v>
      </x:c>
      <x:c r="B60" s="12" t="str">
        <x:v>A-102</x:v>
      </x:c>
      <x:c r="C60" s="12" t="n">
        <x:v>2</x:v>
      </x:c>
      <x:c r="D60" s="12" t="n">
        <x:f>3+MOD(20+C60,4)</x:f>
        <x:v>5</x:v>
      </x:c>
      <x:c r="E60" s="12" t="n">
        <x:f>3+MOD(2*20+C60,4)</x:f>
        <x:v>5</x:v>
      </x:c>
      <x:c r="F60" s="12" t="n">
        <x:f>2+MOD(20+2*C60,3)</x:f>
        <x:v>2</x:v>
      </x:c>
      <x:c r="G60" s="12" t="n">
        <x:f>2+MOD(2*20+C60,3)</x:f>
        <x:v>2</x:v>
      </x:c>
      <x:c r="H60" s="12" t="n">
        <x:f>SUM(D60:G60)</x:f>
        <x:v>14</x:v>
      </x:c>
      <x:c r="I60" s="12" t="str">
        <x:v>ML-ITM-A102-02</x:v>
      </x:c>
      <x:c r="J60" s="12" t="str">
        <x:v>reviewed</x:v>
      </x:c>
    </x:row>
    <x:row r="61">
      <x:c r="A61" s="12" t="str">
        <x:v>ML26-S021</x:v>
      </x:c>
      <x:c r="B61" s="12" t="str">
        <x:v>A-102</x:v>
      </x:c>
      <x:c r="C61" s="12" t="n">
        <x:v>2</x:v>
      </x:c>
      <x:c r="D61" s="12" t="n">
        <x:f>3+MOD(21+C61,4)</x:f>
        <x:v>6</x:v>
      </x:c>
      <x:c r="E61" s="12" t="n">
        <x:f>3+MOD(2*21+C61,4)</x:f>
        <x:v>3</x:v>
      </x:c>
      <x:c r="F61" s="12" t="n">
        <x:f>2+MOD(21+2*C61,3)</x:f>
        <x:v>3</x:v>
      </x:c>
      <x:c r="G61" s="12" t="n">
        <x:f>2+MOD(2*21+C61,3)</x:f>
        <x:v>4</x:v>
      </x:c>
      <x:c r="H61" s="12" t="n">
        <x:f>SUM(D61:G61)</x:f>
        <x:v>16</x:v>
      </x:c>
      <x:c r="I61" s="12" t="str">
        <x:v>ML-ITM-A102-01</x:v>
      </x:c>
      <x:c r="J61" s="12" t="str">
        <x:v>reviewed</x:v>
      </x:c>
    </x:row>
    <x:row r="62">
      <x:c r="A62" s="12" t="str">
        <x:v>ML26-S022</x:v>
      </x:c>
      <x:c r="B62" s="12" t="str">
        <x:v>A-102</x:v>
      </x:c>
      <x:c r="C62" s="12" t="n">
        <x:v>2</x:v>
      </x:c>
      <x:c r="D62" s="12" t="n">
        <x:f>3+MOD(22+C62,4)</x:f>
        <x:v>3</x:v>
      </x:c>
      <x:c r="E62" s="12" t="n">
        <x:f>3+MOD(2*22+C62,4)</x:f>
        <x:v>5</x:v>
      </x:c>
      <x:c r="F62" s="12" t="n">
        <x:f>2+MOD(22+2*C62,3)</x:f>
        <x:v>4</x:v>
      </x:c>
      <x:c r="G62" s="12" t="n">
        <x:f>2+MOD(2*22+C62,3)</x:f>
        <x:v>3</x:v>
      </x:c>
      <x:c r="H62" s="12" t="n">
        <x:f>SUM(D62:G62)</x:f>
        <x:v>15</x:v>
      </x:c>
      <x:c r="I62" s="12" t="str">
        <x:v>ML-ITM-A102-02</x:v>
      </x:c>
      <x:c r="J62" s="12" t="str">
        <x:v>reviewed</x:v>
      </x:c>
    </x:row>
    <x:row r="63">
      <x:c r="A63" s="12" t="str">
        <x:v>ML26-S023</x:v>
      </x:c>
      <x:c r="B63" s="12" t="str">
        <x:v>A-102</x:v>
      </x:c>
      <x:c r="C63" s="12" t="n">
        <x:v>2</x:v>
      </x:c>
      <x:c r="D63" s="12" t="n">
        <x:f>3+MOD(23+C63,4)</x:f>
        <x:v>4</x:v>
      </x:c>
      <x:c r="E63" s="12" t="n">
        <x:f>3+MOD(2*23+C63,4)</x:f>
        <x:v>3</x:v>
      </x:c>
      <x:c r="F63" s="12" t="n">
        <x:f>2+MOD(23+2*C63,3)</x:f>
        <x:v>2</x:v>
      </x:c>
      <x:c r="G63" s="12" t="n">
        <x:f>2+MOD(2*23+C63,3)</x:f>
        <x:v>2</x:v>
      </x:c>
      <x:c r="H63" s="12" t="n">
        <x:f>SUM(D63:G63)</x:f>
        <x:v>11</x:v>
      </x:c>
      <x:c r="I63" s="12" t="str">
        <x:v>ML-ITM-A102-01</x:v>
      </x:c>
      <x:c r="J63" s="12" t="str">
        <x:v>reviewed</x:v>
      </x:c>
    </x:row>
    <x:row r="64">
      <x:c r="A64" s="12" t="str">
        <x:v>ML26-S024</x:v>
      </x:c>
      <x:c r="B64" s="12" t="str">
        <x:v>A-102</x:v>
      </x:c>
      <x:c r="C64" s="12" t="n">
        <x:v>2</x:v>
      </x:c>
      <x:c r="D64" s="12" t="n">
        <x:f>3+MOD(24+C64,4)</x:f>
        <x:v>5</x:v>
      </x:c>
      <x:c r="E64" s="12" t="n">
        <x:f>3+MOD(2*24+C64,4)</x:f>
        <x:v>5</x:v>
      </x:c>
      <x:c r="F64" s="12" t="n">
        <x:f>2+MOD(24+2*C64,3)</x:f>
        <x:v>3</x:v>
      </x:c>
      <x:c r="G64" s="12" t="n">
        <x:f>2+MOD(2*24+C64,3)</x:f>
        <x:v>4</x:v>
      </x:c>
      <x:c r="H64" s="12" t="n">
        <x:f>SUM(D64:G64)</x:f>
        <x:v>17</x:v>
      </x:c>
      <x:c r="I64" s="12" t="str">
        <x:v>ML-ITM-A102-02</x:v>
      </x:c>
      <x:c r="J64" s="12" t="str">
        <x:v>reviewed</x:v>
      </x:c>
    </x:row>
    <x:row r="65">
      <x:c r="A65" s="12" t="str">
        <x:v>ML26-S025</x:v>
      </x:c>
      <x:c r="B65" s="12" t="str">
        <x:v>A-102</x:v>
      </x:c>
      <x:c r="C65" s="12" t="n">
        <x:v>2</x:v>
      </x:c>
      <x:c r="D65" s="12" t="n">
        <x:f>3+MOD(25+C65,4)</x:f>
        <x:v>6</x:v>
      </x:c>
      <x:c r="E65" s="12" t="n">
        <x:f>3+MOD(2*25+C65,4)</x:f>
        <x:v>3</x:v>
      </x:c>
      <x:c r="F65" s="12" t="n">
        <x:f>2+MOD(25+2*C65,3)</x:f>
        <x:v>4</x:v>
      </x:c>
      <x:c r="G65" s="12" t="n">
        <x:f>2+MOD(2*25+C65,3)</x:f>
        <x:v>3</x:v>
      </x:c>
      <x:c r="H65" s="12" t="n">
        <x:f>SUM(D65:G65)</x:f>
        <x:v>16</x:v>
      </x:c>
      <x:c r="I65" s="12" t="str">
        <x:v>ML-ITM-A102-01</x:v>
      </x:c>
      <x:c r="J65" s="12" t="str">
        <x:v>reviewed</x:v>
      </x:c>
    </x:row>
    <x:row r="66">
      <x:c r="A66" s="12" t="str">
        <x:v>ML26-S026</x:v>
      </x:c>
      <x:c r="B66" s="12" t="str">
        <x:v>A-102</x:v>
      </x:c>
      <x:c r="C66" s="12" t="n">
        <x:v>2</x:v>
      </x:c>
      <x:c r="D66" s="12" t="n">
        <x:f>3+MOD(26+C66,4)</x:f>
        <x:v>3</x:v>
      </x:c>
      <x:c r="E66" s="12" t="n">
        <x:f>3+MOD(2*26+C66,4)</x:f>
        <x:v>5</x:v>
      </x:c>
      <x:c r="F66" s="12" t="n">
        <x:f>2+MOD(26+2*C66,3)</x:f>
        <x:v>2</x:v>
      </x:c>
      <x:c r="G66" s="12" t="n">
        <x:f>2+MOD(2*26+C66,3)</x:f>
        <x:v>2</x:v>
      </x:c>
      <x:c r="H66" s="12" t="n">
        <x:f>SUM(D66:G66)</x:f>
        <x:v>12</x:v>
      </x:c>
      <x:c r="I66" s="12" t="str">
        <x:v>ML-ITM-A102-02</x:v>
      </x:c>
      <x:c r="J66" s="12" t="str">
        <x:v>reviewed</x:v>
      </x:c>
    </x:row>
    <x:row r="67">
      <x:c r="A67" s="12" t="str">
        <x:v>ML26-S027</x:v>
      </x:c>
      <x:c r="B67" s="12" t="str">
        <x:v>A-102</x:v>
      </x:c>
      <x:c r="C67" s="12" t="n">
        <x:v>2</x:v>
      </x:c>
      <x:c r="D67" s="12" t="n">
        <x:f>3+MOD(27+C67,4)</x:f>
        <x:v>4</x:v>
      </x:c>
      <x:c r="E67" s="12" t="n">
        <x:f>3+MOD(2*27+C67,4)</x:f>
        <x:v>3</x:v>
      </x:c>
      <x:c r="F67" s="12" t="n">
        <x:f>2+MOD(27+2*C67,3)</x:f>
        <x:v>3</x:v>
      </x:c>
      <x:c r="G67" s="12" t="n">
        <x:f>2+MOD(2*27+C67,3)</x:f>
        <x:v>4</x:v>
      </x:c>
      <x:c r="H67" s="12" t="n">
        <x:f>SUM(D67:G67)</x:f>
        <x:v>14</x:v>
      </x:c>
      <x:c r="I67" s="12" t="str">
        <x:v>ML-ITM-A102-01</x:v>
      </x:c>
      <x:c r="J67" s="12" t="str">
        <x:v>reviewed</x:v>
      </x:c>
    </x:row>
    <x:row r="68">
      <x:c r="A68" s="12" t="str">
        <x:v>ML26-S028</x:v>
      </x:c>
      <x:c r="B68" s="12" t="str">
        <x:v>A-102</x:v>
      </x:c>
      <x:c r="C68" s="12" t="n">
        <x:v>2</x:v>
      </x:c>
      <x:c r="D68" s="12" t="n">
        <x:f>3+MOD(28+C68,4)</x:f>
        <x:v>5</x:v>
      </x:c>
      <x:c r="E68" s="12" t="n">
        <x:f>3+MOD(2*28+C68,4)</x:f>
        <x:v>5</x:v>
      </x:c>
      <x:c r="F68" s="12" t="n">
        <x:f>2+MOD(28+2*C68,3)</x:f>
        <x:v>4</x:v>
      </x:c>
      <x:c r="G68" s="12" t="n">
        <x:f>2+MOD(2*28+C68,3)</x:f>
        <x:v>3</x:v>
      </x:c>
      <x:c r="H68" s="12" t="n">
        <x:f>SUM(D68:G68)</x:f>
        <x:v>17</x:v>
      </x:c>
      <x:c r="I68" s="12" t="str">
        <x:v>ML-ITM-A102-02</x:v>
      </x:c>
      <x:c r="J68" s="12" t="str">
        <x:v>reviewed</x:v>
      </x:c>
    </x:row>
    <x:row r="69">
      <x:c r="A69" s="12" t="str">
        <x:v>ML26-S029</x:v>
      </x:c>
      <x:c r="B69" s="12" t="str">
        <x:v>A-102</x:v>
      </x:c>
      <x:c r="C69" s="12" t="n">
        <x:v>2</x:v>
      </x:c>
      <x:c r="D69" s="12" t="n">
        <x:f>3+MOD(29+C69,4)</x:f>
        <x:v>6</x:v>
      </x:c>
      <x:c r="E69" s="12" t="n">
        <x:f>3+MOD(2*29+C69,4)</x:f>
        <x:v>3</x:v>
      </x:c>
      <x:c r="F69" s="12" t="n">
        <x:f>2+MOD(29+2*C69,3)</x:f>
        <x:v>2</x:v>
      </x:c>
      <x:c r="G69" s="12" t="n">
        <x:f>2+MOD(2*29+C69,3)</x:f>
        <x:v>2</x:v>
      </x:c>
      <x:c r="H69" s="12" t="n">
        <x:f>SUM(D69:G69)</x:f>
        <x:v>13</x:v>
      </x:c>
      <x:c r="I69" s="12" t="str">
        <x:v>ML-ITM-A102-01</x:v>
      </x:c>
      <x:c r="J69" s="12" t="str">
        <x:v>reviewed</x:v>
      </x:c>
    </x:row>
    <x:row r="70">
      <x:c r="A70" s="12" t="str">
        <x:v>ML26-S030</x:v>
      </x:c>
      <x:c r="B70" s="12" t="str">
        <x:v>A-102</x:v>
      </x:c>
      <x:c r="C70" s="12" t="n">
        <x:v>2</x:v>
      </x:c>
      <x:c r="D70" s="12" t="n">
        <x:f>3+MOD(30+C70,4)</x:f>
        <x:v>3</x:v>
      </x:c>
      <x:c r="E70" s="12" t="n">
        <x:f>3+MOD(2*30+C70,4)</x:f>
        <x:v>5</x:v>
      </x:c>
      <x:c r="F70" s="12" t="n">
        <x:f>2+MOD(30+2*C70,3)</x:f>
        <x:v>3</x:v>
      </x:c>
      <x:c r="G70" s="12" t="n">
        <x:f>2+MOD(2*30+C70,3)</x:f>
        <x:v>4</x:v>
      </x:c>
      <x:c r="H70" s="12" t="n">
        <x:f>SUM(D70:G70)</x:f>
        <x:v>15</x:v>
      </x:c>
      <x:c r="I70" s="12" t="str">
        <x:v>ML-ITM-A102-02</x:v>
      </x:c>
      <x:c r="J70" s="12" t="str">
        <x:v>reviewed</x:v>
      </x:c>
    </x:row>
    <x:row r="71">
      <x:c r="A71" s="12" t="str">
        <x:v>ML26-S031</x:v>
      </x:c>
      <x:c r="B71" s="12" t="str">
        <x:v>A-102</x:v>
      </x:c>
      <x:c r="C71" s="12" t="n">
        <x:v>2</x:v>
      </x:c>
      <x:c r="D71" s="12" t="n">
        <x:f>3+MOD(31+C71,4)</x:f>
        <x:v>4</x:v>
      </x:c>
      <x:c r="E71" s="12" t="n">
        <x:f>3+MOD(2*31+C71,4)</x:f>
        <x:v>3</x:v>
      </x:c>
      <x:c r="F71" s="12" t="n">
        <x:f>2+MOD(31+2*C71,3)</x:f>
        <x:v>4</x:v>
      </x:c>
      <x:c r="G71" s="12" t="n">
        <x:f>2+MOD(2*31+C71,3)</x:f>
        <x:v>3</x:v>
      </x:c>
      <x:c r="H71" s="12" t="n">
        <x:f>SUM(D71:G71)</x:f>
        <x:v>14</x:v>
      </x:c>
      <x:c r="I71" s="12" t="str">
        <x:v>ML-ITM-A102-01</x:v>
      </x:c>
      <x:c r="J71" s="12" t="str">
        <x:v>reviewed</x:v>
      </x:c>
    </x:row>
    <x:row r="72">
      <x:c r="A72" s="12" t="str">
        <x:v>ML26-S032</x:v>
      </x:c>
      <x:c r="B72" s="12" t="str">
        <x:v>A-102</x:v>
      </x:c>
      <x:c r="C72" s="12" t="n">
        <x:v>2</x:v>
      </x:c>
      <x:c r="D72" s="12" t="n">
        <x:f>3+MOD(32+C72,4)</x:f>
        <x:v>5</x:v>
      </x:c>
      <x:c r="E72" s="12" t="n">
        <x:f>3+MOD(2*32+C72,4)</x:f>
        <x:v>5</x:v>
      </x:c>
      <x:c r="F72" s="12" t="n">
        <x:f>2+MOD(32+2*C72,3)</x:f>
        <x:v>2</x:v>
      </x:c>
      <x:c r="G72" s="12" t="n">
        <x:f>2+MOD(2*32+C72,3)</x:f>
        <x:v>2</x:v>
      </x:c>
      <x:c r="H72" s="12" t="n">
        <x:f>SUM(D72:G72)</x:f>
        <x:v>14</x:v>
      </x:c>
      <x:c r="I72" s="12" t="str">
        <x:v>ML-ITM-A102-02</x:v>
      </x:c>
      <x:c r="J72" s="12" t="str">
        <x:v>reviewed</x:v>
      </x:c>
    </x:row>
    <x:row r="73">
      <x:c r="A73" s="12" t="str">
        <x:v>ML26-S033</x:v>
      </x:c>
      <x:c r="B73" s="12" t="str">
        <x:v>A-102</x:v>
      </x:c>
      <x:c r="C73" s="12" t="n">
        <x:v>2</x:v>
      </x:c>
      <x:c r="D73" s="12" t="n">
        <x:f>3+MOD(33+C73,4)</x:f>
        <x:v>6</x:v>
      </x:c>
      <x:c r="E73" s="12" t="n">
        <x:f>3+MOD(2*33+C73,4)</x:f>
        <x:v>3</x:v>
      </x:c>
      <x:c r="F73" s="12" t="n">
        <x:f>2+MOD(33+2*C73,3)</x:f>
        <x:v>3</x:v>
      </x:c>
      <x:c r="G73" s="12" t="n">
        <x:f>2+MOD(2*33+C73,3)</x:f>
        <x:v>4</x:v>
      </x:c>
      <x:c r="H73" s="12" t="n">
        <x:f>SUM(D73:G73)</x:f>
        <x:v>16</x:v>
      </x:c>
      <x:c r="I73" s="12" t="str">
        <x:v>ML-ITM-A102-01</x:v>
      </x:c>
      <x:c r="J73" s="12" t="str">
        <x:v>reviewed</x:v>
      </x:c>
    </x:row>
    <x:row r="74">
      <x:c r="A74" s="12" t="str">
        <x:v>ML26-S034</x:v>
      </x:c>
      <x:c r="B74" s="12" t="str">
        <x:v>A-102</x:v>
      </x:c>
      <x:c r="C74" s="12" t="n">
        <x:v>2</x:v>
      </x:c>
      <x:c r="D74" s="12" t="n">
        <x:f>3+MOD(34+C74,4)</x:f>
        <x:v>3</x:v>
      </x:c>
      <x:c r="E74" s="12" t="n">
        <x:f>3+MOD(2*34+C74,4)</x:f>
        <x:v>5</x:v>
      </x:c>
      <x:c r="F74" s="12" t="n">
        <x:f>2+MOD(34+2*C74,3)</x:f>
        <x:v>4</x:v>
      </x:c>
      <x:c r="G74" s="12" t="n">
        <x:f>2+MOD(2*34+C74,3)</x:f>
        <x:v>3</x:v>
      </x:c>
      <x:c r="H74" s="12" t="n">
        <x:f>SUM(D74:G74)</x:f>
        <x:v>15</x:v>
      </x:c>
      <x:c r="I74" s="12" t="str">
        <x:v>ML-ITM-A102-02</x:v>
      </x:c>
      <x:c r="J74" s="12" t="str">
        <x:v>reviewed</x:v>
      </x:c>
    </x:row>
    <x:row r="75">
      <x:c r="A75" s="12" t="str">
        <x:v>ML26-S035</x:v>
      </x:c>
      <x:c r="B75" s="12" t="str">
        <x:v>A-102</x:v>
      </x:c>
      <x:c r="C75" s="12" t="n">
        <x:v>2</x:v>
      </x:c>
      <x:c r="D75" s="12" t="n">
        <x:f>3+MOD(35+C75,4)</x:f>
        <x:v>4</x:v>
      </x:c>
      <x:c r="E75" s="12" t="n">
        <x:f>3+MOD(2*35+C75,4)</x:f>
        <x:v>3</x:v>
      </x:c>
      <x:c r="F75" s="12" t="n">
        <x:f>2+MOD(35+2*C75,3)</x:f>
        <x:v>2</x:v>
      </x:c>
      <x:c r="G75" s="12" t="n">
        <x:f>2+MOD(2*35+C75,3)</x:f>
        <x:v>2</x:v>
      </x:c>
      <x:c r="H75" s="12" t="n">
        <x:f>SUM(D75:G75)</x:f>
        <x:v>11</x:v>
      </x:c>
      <x:c r="I75" s="12" t="str">
        <x:v>ML-ITM-A102-01</x:v>
      </x:c>
      <x:c r="J75" s="12" t="str">
        <x:v>reviewed</x:v>
      </x:c>
    </x:row>
    <x:row r="76">
      <x:c r="A76" s="12" t="str">
        <x:v>ML26-S036</x:v>
      </x:c>
      <x:c r="B76" s="12" t="str">
        <x:v>A-102</x:v>
      </x:c>
      <x:c r="C76" s="12" t="n">
        <x:v>2</x:v>
      </x:c>
      <x:c r="D76" s="12" t="n">
        <x:f>3+MOD(36+C76,4)</x:f>
        <x:v>5</x:v>
      </x:c>
      <x:c r="E76" s="12" t="n">
        <x:f>3+MOD(2*36+C76,4)</x:f>
        <x:v>5</x:v>
      </x:c>
      <x:c r="F76" s="12" t="n">
        <x:f>2+MOD(36+2*C76,3)</x:f>
        <x:v>3</x:v>
      </x:c>
      <x:c r="G76" s="12" t="n">
        <x:f>2+MOD(2*36+C76,3)</x:f>
        <x:v>4</x:v>
      </x:c>
      <x:c r="H76" s="12" t="n">
        <x:f>SUM(D76:G76)</x:f>
        <x:v>17</x:v>
      </x:c>
      <x:c r="I76" s="12" t="str">
        <x:v>ML-ITM-A102-02</x:v>
      </x:c>
      <x:c r="J76" s="12" t="str">
        <x:v>reviewed</x:v>
      </x:c>
    </x:row>
    <x:row r="77">
      <x:c r="A77" s="12" t="str">
        <x:v>ML26-S001</x:v>
      </x:c>
      <x:c r="B77" s="12" t="str">
        <x:v>A-103</x:v>
      </x:c>
      <x:c r="C77" s="12" t="n">
        <x:v>3</x:v>
      </x:c>
      <x:c r="D77" s="12" t="n">
        <x:f>3+MOD(1+C77,4)</x:f>
        <x:v>3</x:v>
      </x:c>
      <x:c r="E77" s="12" t="n">
        <x:f>3+MOD(2*1+C77,4)</x:f>
        <x:v>4</x:v>
      </x:c>
      <x:c r="F77" s="12" t="n">
        <x:f>2+MOD(1+2*C77,3)</x:f>
        <x:v>3</x:v>
      </x:c>
      <x:c r="G77" s="12" t="n">
        <x:f>2+MOD(2*1+C77,3)</x:f>
        <x:v>4</x:v>
      </x:c>
      <x:c r="H77" s="12" t="n">
        <x:f>SUM(D77:G77)</x:f>
        <x:v>14</x:v>
      </x:c>
      <x:c r="I77" s="12" t="str">
        <x:v>ML-ITM-A103-01</x:v>
      </x:c>
      <x:c r="J77" s="12" t="str">
        <x:v>reviewed</x:v>
      </x:c>
    </x:row>
    <x:row r="78">
      <x:c r="A78" s="12" t="str">
        <x:v>ML26-S002</x:v>
      </x:c>
      <x:c r="B78" s="12" t="str">
        <x:v>A-103</x:v>
      </x:c>
      <x:c r="C78" s="12" t="n">
        <x:v>3</x:v>
      </x:c>
      <x:c r="D78" s="12" t="n">
        <x:f>3+MOD(2+C78,4)</x:f>
        <x:v>4</x:v>
      </x:c>
      <x:c r="E78" s="12" t="n">
        <x:f>3+MOD(2*2+C78,4)</x:f>
        <x:v>6</x:v>
      </x:c>
      <x:c r="F78" s="12" t="n">
        <x:f>2+MOD(2+2*C78,3)</x:f>
        <x:v>4</x:v>
      </x:c>
      <x:c r="G78" s="12" t="n">
        <x:f>2+MOD(2*2+C78,3)</x:f>
        <x:v>3</x:v>
      </x:c>
      <x:c r="H78" s="12" t="n">
        <x:f>SUM(D78:G78)</x:f>
        <x:v>17</x:v>
      </x:c>
      <x:c r="I78" s="12" t="str">
        <x:v>ML-ITM-A103-02</x:v>
      </x:c>
      <x:c r="J78" s="12" t="str">
        <x:v>reviewed</x:v>
      </x:c>
    </x:row>
    <x:row r="79">
      <x:c r="A79" s="12" t="str">
        <x:v>ML26-S003</x:v>
      </x:c>
      <x:c r="B79" s="12" t="str">
        <x:v>A-103</x:v>
      </x:c>
      <x:c r="C79" s="12" t="n">
        <x:v>3</x:v>
      </x:c>
      <x:c r="D79" s="12" t="n">
        <x:f>3+MOD(3+C79,4)</x:f>
        <x:v>5</x:v>
      </x:c>
      <x:c r="E79" s="12" t="n">
        <x:f>3+MOD(2*3+C79,4)</x:f>
        <x:v>4</x:v>
      </x:c>
      <x:c r="F79" s="12" t="n">
        <x:f>2+MOD(3+2*C79,3)</x:f>
        <x:v>2</x:v>
      </x:c>
      <x:c r="G79" s="12" t="n">
        <x:f>2+MOD(2*3+C79,3)</x:f>
        <x:v>2</x:v>
      </x:c>
      <x:c r="H79" s="12" t="n">
        <x:f>SUM(D79:G79)</x:f>
        <x:v>13</x:v>
      </x:c>
      <x:c r="I79" s="12" t="str">
        <x:v>ML-ITM-A103-01</x:v>
      </x:c>
      <x:c r="J79" s="12" t="str">
        <x:v>reviewed</x:v>
      </x:c>
    </x:row>
    <x:row r="80">
      <x:c r="A80" s="12" t="str">
        <x:v>ML26-S004</x:v>
      </x:c>
      <x:c r="B80" s="12" t="str">
        <x:v>A-103</x:v>
      </x:c>
      <x:c r="C80" s="12" t="n">
        <x:v>3</x:v>
      </x:c>
      <x:c r="D80" s="12" t="n">
        <x:f>3+MOD(4+C80,4)</x:f>
        <x:v>6</x:v>
      </x:c>
      <x:c r="E80" s="12" t="n">
        <x:f>3+MOD(2*4+C80,4)</x:f>
        <x:v>6</x:v>
      </x:c>
      <x:c r="F80" s="12" t="n">
        <x:f>2+MOD(4+2*C80,3)</x:f>
        <x:v>3</x:v>
      </x:c>
      <x:c r="G80" s="12" t="n">
        <x:f>2+MOD(2*4+C80,3)</x:f>
        <x:v>4</x:v>
      </x:c>
      <x:c r="H80" s="12" t="n">
        <x:f>SUM(D80:G80)</x:f>
        <x:v>19</x:v>
      </x:c>
      <x:c r="I80" s="12" t="str">
        <x:v>ML-ITM-A103-02</x:v>
      </x:c>
      <x:c r="J80" s="12" t="str">
        <x:v>reviewed</x:v>
      </x:c>
    </x:row>
    <x:row r="81">
      <x:c r="A81" s="12" t="str">
        <x:v>ML26-S005</x:v>
      </x:c>
      <x:c r="B81" s="12" t="str">
        <x:v>A-103</x:v>
      </x:c>
      <x:c r="C81" s="12" t="n">
        <x:v>3</x:v>
      </x:c>
      <x:c r="D81" s="12" t="n">
        <x:f>3+MOD(5+C81,4)</x:f>
        <x:v>3</x:v>
      </x:c>
      <x:c r="E81" s="12" t="n">
        <x:f>3+MOD(2*5+C81,4)</x:f>
        <x:v>4</x:v>
      </x:c>
      <x:c r="F81" s="12" t="n">
        <x:f>2+MOD(5+2*C81,3)</x:f>
        <x:v>4</x:v>
      </x:c>
      <x:c r="G81" s="12" t="n">
        <x:f>2+MOD(2*5+C81,3)</x:f>
        <x:v>3</x:v>
      </x:c>
      <x:c r="H81" s="12" t="n">
        <x:f>SUM(D81:G81)</x:f>
        <x:v>14</x:v>
      </x:c>
      <x:c r="I81" s="12" t="str">
        <x:v>ML-ITM-A103-01</x:v>
      </x:c>
      <x:c r="J81" s="12" t="str">
        <x:v>reviewed</x:v>
      </x:c>
    </x:row>
    <x:row r="82">
      <x:c r="A82" s="12" t="str">
        <x:v>ML26-S006</x:v>
      </x:c>
      <x:c r="B82" s="12" t="str">
        <x:v>A-103</x:v>
      </x:c>
      <x:c r="C82" s="12" t="n">
        <x:v>3</x:v>
      </x:c>
      <x:c r="D82" s="12" t="n">
        <x:f>3+MOD(6+C82,4)</x:f>
        <x:v>4</x:v>
      </x:c>
      <x:c r="E82" s="12" t="n">
        <x:f>3+MOD(2*6+C82,4)</x:f>
        <x:v>6</x:v>
      </x:c>
      <x:c r="F82" s="12" t="n">
        <x:f>2+MOD(6+2*C82,3)</x:f>
        <x:v>2</x:v>
      </x:c>
      <x:c r="G82" s="12" t="n">
        <x:f>2+MOD(2*6+C82,3)</x:f>
        <x:v>2</x:v>
      </x:c>
      <x:c r="H82" s="12" t="n">
        <x:f>SUM(D82:G82)</x:f>
        <x:v>14</x:v>
      </x:c>
      <x:c r="I82" s="12" t="str">
        <x:v>ML-ITM-A103-02</x:v>
      </x:c>
      <x:c r="J82" s="12" t="str">
        <x:v>reviewed</x:v>
      </x:c>
    </x:row>
    <x:row r="83">
      <x:c r="A83" s="12" t="str">
        <x:v>ML26-S007</x:v>
      </x:c>
      <x:c r="B83" s="12" t="str">
        <x:v>A-103</x:v>
      </x:c>
      <x:c r="C83" s="12" t="n">
        <x:v>3</x:v>
      </x:c>
      <x:c r="D83" s="12" t="n">
        <x:f>3+MOD(7+C83,4)</x:f>
        <x:v>5</x:v>
      </x:c>
      <x:c r="E83" s="12" t="n">
        <x:f>3+MOD(2*7+C83,4)</x:f>
        <x:v>4</x:v>
      </x:c>
      <x:c r="F83" s="12" t="n">
        <x:f>2+MOD(7+2*C83,3)</x:f>
        <x:v>3</x:v>
      </x:c>
      <x:c r="G83" s="12" t="n">
        <x:f>2+MOD(2*7+C83,3)</x:f>
        <x:v>4</x:v>
      </x:c>
      <x:c r="H83" s="12" t="n">
        <x:f>SUM(D83:G83)</x:f>
        <x:v>16</x:v>
      </x:c>
      <x:c r="I83" s="12" t="str">
        <x:v>ML-ITM-A103-01</x:v>
      </x:c>
      <x:c r="J83" s="12" t="str">
        <x:v>reviewed</x:v>
      </x:c>
    </x:row>
    <x:row r="84">
      <x:c r="A84" s="12" t="str">
        <x:v>ML26-S008</x:v>
      </x:c>
      <x:c r="B84" s="12" t="str">
        <x:v>A-103</x:v>
      </x:c>
      <x:c r="C84" s="12" t="n">
        <x:v>3</x:v>
      </x:c>
      <x:c r="D84" s="12" t="n">
        <x:f>3+MOD(8+C84,4)</x:f>
        <x:v>6</x:v>
      </x:c>
      <x:c r="E84" s="12" t="n">
        <x:f>3+MOD(2*8+C84,4)</x:f>
        <x:v>6</x:v>
      </x:c>
      <x:c r="F84" s="12" t="n">
        <x:f>2+MOD(8+2*C84,3)</x:f>
        <x:v>4</x:v>
      </x:c>
      <x:c r="G84" s="12" t="n">
        <x:f>2+MOD(2*8+C84,3)</x:f>
        <x:v>3</x:v>
      </x:c>
      <x:c r="H84" s="12" t="n">
        <x:f>SUM(D84:G84)</x:f>
        <x:v>19</x:v>
      </x:c>
      <x:c r="I84" s="12" t="str">
        <x:v>ML-ITM-A103-02</x:v>
      </x:c>
      <x:c r="J84" s="12" t="str">
        <x:v>reviewed</x:v>
      </x:c>
    </x:row>
    <x:row r="85">
      <x:c r="A85" s="12" t="str">
        <x:v>ML26-S009</x:v>
      </x:c>
      <x:c r="B85" s="12" t="str">
        <x:v>A-103</x:v>
      </x:c>
      <x:c r="C85" s="12" t="n">
        <x:v>3</x:v>
      </x:c>
      <x:c r="D85" s="12" t="n">
        <x:f>3+MOD(9+C85,4)</x:f>
        <x:v>3</x:v>
      </x:c>
      <x:c r="E85" s="12" t="n">
        <x:f>3+MOD(2*9+C85,4)</x:f>
        <x:v>4</x:v>
      </x:c>
      <x:c r="F85" s="12" t="n">
        <x:f>2+MOD(9+2*C85,3)</x:f>
        <x:v>2</x:v>
      </x:c>
      <x:c r="G85" s="12" t="n">
        <x:f>2+MOD(2*9+C85,3)</x:f>
        <x:v>2</x:v>
      </x:c>
      <x:c r="H85" s="12" t="n">
        <x:f>SUM(D85:G85)</x:f>
        <x:v>11</x:v>
      </x:c>
      <x:c r="I85" s="12" t="str">
        <x:v>ML-ITM-A103-01</x:v>
      </x:c>
      <x:c r="J85" s="12" t="str">
        <x:v>reviewed</x:v>
      </x:c>
    </x:row>
    <x:row r="86">
      <x:c r="A86" s="12" t="str">
        <x:v>ML26-S010</x:v>
      </x:c>
      <x:c r="B86" s="12" t="str">
        <x:v>A-103</x:v>
      </x:c>
      <x:c r="C86" s="12" t="n">
        <x:v>3</x:v>
      </x:c>
      <x:c r="D86" s="12" t="n">
        <x:f>3+MOD(10+C86,4)</x:f>
        <x:v>4</x:v>
      </x:c>
      <x:c r="E86" s="12" t="n">
        <x:f>3+MOD(2*10+C86,4)</x:f>
        <x:v>6</x:v>
      </x:c>
      <x:c r="F86" s="12" t="n">
        <x:f>2+MOD(10+2*C86,3)</x:f>
        <x:v>3</x:v>
      </x:c>
      <x:c r="G86" s="12" t="n">
        <x:f>2+MOD(2*10+C86,3)</x:f>
        <x:v>4</x:v>
      </x:c>
      <x:c r="H86" s="12" t="n">
        <x:f>SUM(D86:G86)</x:f>
        <x:v>17</x:v>
      </x:c>
      <x:c r="I86" s="12" t="str">
        <x:v>ML-ITM-A103-02</x:v>
      </x:c>
      <x:c r="J86" s="12" t="str">
        <x:v>reviewed</x:v>
      </x:c>
    </x:row>
    <x:row r="87">
      <x:c r="A87" s="12" t="str">
        <x:v>ML26-S011</x:v>
      </x:c>
      <x:c r="B87" s="12" t="str">
        <x:v>A-103</x:v>
      </x:c>
      <x:c r="C87" s="12" t="n">
        <x:v>3</x:v>
      </x:c>
      <x:c r="D87" s="12" t="n">
        <x:f>3+MOD(11+C87,4)</x:f>
        <x:v>5</x:v>
      </x:c>
      <x:c r="E87" s="12" t="n">
        <x:f>3+MOD(2*11+C87,4)</x:f>
        <x:v>4</x:v>
      </x:c>
      <x:c r="F87" s="12" t="n">
        <x:f>2+MOD(11+2*C87,3)</x:f>
        <x:v>4</x:v>
      </x:c>
      <x:c r="G87" s="12" t="n">
        <x:f>2+MOD(2*11+C87,3)</x:f>
        <x:v>3</x:v>
      </x:c>
      <x:c r="H87" s="12" t="n">
        <x:f>SUM(D87:G87)</x:f>
        <x:v>16</x:v>
      </x:c>
      <x:c r="I87" s="12" t="str">
        <x:v>ML-ITM-A103-01</x:v>
      </x:c>
      <x:c r="J87" s="12" t="str">
        <x:v>reviewed</x:v>
      </x:c>
    </x:row>
    <x:row r="88">
      <x:c r="A88" s="12" t="str">
        <x:v>ML26-S012</x:v>
      </x:c>
      <x:c r="B88" s="12" t="str">
        <x:v>A-103</x:v>
      </x:c>
      <x:c r="C88" s="12" t="n">
        <x:v>3</x:v>
      </x:c>
      <x:c r="D88" s="12" t="n">
        <x:f>3+MOD(12+C88,4)</x:f>
        <x:v>6</x:v>
      </x:c>
      <x:c r="E88" s="12" t="n">
        <x:f>3+MOD(2*12+C88,4)</x:f>
        <x:v>6</x:v>
      </x:c>
      <x:c r="F88" s="12" t="n">
        <x:f>2+MOD(12+2*C88,3)</x:f>
        <x:v>2</x:v>
      </x:c>
      <x:c r="G88" s="12" t="n">
        <x:f>2+MOD(2*12+C88,3)</x:f>
        <x:v>2</x:v>
      </x:c>
      <x:c r="H88" s="12" t="n">
        <x:f>SUM(D88:G88)</x:f>
        <x:v>16</x:v>
      </x:c>
      <x:c r="I88" s="12" t="str">
        <x:v>ML-ITM-A103-02</x:v>
      </x:c>
      <x:c r="J88" s="12" t="str">
        <x:v>reviewed</x:v>
      </x:c>
    </x:row>
    <x:row r="89">
      <x:c r="A89" s="12" t="str">
        <x:v>ML26-S013</x:v>
      </x:c>
      <x:c r="B89" s="12" t="str">
        <x:v>A-103</x:v>
      </x:c>
      <x:c r="C89" s="12" t="n">
        <x:v>3</x:v>
      </x:c>
      <x:c r="D89" s="12" t="n">
        <x:f>3+MOD(13+C89,4)</x:f>
        <x:v>3</x:v>
      </x:c>
      <x:c r="E89" s="12" t="n">
        <x:f>3+MOD(2*13+C89,4)</x:f>
        <x:v>4</x:v>
      </x:c>
      <x:c r="F89" s="12" t="n">
        <x:f>2+MOD(13+2*C89,3)</x:f>
        <x:v>3</x:v>
      </x:c>
      <x:c r="G89" s="12" t="n">
        <x:f>2+MOD(2*13+C89,3)</x:f>
        <x:v>4</x:v>
      </x:c>
      <x:c r="H89" s="12" t="n">
        <x:f>SUM(D89:G89)</x:f>
        <x:v>14</x:v>
      </x:c>
      <x:c r="I89" s="12" t="str">
        <x:v>ML-ITM-A103-01</x:v>
      </x:c>
      <x:c r="J89" s="12" t="str">
        <x:v>reviewed</x:v>
      </x:c>
    </x:row>
    <x:row r="90">
      <x:c r="A90" s="12" t="str">
        <x:v>ML26-S014</x:v>
      </x:c>
      <x:c r="B90" s="12" t="str">
        <x:v>A-103</x:v>
      </x:c>
      <x:c r="C90" s="12" t="n">
        <x:v>3</x:v>
      </x:c>
      <x:c r="D90" s="12" t="n">
        <x:f>3+MOD(14+C90,4)</x:f>
        <x:v>4</x:v>
      </x:c>
      <x:c r="E90" s="12" t="n">
        <x:f>3+MOD(2*14+C90,4)</x:f>
        <x:v>6</x:v>
      </x:c>
      <x:c r="F90" s="12" t="n">
        <x:f>2+MOD(14+2*C90,3)</x:f>
        <x:v>4</x:v>
      </x:c>
      <x:c r="G90" s="12" t="n">
        <x:f>2+MOD(2*14+C90,3)</x:f>
        <x:v>3</x:v>
      </x:c>
      <x:c r="H90" s="12" t="n">
        <x:f>SUM(D90:G90)</x:f>
        <x:v>17</x:v>
      </x:c>
      <x:c r="I90" s="12" t="str">
        <x:v>ML-ITM-A103-02</x:v>
      </x:c>
      <x:c r="J90" s="12" t="str">
        <x:v>reviewed</x:v>
      </x:c>
    </x:row>
    <x:row r="91">
      <x:c r="A91" s="12" t="str">
        <x:v>ML26-S015</x:v>
      </x:c>
      <x:c r="B91" s="12" t="str">
        <x:v>A-103</x:v>
      </x:c>
      <x:c r="C91" s="12" t="n">
        <x:v>3</x:v>
      </x:c>
      <x:c r="D91" s="12" t="n">
        <x:f>3+MOD(15+C91,4)</x:f>
        <x:v>5</x:v>
      </x:c>
      <x:c r="E91" s="12" t="n">
        <x:f>3+MOD(2*15+C91,4)</x:f>
        <x:v>4</x:v>
      </x:c>
      <x:c r="F91" s="12" t="n">
        <x:f>2+MOD(15+2*C91,3)</x:f>
        <x:v>2</x:v>
      </x:c>
      <x:c r="G91" s="12" t="n">
        <x:f>2+MOD(2*15+C91,3)</x:f>
        <x:v>2</x:v>
      </x:c>
      <x:c r="H91" s="12" t="n">
        <x:f>SUM(D91:G91)</x:f>
        <x:v>13</x:v>
      </x:c>
      <x:c r="I91" s="12" t="str">
        <x:v>ML-ITM-A103-01</x:v>
      </x:c>
      <x:c r="J91" s="12" t="str">
        <x:v>reviewed</x:v>
      </x:c>
    </x:row>
    <x:row r="92">
      <x:c r="A92" s="12" t="str">
        <x:v>ML26-S016</x:v>
      </x:c>
      <x:c r="B92" s="12" t="str">
        <x:v>A-103</x:v>
      </x:c>
      <x:c r="C92" s="12" t="n">
        <x:v>3</x:v>
      </x:c>
      <x:c r="D92" s="12" t="n">
        <x:f>3+MOD(16+C92,4)</x:f>
        <x:v>6</x:v>
      </x:c>
      <x:c r="E92" s="12" t="n">
        <x:f>3+MOD(2*16+C92,4)</x:f>
        <x:v>6</x:v>
      </x:c>
      <x:c r="F92" s="12" t="n">
        <x:f>2+MOD(16+2*C92,3)</x:f>
        <x:v>3</x:v>
      </x:c>
      <x:c r="G92" s="12" t="n">
        <x:f>2+MOD(2*16+C92,3)</x:f>
        <x:v>4</x:v>
      </x:c>
      <x:c r="H92" s="12" t="n">
        <x:f>SUM(D92:G92)</x:f>
        <x:v>19</x:v>
      </x:c>
      <x:c r="I92" s="12" t="str">
        <x:v>ML-ITM-A103-02</x:v>
      </x:c>
      <x:c r="J92" s="12" t="str">
        <x:v>reviewed</x:v>
      </x:c>
    </x:row>
    <x:row r="93">
      <x:c r="A93" s="12" t="str">
        <x:v>ML26-S017</x:v>
      </x:c>
      <x:c r="B93" s="12" t="str">
        <x:v>A-103</x:v>
      </x:c>
      <x:c r="C93" s="12" t="n">
        <x:v>3</x:v>
      </x:c>
      <x:c r="D93" s="12" t="n">
        <x:f>3+MOD(17+C93,4)</x:f>
        <x:v>3</x:v>
      </x:c>
      <x:c r="E93" s="12" t="n">
        <x:f>3+MOD(2*17+C93,4)</x:f>
        <x:v>4</x:v>
      </x:c>
      <x:c r="F93" s="12" t="n">
        <x:f>2+MOD(17+2*C93,3)</x:f>
        <x:v>4</x:v>
      </x:c>
      <x:c r="G93" s="12" t="n">
        <x:f>2+MOD(2*17+C93,3)</x:f>
        <x:v>3</x:v>
      </x:c>
      <x:c r="H93" s="12" t="n">
        <x:f>SUM(D93:G93)</x:f>
        <x:v>14</x:v>
      </x:c>
      <x:c r="I93" s="12" t="str">
        <x:v>ML-ITM-A103-01</x:v>
      </x:c>
      <x:c r="J93" s="12" t="str">
        <x:v>reviewed</x:v>
      </x:c>
    </x:row>
    <x:row r="94">
      <x:c r="A94" s="12" t="str">
        <x:v>ML26-S018</x:v>
      </x:c>
      <x:c r="B94" s="12" t="str">
        <x:v>A-103</x:v>
      </x:c>
      <x:c r="C94" s="12" t="n">
        <x:v>3</x:v>
      </x:c>
      <x:c r="D94" s="12" t="n">
        <x:f>3+MOD(18+C94,4)</x:f>
        <x:v>4</x:v>
      </x:c>
      <x:c r="E94" s="12" t="n">
        <x:f>3+MOD(2*18+C94,4)</x:f>
        <x:v>6</x:v>
      </x:c>
      <x:c r="F94" s="12" t="n">
        <x:f>2+MOD(18+2*C94,3)</x:f>
        <x:v>2</x:v>
      </x:c>
      <x:c r="G94" s="12" t="n">
        <x:f>2+MOD(2*18+C94,3)</x:f>
        <x:v>2</x:v>
      </x:c>
      <x:c r="H94" s="12" t="n">
        <x:f>SUM(D94:G94)</x:f>
        <x:v>14</x:v>
      </x:c>
      <x:c r="I94" s="12" t="str">
        <x:v>ML-ITM-A103-02</x:v>
      </x:c>
      <x:c r="J94" s="12" t="str">
        <x:v>reviewed</x:v>
      </x:c>
    </x:row>
    <x:row r="95">
      <x:c r="A95" s="12" t="str">
        <x:v>ML26-S019</x:v>
      </x:c>
      <x:c r="B95" s="12" t="str">
        <x:v>A-103</x:v>
      </x:c>
      <x:c r="C95" s="12" t="n">
        <x:v>3</x:v>
      </x:c>
      <x:c r="D95" s="12" t="n">
        <x:f>3+MOD(19+C95,4)</x:f>
        <x:v>5</x:v>
      </x:c>
      <x:c r="E95" s="12" t="n">
        <x:f>3+MOD(2*19+C95,4)</x:f>
        <x:v>4</x:v>
      </x:c>
      <x:c r="F95" s="12" t="n">
        <x:f>2+MOD(19+2*C95,3)</x:f>
        <x:v>3</x:v>
      </x:c>
      <x:c r="G95" s="12" t="n">
        <x:f>2+MOD(2*19+C95,3)</x:f>
        <x:v>4</x:v>
      </x:c>
      <x:c r="H95" s="12" t="n">
        <x:f>SUM(D95:G95)</x:f>
        <x:v>16</x:v>
      </x:c>
      <x:c r="I95" s="12" t="str">
        <x:v>ML-ITM-A103-01</x:v>
      </x:c>
      <x:c r="J95" s="12" t="str">
        <x:v>reviewed</x:v>
      </x:c>
    </x:row>
    <x:row r="96">
      <x:c r="A96" s="12" t="str">
        <x:v>ML26-S020</x:v>
      </x:c>
      <x:c r="B96" s="12" t="str">
        <x:v>A-103</x:v>
      </x:c>
      <x:c r="C96" s="12" t="n">
        <x:v>3</x:v>
      </x:c>
      <x:c r="D96" s="12" t="n">
        <x:f>3+MOD(20+C96,4)</x:f>
        <x:v>6</x:v>
      </x:c>
      <x:c r="E96" s="12" t="n">
        <x:f>3+MOD(2*20+C96,4)</x:f>
        <x:v>6</x:v>
      </x:c>
      <x:c r="F96" s="12" t="n">
        <x:f>2+MOD(20+2*C96,3)</x:f>
        <x:v>4</x:v>
      </x:c>
      <x:c r="G96" s="12" t="n">
        <x:f>2+MOD(2*20+C96,3)</x:f>
        <x:v>3</x:v>
      </x:c>
      <x:c r="H96" s="12" t="n">
        <x:f>SUM(D96:G96)</x:f>
        <x:v>19</x:v>
      </x:c>
      <x:c r="I96" s="12" t="str">
        <x:v>ML-ITM-A103-02</x:v>
      </x:c>
      <x:c r="J96" s="12" t="str">
        <x:v>reviewed</x:v>
      </x:c>
    </x:row>
    <x:row r="97">
      <x:c r="A97" s="12" t="str">
        <x:v>ML26-S021</x:v>
      </x:c>
      <x:c r="B97" s="12" t="str">
        <x:v>A-103</x:v>
      </x:c>
      <x:c r="C97" s="12" t="n">
        <x:v>3</x:v>
      </x:c>
      <x:c r="D97" s="12" t="n">
        <x:f>3+MOD(21+C97,4)</x:f>
        <x:v>3</x:v>
      </x:c>
      <x:c r="E97" s="12" t="n">
        <x:f>3+MOD(2*21+C97,4)</x:f>
        <x:v>4</x:v>
      </x:c>
      <x:c r="F97" s="12" t="n">
        <x:f>2+MOD(21+2*C97,3)</x:f>
        <x:v>2</x:v>
      </x:c>
      <x:c r="G97" s="12" t="n">
        <x:f>2+MOD(2*21+C97,3)</x:f>
        <x:v>2</x:v>
      </x:c>
      <x:c r="H97" s="12" t="n">
        <x:f>SUM(D97:G97)</x:f>
        <x:v>11</x:v>
      </x:c>
      <x:c r="I97" s="12" t="str">
        <x:v>ML-ITM-A103-01</x:v>
      </x:c>
      <x:c r="J97" s="12" t="str">
        <x:v>reviewed</x:v>
      </x:c>
    </x:row>
    <x:row r="98">
      <x:c r="A98" s="12" t="str">
        <x:v>ML26-S022</x:v>
      </x:c>
      <x:c r="B98" s="12" t="str">
        <x:v>A-103</x:v>
      </x:c>
      <x:c r="C98" s="12" t="n">
        <x:v>3</x:v>
      </x:c>
      <x:c r="D98" s="12" t="n">
        <x:f>3+MOD(22+C98,4)</x:f>
        <x:v>4</x:v>
      </x:c>
      <x:c r="E98" s="12" t="n">
        <x:f>3+MOD(2*22+C98,4)</x:f>
        <x:v>6</x:v>
      </x:c>
      <x:c r="F98" s="12" t="n">
        <x:f>2+MOD(22+2*C98,3)</x:f>
        <x:v>3</x:v>
      </x:c>
      <x:c r="G98" s="12" t="n">
        <x:f>2+MOD(2*22+C98,3)</x:f>
        <x:v>4</x:v>
      </x:c>
      <x:c r="H98" s="12" t="n">
        <x:f>SUM(D98:G98)</x:f>
        <x:v>17</x:v>
      </x:c>
      <x:c r="I98" s="12" t="str">
        <x:v>ML-ITM-A103-02</x:v>
      </x:c>
      <x:c r="J98" s="12" t="str">
        <x:v>reviewed</x:v>
      </x:c>
    </x:row>
    <x:row r="99">
      <x:c r="A99" s="12" t="str">
        <x:v>ML26-S023</x:v>
      </x:c>
      <x:c r="B99" s="12" t="str">
        <x:v>A-103</x:v>
      </x:c>
      <x:c r="C99" s="12" t="n">
        <x:v>3</x:v>
      </x:c>
      <x:c r="D99" s="12" t="n">
        <x:f>3+MOD(23+C99,4)</x:f>
        <x:v>5</x:v>
      </x:c>
      <x:c r="E99" s="12" t="n">
        <x:f>3+MOD(2*23+C99,4)</x:f>
        <x:v>4</x:v>
      </x:c>
      <x:c r="F99" s="12" t="n">
        <x:f>2+MOD(23+2*C99,3)</x:f>
        <x:v>4</x:v>
      </x:c>
      <x:c r="G99" s="12" t="n">
        <x:f>2+MOD(2*23+C99,3)</x:f>
        <x:v>3</x:v>
      </x:c>
      <x:c r="H99" s="12" t="n">
        <x:f>SUM(D99:G99)</x:f>
        <x:v>16</x:v>
      </x:c>
      <x:c r="I99" s="12" t="str">
        <x:v>ML-ITM-A103-01</x:v>
      </x:c>
      <x:c r="J99" s="12" t="str">
        <x:v>reviewed</x:v>
      </x:c>
    </x:row>
    <x:row r="100">
      <x:c r="A100" s="12" t="str">
        <x:v>ML26-S024</x:v>
      </x:c>
      <x:c r="B100" s="12" t="str">
        <x:v>A-103</x:v>
      </x:c>
      <x:c r="C100" s="12" t="n">
        <x:v>3</x:v>
      </x:c>
      <x:c r="D100" s="12" t="n">
        <x:f>3+MOD(24+C100,4)</x:f>
        <x:v>6</x:v>
      </x:c>
      <x:c r="E100" s="12" t="n">
        <x:f>3+MOD(2*24+C100,4)</x:f>
        <x:v>6</x:v>
      </x:c>
      <x:c r="F100" s="12" t="n">
        <x:f>2+MOD(24+2*C100,3)</x:f>
        <x:v>2</x:v>
      </x:c>
      <x:c r="G100" s="12" t="n">
        <x:f>2+MOD(2*24+C100,3)</x:f>
        <x:v>2</x:v>
      </x:c>
      <x:c r="H100" s="12" t="n">
        <x:f>SUM(D100:G100)</x:f>
        <x:v>16</x:v>
      </x:c>
      <x:c r="I100" s="12" t="str">
        <x:v>ML-ITM-A103-02</x:v>
      </x:c>
      <x:c r="J100" s="12" t="str">
        <x:v>reviewed</x:v>
      </x:c>
    </x:row>
    <x:row r="101">
      <x:c r="A101" s="12" t="str">
        <x:v>ML26-S025</x:v>
      </x:c>
      <x:c r="B101" s="12" t="str">
        <x:v>A-103</x:v>
      </x:c>
      <x:c r="C101" s="12" t="n">
        <x:v>3</x:v>
      </x:c>
      <x:c r="D101" s="12" t="n">
        <x:f>3+MOD(25+C101,4)</x:f>
        <x:v>3</x:v>
      </x:c>
      <x:c r="E101" s="12" t="n">
        <x:f>3+MOD(2*25+C101,4)</x:f>
        <x:v>4</x:v>
      </x:c>
      <x:c r="F101" s="12" t="n">
        <x:f>2+MOD(25+2*C101,3)</x:f>
        <x:v>3</x:v>
      </x:c>
      <x:c r="G101" s="12" t="n">
        <x:f>2+MOD(2*25+C101,3)</x:f>
        <x:v>4</x:v>
      </x:c>
      <x:c r="H101" s="12" t="n">
        <x:f>SUM(D101:G101)</x:f>
        <x:v>14</x:v>
      </x:c>
      <x:c r="I101" s="12" t="str">
        <x:v>ML-ITM-A103-01</x:v>
      </x:c>
      <x:c r="J101" s="12" t="str">
        <x:v>reviewed</x:v>
      </x:c>
    </x:row>
    <x:row r="102">
      <x:c r="A102" s="12" t="str">
        <x:v>ML26-S026</x:v>
      </x:c>
      <x:c r="B102" s="12" t="str">
        <x:v>A-103</x:v>
      </x:c>
      <x:c r="C102" s="12" t="n">
        <x:v>3</x:v>
      </x:c>
      <x:c r="D102" s="12" t="n">
        <x:f>3+MOD(26+C102,4)</x:f>
        <x:v>4</x:v>
      </x:c>
      <x:c r="E102" s="12" t="n">
        <x:f>3+MOD(2*26+C102,4)</x:f>
        <x:v>6</x:v>
      </x:c>
      <x:c r="F102" s="12" t="n">
        <x:f>2+MOD(26+2*C102,3)</x:f>
        <x:v>4</x:v>
      </x:c>
      <x:c r="G102" s="12" t="n">
        <x:f>2+MOD(2*26+C102,3)</x:f>
        <x:v>3</x:v>
      </x:c>
      <x:c r="H102" s="12" t="n">
        <x:f>SUM(D102:G102)</x:f>
        <x:v>17</x:v>
      </x:c>
      <x:c r="I102" s="12" t="str">
        <x:v>ML-ITM-A103-02</x:v>
      </x:c>
      <x:c r="J102" s="12" t="str">
        <x:v>reviewed</x:v>
      </x:c>
    </x:row>
    <x:row r="103">
      <x:c r="A103" s="12" t="str">
        <x:v>ML26-S027</x:v>
      </x:c>
      <x:c r="B103" s="12" t="str">
        <x:v>A-103</x:v>
      </x:c>
      <x:c r="C103" s="12" t="n">
        <x:v>3</x:v>
      </x:c>
      <x:c r="D103" s="12" t="n">
        <x:f>3+MOD(27+C103,4)</x:f>
        <x:v>5</x:v>
      </x:c>
      <x:c r="E103" s="12" t="n">
        <x:f>3+MOD(2*27+C103,4)</x:f>
        <x:v>4</x:v>
      </x:c>
      <x:c r="F103" s="12" t="n">
        <x:f>2+MOD(27+2*C103,3)</x:f>
        <x:v>2</x:v>
      </x:c>
      <x:c r="G103" s="12" t="n">
        <x:f>2+MOD(2*27+C103,3)</x:f>
        <x:v>2</x:v>
      </x:c>
      <x:c r="H103" s="12" t="n">
        <x:f>SUM(D103:G103)</x:f>
        <x:v>13</x:v>
      </x:c>
      <x:c r="I103" s="12" t="str">
        <x:v>ML-ITM-A103-01</x:v>
      </x:c>
      <x:c r="J103" s="12" t="str">
        <x:v>reviewed</x:v>
      </x:c>
    </x:row>
    <x:row r="104">
      <x:c r="A104" s="12" t="str">
        <x:v>ML26-S028</x:v>
      </x:c>
      <x:c r="B104" s="12" t="str">
        <x:v>A-103</x:v>
      </x:c>
      <x:c r="C104" s="12" t="n">
        <x:v>3</x:v>
      </x:c>
      <x:c r="D104" s="12" t="n">
        <x:f>3+MOD(28+C104,4)</x:f>
        <x:v>6</x:v>
      </x:c>
      <x:c r="E104" s="12" t="n">
        <x:f>3+MOD(2*28+C104,4)</x:f>
        <x:v>6</x:v>
      </x:c>
      <x:c r="F104" s="12" t="n">
        <x:f>2+MOD(28+2*C104,3)</x:f>
        <x:v>3</x:v>
      </x:c>
      <x:c r="G104" s="12" t="n">
        <x:f>2+MOD(2*28+C104,3)</x:f>
        <x:v>4</x:v>
      </x:c>
      <x:c r="H104" s="12" t="n">
        <x:f>SUM(D104:G104)</x:f>
        <x:v>19</x:v>
      </x:c>
      <x:c r="I104" s="12" t="str">
        <x:v>ML-ITM-A103-02</x:v>
      </x:c>
      <x:c r="J104" s="12" t="str">
        <x:v>reviewed</x:v>
      </x:c>
    </x:row>
    <x:row r="105">
      <x:c r="A105" s="12" t="str">
        <x:v>ML26-S029</x:v>
      </x:c>
      <x:c r="B105" s="12" t="str">
        <x:v>A-103</x:v>
      </x:c>
      <x:c r="C105" s="12" t="n">
        <x:v>3</x:v>
      </x:c>
      <x:c r="D105" s="12" t="n">
        <x:f>3+MOD(29+C105,4)</x:f>
        <x:v>3</x:v>
      </x:c>
      <x:c r="E105" s="12" t="n">
        <x:f>3+MOD(2*29+C105,4)</x:f>
        <x:v>4</x:v>
      </x:c>
      <x:c r="F105" s="12" t="n">
        <x:f>2+MOD(29+2*C105,3)</x:f>
        <x:v>4</x:v>
      </x:c>
      <x:c r="G105" s="12" t="n">
        <x:f>2+MOD(2*29+C105,3)</x:f>
        <x:v>3</x:v>
      </x:c>
      <x:c r="H105" s="12" t="n">
        <x:f>SUM(D105:G105)</x:f>
        <x:v>14</x:v>
      </x:c>
      <x:c r="I105" s="12" t="str">
        <x:v>ML-ITM-A103-01</x:v>
      </x:c>
      <x:c r="J105" s="12" t="str">
        <x:v>reviewed</x:v>
      </x:c>
    </x:row>
    <x:row r="106">
      <x:c r="A106" s="12" t="str">
        <x:v>ML26-S030</x:v>
      </x:c>
      <x:c r="B106" s="12" t="str">
        <x:v>A-103</x:v>
      </x:c>
      <x:c r="C106" s="12" t="n">
        <x:v>3</x:v>
      </x:c>
      <x:c r="D106" s="12" t="n">
        <x:f>3+MOD(30+C106,4)</x:f>
        <x:v>4</x:v>
      </x:c>
      <x:c r="E106" s="12" t="n">
        <x:f>3+MOD(2*30+C106,4)</x:f>
        <x:v>6</x:v>
      </x:c>
      <x:c r="F106" s="12" t="n">
        <x:f>2+MOD(30+2*C106,3)</x:f>
        <x:v>2</x:v>
      </x:c>
      <x:c r="G106" s="12" t="n">
        <x:f>2+MOD(2*30+C106,3)</x:f>
        <x:v>2</x:v>
      </x:c>
      <x:c r="H106" s="12" t="n">
        <x:f>SUM(D106:G106)</x:f>
        <x:v>14</x:v>
      </x:c>
      <x:c r="I106" s="12" t="str">
        <x:v>ML-ITM-A103-02</x:v>
      </x:c>
      <x:c r="J106" s="12" t="str">
        <x:v>reviewed</x:v>
      </x:c>
    </x:row>
    <x:row r="107">
      <x:c r="A107" s="12" t="str">
        <x:v>ML26-S031</x:v>
      </x:c>
      <x:c r="B107" s="12" t="str">
        <x:v>A-103</x:v>
      </x:c>
      <x:c r="C107" s="12" t="n">
        <x:v>3</x:v>
      </x:c>
      <x:c r="D107" s="12" t="n">
        <x:f>3+MOD(31+C107,4)</x:f>
        <x:v>5</x:v>
      </x:c>
      <x:c r="E107" s="12" t="n">
        <x:f>3+MOD(2*31+C107,4)</x:f>
        <x:v>4</x:v>
      </x:c>
      <x:c r="F107" s="12" t="n">
        <x:f>2+MOD(31+2*C107,3)</x:f>
        <x:v>3</x:v>
      </x:c>
      <x:c r="G107" s="12" t="n">
        <x:f>2+MOD(2*31+C107,3)</x:f>
        <x:v>4</x:v>
      </x:c>
      <x:c r="H107" s="12" t="n">
        <x:f>SUM(D107:G107)</x:f>
        <x:v>16</x:v>
      </x:c>
      <x:c r="I107" s="12" t="str">
        <x:v>ML-ITM-A103-01</x:v>
      </x:c>
      <x:c r="J107" s="12" t="str">
        <x:v>reviewed</x:v>
      </x:c>
    </x:row>
    <x:row r="108">
      <x:c r="A108" s="12" t="str">
        <x:v>ML26-S032</x:v>
      </x:c>
      <x:c r="B108" s="12" t="str">
        <x:v>A-103</x:v>
      </x:c>
      <x:c r="C108" s="12" t="n">
        <x:v>3</x:v>
      </x:c>
      <x:c r="D108" s="12" t="n">
        <x:f>3+MOD(32+C108,4)</x:f>
        <x:v>6</x:v>
      </x:c>
      <x:c r="E108" s="12" t="n">
        <x:f>3+MOD(2*32+C108,4)</x:f>
        <x:v>6</x:v>
      </x:c>
      <x:c r="F108" s="12" t="n">
        <x:f>2+MOD(32+2*C108,3)</x:f>
        <x:v>4</x:v>
      </x:c>
      <x:c r="G108" s="12" t="n">
        <x:f>2+MOD(2*32+C108,3)</x:f>
        <x:v>3</x:v>
      </x:c>
      <x:c r="H108" s="12" t="n">
        <x:f>SUM(D108:G108)</x:f>
        <x:v>19</x:v>
      </x:c>
      <x:c r="I108" s="12" t="str">
        <x:v>ML-ITM-A103-02</x:v>
      </x:c>
      <x:c r="J108" s="12" t="str">
        <x:v>reviewed</x:v>
      </x:c>
    </x:row>
    <x:row r="109">
      <x:c r="A109" s="12" t="str">
        <x:v>ML26-S033</x:v>
      </x:c>
      <x:c r="B109" s="12" t="str">
        <x:v>A-103</x:v>
      </x:c>
      <x:c r="C109" s="12" t="n">
        <x:v>3</x:v>
      </x:c>
      <x:c r="D109" s="12" t="n">
        <x:f>3+MOD(33+C109,4)</x:f>
        <x:v>3</x:v>
      </x:c>
      <x:c r="E109" s="12" t="n">
        <x:f>3+MOD(2*33+C109,4)</x:f>
        <x:v>4</x:v>
      </x:c>
      <x:c r="F109" s="12" t="n">
        <x:f>2+MOD(33+2*C109,3)</x:f>
        <x:v>2</x:v>
      </x:c>
      <x:c r="G109" s="12" t="n">
        <x:f>2+MOD(2*33+C109,3)</x:f>
        <x:v>2</x:v>
      </x:c>
      <x:c r="H109" s="12" t="n">
        <x:f>SUM(D109:G109)</x:f>
        <x:v>11</x:v>
      </x:c>
      <x:c r="I109" s="12" t="str">
        <x:v>ML-ITM-A103-01</x:v>
      </x:c>
      <x:c r="J109" s="12" t="str">
        <x:v>reviewed</x:v>
      </x:c>
    </x:row>
    <x:row r="110">
      <x:c r="A110" s="12" t="str">
        <x:v>ML26-S034</x:v>
      </x:c>
      <x:c r="B110" s="12" t="str">
        <x:v>A-103</x:v>
      </x:c>
      <x:c r="C110" s="12" t="n">
        <x:v>3</x:v>
      </x:c>
      <x:c r="D110" s="12" t="n">
        <x:f>3+MOD(34+C110,4)</x:f>
        <x:v>4</x:v>
      </x:c>
      <x:c r="E110" s="12" t="n">
        <x:f>3+MOD(2*34+C110,4)</x:f>
        <x:v>6</x:v>
      </x:c>
      <x:c r="F110" s="12" t="n">
        <x:f>2+MOD(34+2*C110,3)</x:f>
        <x:v>3</x:v>
      </x:c>
      <x:c r="G110" s="12" t="n">
        <x:f>2+MOD(2*34+C110,3)</x:f>
        <x:v>4</x:v>
      </x:c>
      <x:c r="H110" s="12" t="n">
        <x:f>SUM(D110:G110)</x:f>
        <x:v>17</x:v>
      </x:c>
      <x:c r="I110" s="12" t="str">
        <x:v>ML-ITM-A103-02</x:v>
      </x:c>
      <x:c r="J110" s="12" t="str">
        <x:v>reviewed</x:v>
      </x:c>
    </x:row>
    <x:row r="111">
      <x:c r="A111" s="12" t="str">
        <x:v>ML26-S035</x:v>
      </x:c>
      <x:c r="B111" s="12" t="str">
        <x:v>A-103</x:v>
      </x:c>
      <x:c r="C111" s="12" t="n">
        <x:v>3</x:v>
      </x:c>
      <x:c r="D111" s="12" t="n">
        <x:f>3+MOD(35+C111,4)</x:f>
        <x:v>5</x:v>
      </x:c>
      <x:c r="E111" s="12" t="n">
        <x:f>3+MOD(2*35+C111,4)</x:f>
        <x:v>4</x:v>
      </x:c>
      <x:c r="F111" s="12" t="n">
        <x:f>2+MOD(35+2*C111,3)</x:f>
        <x:v>4</x:v>
      </x:c>
      <x:c r="G111" s="12" t="n">
        <x:f>2+MOD(2*35+C111,3)</x:f>
        <x:v>3</x:v>
      </x:c>
      <x:c r="H111" s="12" t="n">
        <x:f>SUM(D111:G111)</x:f>
        <x:v>16</x:v>
      </x:c>
      <x:c r="I111" s="12" t="str">
        <x:v>ML-ITM-A103-01</x:v>
      </x:c>
      <x:c r="J111" s="12" t="str">
        <x:v>reviewed</x:v>
      </x:c>
    </x:row>
    <x:row r="112">
      <x:c r="A112" s="12" t="str">
        <x:v>ML26-S036</x:v>
      </x:c>
      <x:c r="B112" s="12" t="str">
        <x:v>A-103</x:v>
      </x:c>
      <x:c r="C112" s="12" t="n">
        <x:v>3</x:v>
      </x:c>
      <x:c r="D112" s="12" t="n">
        <x:f>3+MOD(36+C112,4)</x:f>
        <x:v>6</x:v>
      </x:c>
      <x:c r="E112" s="12" t="n">
        <x:f>3+MOD(2*36+C112,4)</x:f>
        <x:v>6</x:v>
      </x:c>
      <x:c r="F112" s="12" t="n">
        <x:f>2+MOD(36+2*C112,3)</x:f>
        <x:v>2</x:v>
      </x:c>
      <x:c r="G112" s="12" t="n">
        <x:f>2+MOD(2*36+C112,3)</x:f>
        <x:v>2</x:v>
      </x:c>
      <x:c r="H112" s="12" t="n">
        <x:f>SUM(D112:G112)</x:f>
        <x:v>16</x:v>
      </x:c>
      <x:c r="I112" s="12" t="str">
        <x:v>ML-ITM-A103-02</x:v>
      </x:c>
      <x:c r="J112" s="12" t="str">
        <x:v>reviewed</x:v>
      </x:c>
    </x:row>
  </x:sheetData>
  <x:mergeCells>
    <x:mergeCell ref="A1:H1"/>
    <x:mergeCell ref="A2:H2"/>
  </x:mergeCells>
  <x:pageMargins left="0.7" right="0.7" top="0.75" bottom="0.75" header="0.3" footer="0.3"/>
</x:worksheet>
</file>