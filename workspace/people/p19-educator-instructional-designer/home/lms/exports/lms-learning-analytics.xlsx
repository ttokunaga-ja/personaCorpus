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ce04c40b5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s" sheetId="1" r:id="R03b0f6cada594689"/>
    <x:sheet xmlns:r="http://schemas.openxmlformats.org/officeDocument/2006/relationships" name="Learner Analytics" sheetId="2" r:id="R13364691a023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5c4beeb4e4152" /><Relationship Type="http://schemas.openxmlformats.org/officeDocument/2006/relationships/theme" Target="/xl/theme/theme1.xml" Id="R18c7bb43136f47c1" /><Relationship Type="http://schemas.openxmlformats.org/officeDocument/2006/relationships/sharedStrings" Target="/xl/sharedStrings.xml" Id="Ra5fb53d2884949aa" /><Relationship Type="http://schemas.openxmlformats.org/officeDocument/2006/relationships/worksheet" Target="/xl/worksheets/sheet1.xml" Id="R03b0f6cada594689" /><Relationship Type="http://schemas.openxmlformats.org/officeDocument/2006/relationships/worksheet" Target="/xl/worksheets/sheet2.xml" Id="R13364691a023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1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" t="str">
        <x:v>Learner ID</x:v>
      </x:c>
      <x:c r="B1" s="4" t="str">
        <x:v>Learner N</x:v>
      </x:c>
      <x:c r="C1" s="4" t="str">
        <x:v>Assignment ID</x:v>
      </x:c>
      <x:c r="D1" s="4" t="str">
        <x:v>Assignment Title</x:v>
      </x:c>
      <x:c r="E1" s="4" t="str">
        <x:v>Course</x:v>
      </x:c>
      <x:c r="F1" s="4" t="str">
        <x:v>Ordinal</x:v>
      </x:c>
      <x:c r="G1" s="4" t="str">
        <x:v>Evidence</x:v>
      </x:c>
      <x:c r="H1" s="4" t="str">
        <x:v>Reasoning</x:v>
      </x:c>
      <x:c r="I1" s="4" t="str">
        <x:v>Organization</x:v>
      </x:c>
      <x:c r="J1" s="4" t="str">
        <x:v>Format</x:v>
      </x:c>
      <x:c r="K1" s="4" t="str">
        <x:v>Total</x:v>
      </x:c>
    </x:row>
    <x:row r="2">
      <x:c r="A2" s="5" t="str">
        <x:v>ML26-S001</x:v>
      </x:c>
      <x:c r="B2" s="5" t="n">
        <x:v>1</x:v>
      </x:c>
      <x:c r="C2" s="5" t="str">
        <x:v>A-101</x:v>
      </x:c>
      <x:c r="D2" s="5" t="str">
        <x:v>Evidence Map</x:v>
      </x:c>
      <x:c r="E2" s="5" t="str">
        <x:v>Course Alpha 2026 Term 1</x:v>
      </x:c>
      <x:c r="F2" s="5" t="n">
        <x:v>1</x:v>
      </x:c>
      <x:c r="G2" s="5" t="n">
        <x:f>3+MOD(B2+F2,4)</x:f>
        <x:v>5</x:v>
      </x:c>
      <x:c r="H2" s="5" t="n">
        <x:f>3+MOD(2*B2+F2,4)</x:f>
        <x:v>6</x:v>
      </x:c>
      <x:c r="I2" s="5" t="n">
        <x:f>2+MOD(B2+2*F2,3)</x:f>
        <x:v>2</x:v>
      </x:c>
      <x:c r="J2" s="5" t="n">
        <x:f>2+MOD(2*B2+F2,3)</x:f>
        <x:v>2</x:v>
      </x:c>
      <x:c r="K2" s="5" t="n">
        <x:f>SUM(G2:J2)</x:f>
        <x:v>15</x:v>
      </x:c>
    </x:row>
    <x:row r="3">
      <x:c r="A3" s="5" t="str">
        <x:v>ML26-S001</x:v>
      </x:c>
      <x:c r="B3" s="5" t="n">
        <x:v>1</x:v>
      </x:c>
      <x:c r="C3" s="5" t="str">
        <x:v>A-102</x:v>
      </x:c>
      <x:c r="D3" s="5" t="str">
        <x:v>Source Comparison</x:v>
      </x:c>
      <x:c r="E3" s="5" t="str">
        <x:v>Course Alpha 2026 Term 1</x:v>
      </x:c>
      <x:c r="F3" s="5" t="n">
        <x:v>2</x:v>
      </x:c>
      <x:c r="G3" s="5" t="n">
        <x:f>3+MOD(B3+F3,4)</x:f>
        <x:v>6</x:v>
      </x:c>
      <x:c r="H3" s="5" t="n">
        <x:f>3+MOD(2*B3+F3,4)</x:f>
        <x:v>3</x:v>
      </x:c>
      <x:c r="I3" s="5" t="n">
        <x:f>2+MOD(B3+2*F3,3)</x:f>
        <x:v>4</x:v>
      </x:c>
      <x:c r="J3" s="5" t="n">
        <x:f>2+MOD(2*B3+F3,3)</x:f>
        <x:v>3</x:v>
      </x:c>
      <x:c r="K3" s="5" t="n">
        <x:f>SUM(G3:J3)</x:f>
        <x:v>16</x:v>
      </x:c>
    </x:row>
    <x:row r="4">
      <x:c r="A4" s="5" t="str">
        <x:v>ML26-S001</x:v>
      </x:c>
      <x:c r="B4" s="5" t="n">
        <x:v>1</x:v>
      </x:c>
      <x:c r="C4" s="5" t="str">
        <x:v>A-103</x:v>
      </x:c>
      <x:c r="D4" s="5" t="str">
        <x:v>Claim-Evidence-Reasoning Brief</x:v>
      </x:c>
      <x:c r="E4" s="5" t="str">
        <x:v>Course Alpha 2026 Term 1</x:v>
      </x:c>
      <x:c r="F4" s="5" t="n">
        <x:v>3</x:v>
      </x:c>
      <x:c r="G4" s="5" t="n">
        <x:f>3+MOD(B4+F4,4)</x:f>
        <x:v>3</x:v>
      </x:c>
      <x:c r="H4" s="5" t="n">
        <x:f>3+MOD(2*B4+F4,4)</x:f>
        <x:v>4</x:v>
      </x:c>
      <x:c r="I4" s="5" t="n">
        <x:f>2+MOD(B4+2*F4,3)</x:f>
        <x:v>3</x:v>
      </x:c>
      <x:c r="J4" s="5" t="n">
        <x:f>2+MOD(2*B4+F4,3)</x:f>
        <x:v>4</x:v>
      </x:c>
      <x:c r="K4" s="5" t="n">
        <x:f>SUM(G4:J4)</x:f>
        <x:v>14</x:v>
      </x:c>
    </x:row>
    <x:row r="5">
      <x:c r="A5" s="5" t="str">
        <x:v>ML26-S001</x:v>
      </x:c>
      <x:c r="B5" s="5" t="n">
        <x:v>1</x:v>
      </x:c>
      <x:c r="C5" s="5" t="str">
        <x:v>B-201</x:v>
      </x:c>
      <x:c r="D5" s="5" t="str">
        <x:v>Scenario Map</x:v>
      </x:c>
      <x:c r="E5" s="5" t="str">
        <x:v>Course Beta 2026 Term 2</x:v>
      </x:c>
      <x:c r="F5" s="5" t="n">
        <x:v>4</x:v>
      </x:c>
      <x:c r="G5" s="5" t="n">
        <x:f>3+MOD(B5+F5,4)</x:f>
        <x:v>4</x:v>
      </x:c>
      <x:c r="H5" s="5" t="n">
        <x:f>3+MOD(2*B5+F5,4)</x:f>
        <x:v>5</x:v>
      </x:c>
      <x:c r="I5" s="5" t="n">
        <x:f>2+MOD(B5+2*F5,3)</x:f>
        <x:v>2</x:v>
      </x:c>
      <x:c r="J5" s="5" t="n">
        <x:f>2+MOD(2*B5+F5,3)</x:f>
        <x:v>2</x:v>
      </x:c>
      <x:c r="K5" s="5" t="n">
        <x:f>SUM(G5:J5)</x:f>
        <x:v>13</x:v>
      </x:c>
    </x:row>
    <x:row r="6">
      <x:c r="A6" s="5" t="str">
        <x:v>ML26-S001</x:v>
      </x:c>
      <x:c r="B6" s="5" t="n">
        <x:v>1</x:v>
      </x:c>
      <x:c r="C6" s="5" t="str">
        <x:v>B-202</x:v>
      </x:c>
      <x:c r="D6" s="5" t="str">
        <x:v>Model Test</x:v>
      </x:c>
      <x:c r="E6" s="5" t="str">
        <x:v>Course Beta 2026 Term 2</x:v>
      </x:c>
      <x:c r="F6" s="5" t="n">
        <x:v>5</x:v>
      </x:c>
      <x:c r="G6" s="5" t="n">
        <x:f>3+MOD(B6+F6,4)</x:f>
        <x:v>5</x:v>
      </x:c>
      <x:c r="H6" s="5" t="n">
        <x:f>3+MOD(2*B6+F6,4)</x:f>
        <x:v>6</x:v>
      </x:c>
      <x:c r="I6" s="5" t="n">
        <x:f>2+MOD(B6+2*F6,3)</x:f>
        <x:v>4</x:v>
      </x:c>
      <x:c r="J6" s="5" t="n">
        <x:f>2+MOD(2*B6+F6,3)</x:f>
        <x:v>3</x:v>
      </x:c>
      <x:c r="K6" s="5" t="n">
        <x:f>SUM(G6:J6)</x:f>
        <x:v>18</x:v>
      </x:c>
    </x:row>
    <x:row r="7">
      <x:c r="A7" s="5" t="str">
        <x:v>ML26-S001</x:v>
      </x:c>
      <x:c r="B7" s="5" t="n">
        <x:v>1</x:v>
      </x:c>
      <x:c r="C7" s="5" t="str">
        <x:v>B-203</x:v>
      </x:c>
      <x:c r="D7" s="5" t="str">
        <x:v>Design Critique</x:v>
      </x:c>
      <x:c r="E7" s="5" t="str">
        <x:v>Course Beta 2026 Term 2</x:v>
      </x:c>
      <x:c r="F7" s="5" t="n">
        <x:v>6</x:v>
      </x:c>
      <x:c r="G7" s="5" t="n">
        <x:f>3+MOD(B7+F7,4)</x:f>
        <x:v>6</x:v>
      </x:c>
      <x:c r="H7" s="5" t="n">
        <x:f>3+MOD(2*B7+F7,4)</x:f>
        <x:v>3</x:v>
      </x:c>
      <x:c r="I7" s="5" t="n">
        <x:f>2+MOD(B7+2*F7,3)</x:f>
        <x:v>3</x:v>
      </x:c>
      <x:c r="J7" s="5" t="n">
        <x:f>2+MOD(2*B7+F7,3)</x:f>
        <x:v>4</x:v>
      </x:c>
      <x:c r="K7" s="5" t="n">
        <x:f>SUM(G7:J7)</x:f>
        <x:v>16</x:v>
      </x:c>
    </x:row>
    <x:row r="8">
      <x:c r="A8" s="5" t="str">
        <x:v>ML26-S002</x:v>
      </x:c>
      <x:c r="B8" s="5" t="n">
        <x:v>2</x:v>
      </x:c>
      <x:c r="C8" s="5" t="str">
        <x:v>A-101</x:v>
      </x:c>
      <x:c r="D8" s="5" t="str">
        <x:v>Evidence Map</x:v>
      </x:c>
      <x:c r="E8" s="5" t="str">
        <x:v>Course Alpha 2026 Term 1</x:v>
      </x:c>
      <x:c r="F8" s="5" t="n">
        <x:v>1</x:v>
      </x:c>
      <x:c r="G8" s="5" t="n">
        <x:f>3+MOD(B8+F8,4)</x:f>
        <x:v>6</x:v>
      </x:c>
      <x:c r="H8" s="5" t="n">
        <x:f>3+MOD(2*B8+F8,4)</x:f>
        <x:v>4</x:v>
      </x:c>
      <x:c r="I8" s="5" t="n">
        <x:f>2+MOD(B8+2*F8,3)</x:f>
        <x:v>3</x:v>
      </x:c>
      <x:c r="J8" s="5" t="n">
        <x:f>2+MOD(2*B8+F8,3)</x:f>
        <x:v>4</x:v>
      </x:c>
      <x:c r="K8" s="5" t="n">
        <x:f>SUM(G8:J8)</x:f>
        <x:v>17</x:v>
      </x:c>
    </x:row>
    <x:row r="9">
      <x:c r="A9" s="5" t="str">
        <x:v>ML26-S002</x:v>
      </x:c>
      <x:c r="B9" s="5" t="n">
        <x:v>2</x:v>
      </x:c>
      <x:c r="C9" s="5" t="str">
        <x:v>A-102</x:v>
      </x:c>
      <x:c r="D9" s="5" t="str">
        <x:v>Source Comparison</x:v>
      </x:c>
      <x:c r="E9" s="5" t="str">
        <x:v>Course Alpha 2026 Term 1</x:v>
      </x:c>
      <x:c r="F9" s="5" t="n">
        <x:v>2</x:v>
      </x:c>
      <x:c r="G9" s="5" t="n">
        <x:f>3+MOD(B9+F9,4)</x:f>
        <x:v>3</x:v>
      </x:c>
      <x:c r="H9" s="5" t="n">
        <x:f>3+MOD(2*B9+F9,4)</x:f>
        <x:v>5</x:v>
      </x:c>
      <x:c r="I9" s="5" t="n">
        <x:f>2+MOD(B9+2*F9,3)</x:f>
        <x:v>2</x:v>
      </x:c>
      <x:c r="J9" s="5" t="n">
        <x:f>2+MOD(2*B9+F9,3)</x:f>
        <x:v>2</x:v>
      </x:c>
      <x:c r="K9" s="5" t="n">
        <x:f>SUM(G9:J9)</x:f>
        <x:v>12</x:v>
      </x:c>
    </x:row>
    <x:row r="10">
      <x:c r="A10" s="5" t="str">
        <x:v>ML26-S002</x:v>
      </x:c>
      <x:c r="B10" s="5" t="n">
        <x:v>2</x:v>
      </x:c>
      <x:c r="C10" s="5" t="str">
        <x:v>A-103</x:v>
      </x:c>
      <x:c r="D10" s="5" t="str">
        <x:v>Claim-Evidence-Reasoning Brief</x:v>
      </x:c>
      <x:c r="E10" s="5" t="str">
        <x:v>Course Alpha 2026 Term 1</x:v>
      </x:c>
      <x:c r="F10" s="5" t="n">
        <x:v>3</x:v>
      </x:c>
      <x:c r="G10" s="5" t="n">
        <x:f>3+MOD(B10+F10,4)</x:f>
        <x:v>4</x:v>
      </x:c>
      <x:c r="H10" s="5" t="n">
        <x:f>3+MOD(2*B10+F10,4)</x:f>
        <x:v>6</x:v>
      </x:c>
      <x:c r="I10" s="5" t="n">
        <x:f>2+MOD(B10+2*F10,3)</x:f>
        <x:v>4</x:v>
      </x:c>
      <x:c r="J10" s="5" t="n">
        <x:f>2+MOD(2*B10+F10,3)</x:f>
        <x:v>3</x:v>
      </x:c>
      <x:c r="K10" s="5" t="n">
        <x:f>SUM(G10:J10)</x:f>
        <x:v>17</x:v>
      </x:c>
    </x:row>
    <x:row r="11">
      <x:c r="A11" s="5" t="str">
        <x:v>ML26-S002</x:v>
      </x:c>
      <x:c r="B11" s="5" t="n">
        <x:v>2</x:v>
      </x:c>
      <x:c r="C11" s="5" t="str">
        <x:v>B-201</x:v>
      </x:c>
      <x:c r="D11" s="5" t="str">
        <x:v>Scenario Map</x:v>
      </x:c>
      <x:c r="E11" s="5" t="str">
        <x:v>Course Beta 2026 Term 2</x:v>
      </x:c>
      <x:c r="F11" s="5" t="n">
        <x:v>4</x:v>
      </x:c>
      <x:c r="G11" s="5" t="n">
        <x:f>3+MOD(B11+F11,4)</x:f>
        <x:v>5</x:v>
      </x:c>
      <x:c r="H11" s="5" t="n">
        <x:f>3+MOD(2*B11+F11,4)</x:f>
        <x:v>3</x:v>
      </x:c>
      <x:c r="I11" s="5" t="n">
        <x:f>2+MOD(B11+2*F11,3)</x:f>
        <x:v>3</x:v>
      </x:c>
      <x:c r="J11" s="5" t="n">
        <x:f>2+MOD(2*B11+F11,3)</x:f>
        <x:v>4</x:v>
      </x:c>
      <x:c r="K11" s="5" t="n">
        <x:f>SUM(G11:J11)</x:f>
        <x:v>15</x:v>
      </x:c>
    </x:row>
    <x:row r="12">
      <x:c r="A12" s="5" t="str">
        <x:v>ML26-S002</x:v>
      </x:c>
      <x:c r="B12" s="5" t="n">
        <x:v>2</x:v>
      </x:c>
      <x:c r="C12" s="5" t="str">
        <x:v>B-202</x:v>
      </x:c>
      <x:c r="D12" s="5" t="str">
        <x:v>Model Test</x:v>
      </x:c>
      <x:c r="E12" s="5" t="str">
        <x:v>Course Beta 2026 Term 2</x:v>
      </x:c>
      <x:c r="F12" s="5" t="n">
        <x:v>5</x:v>
      </x:c>
      <x:c r="G12" s="5" t="n">
        <x:f>3+MOD(B12+F12,4)</x:f>
        <x:v>6</x:v>
      </x:c>
      <x:c r="H12" s="5" t="n">
        <x:f>3+MOD(2*B12+F12,4)</x:f>
        <x:v>4</x:v>
      </x:c>
      <x:c r="I12" s="5" t="n">
        <x:f>2+MOD(B12+2*F12,3)</x:f>
        <x:v>2</x:v>
      </x:c>
      <x:c r="J12" s="5" t="n">
        <x:f>2+MOD(2*B12+F12,3)</x:f>
        <x:v>2</x:v>
      </x:c>
      <x:c r="K12" s="5" t="n">
        <x:f>SUM(G12:J12)</x:f>
        <x:v>14</x:v>
      </x:c>
    </x:row>
    <x:row r="13">
      <x:c r="A13" s="5" t="str">
        <x:v>ML26-S002</x:v>
      </x:c>
      <x:c r="B13" s="5" t="n">
        <x:v>2</x:v>
      </x:c>
      <x:c r="C13" s="5" t="str">
        <x:v>B-203</x:v>
      </x:c>
      <x:c r="D13" s="5" t="str">
        <x:v>Design Critique</x:v>
      </x:c>
      <x:c r="E13" s="5" t="str">
        <x:v>Course Beta 2026 Term 2</x:v>
      </x:c>
      <x:c r="F13" s="5" t="n">
        <x:v>6</x:v>
      </x:c>
      <x:c r="G13" s="5" t="n">
        <x:f>3+MOD(B13+F13,4)</x:f>
        <x:v>3</x:v>
      </x:c>
      <x:c r="H13" s="5" t="n">
        <x:f>3+MOD(2*B13+F13,4)</x:f>
        <x:v>5</x:v>
      </x:c>
      <x:c r="I13" s="5" t="n">
        <x:f>2+MOD(B13+2*F13,3)</x:f>
        <x:v>4</x:v>
      </x:c>
      <x:c r="J13" s="5" t="n">
        <x:f>2+MOD(2*B13+F13,3)</x:f>
        <x:v>3</x:v>
      </x:c>
      <x:c r="K13" s="5" t="n">
        <x:f>SUM(G13:J13)</x:f>
        <x:v>15</x:v>
      </x:c>
    </x:row>
    <x:row r="14">
      <x:c r="A14" s="5" t="str">
        <x:v>ML26-S003</x:v>
      </x:c>
      <x:c r="B14" s="5" t="n">
        <x:v>3</x:v>
      </x:c>
      <x:c r="C14" s="5" t="str">
        <x:v>A-101</x:v>
      </x:c>
      <x:c r="D14" s="5" t="str">
        <x:v>Evidence Map</x:v>
      </x:c>
      <x:c r="E14" s="5" t="str">
        <x:v>Course Alpha 2026 Term 1</x:v>
      </x:c>
      <x:c r="F14" s="5" t="n">
        <x:v>1</x:v>
      </x:c>
      <x:c r="G14" s="5" t="n">
        <x:f>3+MOD(B14+F14,4)</x:f>
        <x:v>3</x:v>
      </x:c>
      <x:c r="H14" s="5" t="n">
        <x:f>3+MOD(2*B14+F14,4)</x:f>
        <x:v>6</x:v>
      </x:c>
      <x:c r="I14" s="5" t="n">
        <x:f>2+MOD(B14+2*F14,3)</x:f>
        <x:v>4</x:v>
      </x:c>
      <x:c r="J14" s="5" t="n">
        <x:f>2+MOD(2*B14+F14,3)</x:f>
        <x:v>3</x:v>
      </x:c>
      <x:c r="K14" s="5" t="n">
        <x:f>SUM(G14:J14)</x:f>
        <x:v>16</x:v>
      </x:c>
    </x:row>
    <x:row r="15">
      <x:c r="A15" s="5" t="str">
        <x:v>ML26-S003</x:v>
      </x:c>
      <x:c r="B15" s="5" t="n">
        <x:v>3</x:v>
      </x:c>
      <x:c r="C15" s="5" t="str">
        <x:v>A-102</x:v>
      </x:c>
      <x:c r="D15" s="5" t="str">
        <x:v>Source Comparison</x:v>
      </x:c>
      <x:c r="E15" s="5" t="str">
        <x:v>Course Alpha 2026 Term 1</x:v>
      </x:c>
      <x:c r="F15" s="5" t="n">
        <x:v>2</x:v>
      </x:c>
      <x:c r="G15" s="5" t="n">
        <x:f>3+MOD(B15+F15,4)</x:f>
        <x:v>4</x:v>
      </x:c>
      <x:c r="H15" s="5" t="n">
        <x:f>3+MOD(2*B15+F15,4)</x:f>
        <x:v>3</x:v>
      </x:c>
      <x:c r="I15" s="5" t="n">
        <x:f>2+MOD(B15+2*F15,3)</x:f>
        <x:v>3</x:v>
      </x:c>
      <x:c r="J15" s="5" t="n">
        <x:f>2+MOD(2*B15+F15,3)</x:f>
        <x:v>4</x:v>
      </x:c>
      <x:c r="K15" s="5" t="n">
        <x:f>SUM(G15:J15)</x:f>
        <x:v>14</x:v>
      </x:c>
    </x:row>
    <x:row r="16">
      <x:c r="A16" s="5" t="str">
        <x:v>ML26-S003</x:v>
      </x:c>
      <x:c r="B16" s="5" t="n">
        <x:v>3</x:v>
      </x:c>
      <x:c r="C16" s="5" t="str">
        <x:v>A-103</x:v>
      </x:c>
      <x:c r="D16" s="5" t="str">
        <x:v>Claim-Evidence-Reasoning Brief</x:v>
      </x:c>
      <x:c r="E16" s="5" t="str">
        <x:v>Course Alpha 2026 Term 1</x:v>
      </x:c>
      <x:c r="F16" s="5" t="n">
        <x:v>3</x:v>
      </x:c>
      <x:c r="G16" s="5" t="n">
        <x:f>3+MOD(B16+F16,4)</x:f>
        <x:v>5</x:v>
      </x:c>
      <x:c r="H16" s="5" t="n">
        <x:f>3+MOD(2*B16+F16,4)</x:f>
        <x:v>4</x:v>
      </x:c>
      <x:c r="I16" s="5" t="n">
        <x:f>2+MOD(B16+2*F16,3)</x:f>
        <x:v>2</x:v>
      </x:c>
      <x:c r="J16" s="5" t="n">
        <x:f>2+MOD(2*B16+F16,3)</x:f>
        <x:v>2</x:v>
      </x:c>
      <x:c r="K16" s="5" t="n">
        <x:f>SUM(G16:J16)</x:f>
        <x:v>13</x:v>
      </x:c>
    </x:row>
    <x:row r="17">
      <x:c r="A17" s="5" t="str">
        <x:v>ML26-S003</x:v>
      </x:c>
      <x:c r="B17" s="5" t="n">
        <x:v>3</x:v>
      </x:c>
      <x:c r="C17" s="5" t="str">
        <x:v>B-201</x:v>
      </x:c>
      <x:c r="D17" s="5" t="str">
        <x:v>Scenario Map</x:v>
      </x:c>
      <x:c r="E17" s="5" t="str">
        <x:v>Course Beta 2026 Term 2</x:v>
      </x:c>
      <x:c r="F17" s="5" t="n">
        <x:v>4</x:v>
      </x:c>
      <x:c r="G17" s="5" t="n">
        <x:f>3+MOD(B17+F17,4)</x:f>
        <x:v>6</x:v>
      </x:c>
      <x:c r="H17" s="5" t="n">
        <x:f>3+MOD(2*B17+F17,4)</x:f>
        <x:v>5</x:v>
      </x:c>
      <x:c r="I17" s="5" t="n">
        <x:f>2+MOD(B17+2*F17,3)</x:f>
        <x:v>4</x:v>
      </x:c>
      <x:c r="J17" s="5" t="n">
        <x:f>2+MOD(2*B17+F17,3)</x:f>
        <x:v>3</x:v>
      </x:c>
      <x:c r="K17" s="5" t="n">
        <x:f>SUM(G17:J17)</x:f>
        <x:v>18</x:v>
      </x:c>
    </x:row>
    <x:row r="18">
      <x:c r="A18" s="5" t="str">
        <x:v>ML26-S003</x:v>
      </x:c>
      <x:c r="B18" s="5" t="n">
        <x:v>3</x:v>
      </x:c>
      <x:c r="C18" s="5" t="str">
        <x:v>B-202</x:v>
      </x:c>
      <x:c r="D18" s="5" t="str">
        <x:v>Model Test</x:v>
      </x:c>
      <x:c r="E18" s="5" t="str">
        <x:v>Course Beta 2026 Term 2</x:v>
      </x:c>
      <x:c r="F18" s="5" t="n">
        <x:v>5</x:v>
      </x:c>
      <x:c r="G18" s="5" t="n">
        <x:f>3+MOD(B18+F18,4)</x:f>
        <x:v>3</x:v>
      </x:c>
      <x:c r="H18" s="5" t="n">
        <x:f>3+MOD(2*B18+F18,4)</x:f>
        <x:v>6</x:v>
      </x:c>
      <x:c r="I18" s="5" t="n">
        <x:f>2+MOD(B18+2*F18,3)</x:f>
        <x:v>3</x:v>
      </x:c>
      <x:c r="J18" s="5" t="n">
        <x:f>2+MOD(2*B18+F18,3)</x:f>
        <x:v>4</x:v>
      </x:c>
      <x:c r="K18" s="5" t="n">
        <x:f>SUM(G18:J18)</x:f>
        <x:v>16</x:v>
      </x:c>
    </x:row>
    <x:row r="19">
      <x:c r="A19" s="5" t="str">
        <x:v>ML26-S003</x:v>
      </x:c>
      <x:c r="B19" s="5" t="n">
        <x:v>3</x:v>
      </x:c>
      <x:c r="C19" s="5" t="str">
        <x:v>B-203</x:v>
      </x:c>
      <x:c r="D19" s="5" t="str">
        <x:v>Design Critique</x:v>
      </x:c>
      <x:c r="E19" s="5" t="str">
        <x:v>Course Beta 2026 Term 2</x:v>
      </x:c>
      <x:c r="F19" s="5" t="n">
        <x:v>6</x:v>
      </x:c>
      <x:c r="G19" s="5" t="n">
        <x:f>3+MOD(B19+F19,4)</x:f>
        <x:v>4</x:v>
      </x:c>
      <x:c r="H19" s="5" t="n">
        <x:f>3+MOD(2*B19+F19,4)</x:f>
        <x:v>3</x:v>
      </x:c>
      <x:c r="I19" s="5" t="n">
        <x:f>2+MOD(B19+2*F19,3)</x:f>
        <x:v>2</x:v>
      </x:c>
      <x:c r="J19" s="5" t="n">
        <x:f>2+MOD(2*B19+F19,3)</x:f>
        <x:v>2</x:v>
      </x:c>
      <x:c r="K19" s="5" t="n">
        <x:f>SUM(G19:J19)</x:f>
        <x:v>11</x:v>
      </x:c>
    </x:row>
    <x:row r="20">
      <x:c r="A20" s="5" t="str">
        <x:v>ML26-S004</x:v>
      </x:c>
      <x:c r="B20" s="5" t="n">
        <x:v>4</x:v>
      </x:c>
      <x:c r="C20" s="5" t="str">
        <x:v>A-101</x:v>
      </x:c>
      <x:c r="D20" s="5" t="str">
        <x:v>Evidence Map</x:v>
      </x:c>
      <x:c r="E20" s="5" t="str">
        <x:v>Course Alpha 2026 Term 1</x:v>
      </x:c>
      <x:c r="F20" s="5" t="n">
        <x:v>1</x:v>
      </x:c>
      <x:c r="G20" s="5" t="n">
        <x:f>3+MOD(B20+F20,4)</x:f>
        <x:v>4</x:v>
      </x:c>
      <x:c r="H20" s="5" t="n">
        <x:f>3+MOD(2*B20+F20,4)</x:f>
        <x:v>4</x:v>
      </x:c>
      <x:c r="I20" s="5" t="n">
        <x:f>2+MOD(B20+2*F20,3)</x:f>
        <x:v>2</x:v>
      </x:c>
      <x:c r="J20" s="5" t="n">
        <x:f>2+MOD(2*B20+F20,3)</x:f>
        <x:v>2</x:v>
      </x:c>
      <x:c r="K20" s="5" t="n">
        <x:f>SUM(G20:J20)</x:f>
        <x:v>12</x:v>
      </x:c>
    </x:row>
    <x:row r="21">
      <x:c r="A21" s="5" t="str">
        <x:v>ML26-S004</x:v>
      </x:c>
      <x:c r="B21" s="5" t="n">
        <x:v>4</x:v>
      </x:c>
      <x:c r="C21" s="5" t="str">
        <x:v>A-102</x:v>
      </x:c>
      <x:c r="D21" s="5" t="str">
        <x:v>Source Comparison</x:v>
      </x:c>
      <x:c r="E21" s="5" t="str">
        <x:v>Course Alpha 2026 Term 1</x:v>
      </x:c>
      <x:c r="F21" s="5" t="n">
        <x:v>2</x:v>
      </x:c>
      <x:c r="G21" s="5" t="n">
        <x:f>3+MOD(B21+F21,4)</x:f>
        <x:v>5</x:v>
      </x:c>
      <x:c r="H21" s="5" t="n">
        <x:f>3+MOD(2*B21+F21,4)</x:f>
        <x:v>5</x:v>
      </x:c>
      <x:c r="I21" s="5" t="n">
        <x:f>2+MOD(B21+2*F21,3)</x:f>
        <x:v>4</x:v>
      </x:c>
      <x:c r="J21" s="5" t="n">
        <x:f>2+MOD(2*B21+F21,3)</x:f>
        <x:v>3</x:v>
      </x:c>
      <x:c r="K21" s="5" t="n">
        <x:f>SUM(G21:J21)</x:f>
        <x:v>17</x:v>
      </x:c>
    </x:row>
    <x:row r="22">
      <x:c r="A22" s="5" t="str">
        <x:v>ML26-S004</x:v>
      </x:c>
      <x:c r="B22" s="5" t="n">
        <x:v>4</x:v>
      </x:c>
      <x:c r="C22" s="5" t="str">
        <x:v>A-103</x:v>
      </x:c>
      <x:c r="D22" s="5" t="str">
        <x:v>Claim-Evidence-Reasoning Brief</x:v>
      </x:c>
      <x:c r="E22" s="5" t="str">
        <x:v>Course Alpha 2026 Term 1</x:v>
      </x:c>
      <x:c r="F22" s="5" t="n">
        <x:v>3</x:v>
      </x:c>
      <x:c r="G22" s="5" t="n">
        <x:f>3+MOD(B22+F22,4)</x:f>
        <x:v>6</x:v>
      </x:c>
      <x:c r="H22" s="5" t="n">
        <x:f>3+MOD(2*B22+F22,4)</x:f>
        <x:v>6</x:v>
      </x:c>
      <x:c r="I22" s="5" t="n">
        <x:f>2+MOD(B22+2*F22,3)</x:f>
        <x:v>3</x:v>
      </x:c>
      <x:c r="J22" s="5" t="n">
        <x:f>2+MOD(2*B22+F22,3)</x:f>
        <x:v>4</x:v>
      </x:c>
      <x:c r="K22" s="5" t="n">
        <x:f>SUM(G22:J22)</x:f>
        <x:v>19</x:v>
      </x:c>
    </x:row>
    <x:row r="23">
      <x:c r="A23" s="5" t="str">
        <x:v>ML26-S004</x:v>
      </x:c>
      <x:c r="B23" s="5" t="n">
        <x:v>4</x:v>
      </x:c>
      <x:c r="C23" s="5" t="str">
        <x:v>B-201</x:v>
      </x:c>
      <x:c r="D23" s="5" t="str">
        <x:v>Scenario Map</x:v>
      </x:c>
      <x:c r="E23" s="5" t="str">
        <x:v>Course Beta 2026 Term 2</x:v>
      </x:c>
      <x:c r="F23" s="5" t="n">
        <x:v>4</x:v>
      </x:c>
      <x:c r="G23" s="5" t="n">
        <x:f>3+MOD(B23+F23,4)</x:f>
        <x:v>3</x:v>
      </x:c>
      <x:c r="H23" s="5" t="n">
        <x:f>3+MOD(2*B23+F23,4)</x:f>
        <x:v>3</x:v>
      </x:c>
      <x:c r="I23" s="5" t="n">
        <x:f>2+MOD(B23+2*F23,3)</x:f>
        <x:v>2</x:v>
      </x:c>
      <x:c r="J23" s="5" t="n">
        <x:f>2+MOD(2*B23+F23,3)</x:f>
        <x:v>2</x:v>
      </x:c>
      <x:c r="K23" s="5" t="n">
        <x:f>SUM(G23:J23)</x:f>
        <x:v>10</x:v>
      </x:c>
    </x:row>
    <x:row r="24">
      <x:c r="A24" s="5" t="str">
        <x:v>ML26-S004</x:v>
      </x:c>
      <x:c r="B24" s="5" t="n">
        <x:v>4</x:v>
      </x:c>
      <x:c r="C24" s="5" t="str">
        <x:v>B-202</x:v>
      </x:c>
      <x:c r="D24" s="5" t="str">
        <x:v>Model Test</x:v>
      </x:c>
      <x:c r="E24" s="5" t="str">
        <x:v>Course Beta 2026 Term 2</x:v>
      </x:c>
      <x:c r="F24" s="5" t="n">
        <x:v>5</x:v>
      </x:c>
      <x:c r="G24" s="5" t="n">
        <x:f>3+MOD(B24+F24,4)</x:f>
        <x:v>4</x:v>
      </x:c>
      <x:c r="H24" s="5" t="n">
        <x:f>3+MOD(2*B24+F24,4)</x:f>
        <x:v>4</x:v>
      </x:c>
      <x:c r="I24" s="5" t="n">
        <x:f>2+MOD(B24+2*F24,3)</x:f>
        <x:v>4</x:v>
      </x:c>
      <x:c r="J24" s="5" t="n">
        <x:f>2+MOD(2*B24+F24,3)</x:f>
        <x:v>3</x:v>
      </x:c>
      <x:c r="K24" s="5" t="n">
        <x:f>SUM(G24:J24)</x:f>
        <x:v>15</x:v>
      </x:c>
    </x:row>
    <x:row r="25">
      <x:c r="A25" s="5" t="str">
        <x:v>ML26-S004</x:v>
      </x:c>
      <x:c r="B25" s="5" t="n">
        <x:v>4</x:v>
      </x:c>
      <x:c r="C25" s="5" t="str">
        <x:v>B-203</x:v>
      </x:c>
      <x:c r="D25" s="5" t="str">
        <x:v>Design Critique</x:v>
      </x:c>
      <x:c r="E25" s="5" t="str">
        <x:v>Course Beta 2026 Term 2</x:v>
      </x:c>
      <x:c r="F25" s="5" t="n">
        <x:v>6</x:v>
      </x:c>
      <x:c r="G25" s="5" t="n">
        <x:f>3+MOD(B25+F25,4)</x:f>
        <x:v>5</x:v>
      </x:c>
      <x:c r="H25" s="5" t="n">
        <x:f>3+MOD(2*B25+F25,4)</x:f>
        <x:v>5</x:v>
      </x:c>
      <x:c r="I25" s="5" t="n">
        <x:f>2+MOD(B25+2*F25,3)</x:f>
        <x:v>3</x:v>
      </x:c>
      <x:c r="J25" s="5" t="n">
        <x:f>2+MOD(2*B25+F25,3)</x:f>
        <x:v>4</x:v>
      </x:c>
      <x:c r="K25" s="5" t="n">
        <x:f>SUM(G25:J25)</x:f>
        <x:v>17</x:v>
      </x:c>
    </x:row>
    <x:row r="26">
      <x:c r="A26" s="5" t="str">
        <x:v>ML26-S005</x:v>
      </x:c>
      <x:c r="B26" s="5" t="n">
        <x:v>5</x:v>
      </x:c>
      <x:c r="C26" s="5" t="str">
        <x:v>A-101</x:v>
      </x:c>
      <x:c r="D26" s="5" t="str">
        <x:v>Evidence Map</x:v>
      </x:c>
      <x:c r="E26" s="5" t="str">
        <x:v>Course Alpha 2026 Term 1</x:v>
      </x:c>
      <x:c r="F26" s="5" t="n">
        <x:v>1</x:v>
      </x:c>
      <x:c r="G26" s="5" t="n">
        <x:f>3+MOD(B26+F26,4)</x:f>
        <x:v>5</x:v>
      </x:c>
      <x:c r="H26" s="5" t="n">
        <x:f>3+MOD(2*B26+F26,4)</x:f>
        <x:v>6</x:v>
      </x:c>
      <x:c r="I26" s="5" t="n">
        <x:f>2+MOD(B26+2*F26,3)</x:f>
        <x:v>3</x:v>
      </x:c>
      <x:c r="J26" s="5" t="n">
        <x:f>2+MOD(2*B26+F26,3)</x:f>
        <x:v>4</x:v>
      </x:c>
      <x:c r="K26" s="5" t="n">
        <x:f>SUM(G26:J26)</x:f>
        <x:v>18</x:v>
      </x:c>
    </x:row>
    <x:row r="27">
      <x:c r="A27" s="5" t="str">
        <x:v>ML26-S005</x:v>
      </x:c>
      <x:c r="B27" s="5" t="n">
        <x:v>5</x:v>
      </x:c>
      <x:c r="C27" s="5" t="str">
        <x:v>A-102</x:v>
      </x:c>
      <x:c r="D27" s="5" t="str">
        <x:v>Source Comparison</x:v>
      </x:c>
      <x:c r="E27" s="5" t="str">
        <x:v>Course Alpha 2026 Term 1</x:v>
      </x:c>
      <x:c r="F27" s="5" t="n">
        <x:v>2</x:v>
      </x:c>
      <x:c r="G27" s="5" t="n">
        <x:f>3+MOD(B27+F27,4)</x:f>
        <x:v>6</x:v>
      </x:c>
      <x:c r="H27" s="5" t="n">
        <x:f>3+MOD(2*B27+F27,4)</x:f>
        <x:v>3</x:v>
      </x:c>
      <x:c r="I27" s="5" t="n">
        <x:f>2+MOD(B27+2*F27,3)</x:f>
        <x:v>2</x:v>
      </x:c>
      <x:c r="J27" s="5" t="n">
        <x:f>2+MOD(2*B27+F27,3)</x:f>
        <x:v>2</x:v>
      </x:c>
      <x:c r="K27" s="5" t="n">
        <x:f>SUM(G27:J27)</x:f>
        <x:v>13</x:v>
      </x:c>
    </x:row>
    <x:row r="28">
      <x:c r="A28" s="5" t="str">
        <x:v>ML26-S005</x:v>
      </x:c>
      <x:c r="B28" s="5" t="n">
        <x:v>5</x:v>
      </x:c>
      <x:c r="C28" s="5" t="str">
        <x:v>A-103</x:v>
      </x:c>
      <x:c r="D28" s="5" t="str">
        <x:v>Claim-Evidence-Reasoning Brief</x:v>
      </x:c>
      <x:c r="E28" s="5" t="str">
        <x:v>Course Alpha 2026 Term 1</x:v>
      </x:c>
      <x:c r="F28" s="5" t="n">
        <x:v>3</x:v>
      </x:c>
      <x:c r="G28" s="5" t="n">
        <x:f>3+MOD(B28+F28,4)</x:f>
        <x:v>3</x:v>
      </x:c>
      <x:c r="H28" s="5" t="n">
        <x:f>3+MOD(2*B28+F28,4)</x:f>
        <x:v>4</x:v>
      </x:c>
      <x:c r="I28" s="5" t="n">
        <x:f>2+MOD(B28+2*F28,3)</x:f>
        <x:v>4</x:v>
      </x:c>
      <x:c r="J28" s="5" t="n">
        <x:f>2+MOD(2*B28+F28,3)</x:f>
        <x:v>3</x:v>
      </x:c>
      <x:c r="K28" s="5" t="n">
        <x:f>SUM(G28:J28)</x:f>
        <x:v>14</x:v>
      </x:c>
    </x:row>
    <x:row r="29">
      <x:c r="A29" s="5" t="str">
        <x:v>ML26-S005</x:v>
      </x:c>
      <x:c r="B29" s="5" t="n">
        <x:v>5</x:v>
      </x:c>
      <x:c r="C29" s="5" t="str">
        <x:v>B-201</x:v>
      </x:c>
      <x:c r="D29" s="5" t="str">
        <x:v>Scenario Map</x:v>
      </x:c>
      <x:c r="E29" s="5" t="str">
        <x:v>Course Beta 2026 Term 2</x:v>
      </x:c>
      <x:c r="F29" s="5" t="n">
        <x:v>4</x:v>
      </x:c>
      <x:c r="G29" s="5" t="n">
        <x:f>3+MOD(B29+F29,4)</x:f>
        <x:v>4</x:v>
      </x:c>
      <x:c r="H29" s="5" t="n">
        <x:f>3+MOD(2*B29+F29,4)</x:f>
        <x:v>5</x:v>
      </x:c>
      <x:c r="I29" s="5" t="n">
        <x:f>2+MOD(B29+2*F29,3)</x:f>
        <x:v>3</x:v>
      </x:c>
      <x:c r="J29" s="5" t="n">
        <x:f>2+MOD(2*B29+F29,3)</x:f>
        <x:v>4</x:v>
      </x:c>
      <x:c r="K29" s="5" t="n">
        <x:f>SUM(G29:J29)</x:f>
        <x:v>16</x:v>
      </x:c>
    </x:row>
    <x:row r="30">
      <x:c r="A30" s="5" t="str">
        <x:v>ML26-S005</x:v>
      </x:c>
      <x:c r="B30" s="5" t="n">
        <x:v>5</x:v>
      </x:c>
      <x:c r="C30" s="5" t="str">
        <x:v>B-202</x:v>
      </x:c>
      <x:c r="D30" s="5" t="str">
        <x:v>Model Test</x:v>
      </x:c>
      <x:c r="E30" s="5" t="str">
        <x:v>Course Beta 2026 Term 2</x:v>
      </x:c>
      <x:c r="F30" s="5" t="n">
        <x:v>5</x:v>
      </x:c>
      <x:c r="G30" s="5" t="n">
        <x:f>3+MOD(B30+F30,4)</x:f>
        <x:v>5</x:v>
      </x:c>
      <x:c r="H30" s="5" t="n">
        <x:f>3+MOD(2*B30+F30,4)</x:f>
        <x:v>6</x:v>
      </x:c>
      <x:c r="I30" s="5" t="n">
        <x:f>2+MOD(B30+2*F30,3)</x:f>
        <x:v>2</x:v>
      </x:c>
      <x:c r="J30" s="5" t="n">
        <x:f>2+MOD(2*B30+F30,3)</x:f>
        <x:v>2</x:v>
      </x:c>
      <x:c r="K30" s="5" t="n">
        <x:f>SUM(G30:J30)</x:f>
        <x:v>15</x:v>
      </x:c>
    </x:row>
    <x:row r="31">
      <x:c r="A31" s="5" t="str">
        <x:v>ML26-S005</x:v>
      </x:c>
      <x:c r="B31" s="5" t="n">
        <x:v>5</x:v>
      </x:c>
      <x:c r="C31" s="5" t="str">
        <x:v>B-203</x:v>
      </x:c>
      <x:c r="D31" s="5" t="str">
        <x:v>Design Critique</x:v>
      </x:c>
      <x:c r="E31" s="5" t="str">
        <x:v>Course Beta 2026 Term 2</x:v>
      </x:c>
      <x:c r="F31" s="5" t="n">
        <x:v>6</x:v>
      </x:c>
      <x:c r="G31" s="5" t="n">
        <x:f>3+MOD(B31+F31,4)</x:f>
        <x:v>6</x:v>
      </x:c>
      <x:c r="H31" s="5" t="n">
        <x:f>3+MOD(2*B31+F31,4)</x:f>
        <x:v>3</x:v>
      </x:c>
      <x:c r="I31" s="5" t="n">
        <x:f>2+MOD(B31+2*F31,3)</x:f>
        <x:v>4</x:v>
      </x:c>
      <x:c r="J31" s="5" t="n">
        <x:f>2+MOD(2*B31+F31,3)</x:f>
        <x:v>3</x:v>
      </x:c>
      <x:c r="K31" s="5" t="n">
        <x:f>SUM(G31:J31)</x:f>
        <x:v>16</x:v>
      </x:c>
    </x:row>
    <x:row r="32">
      <x:c r="A32" s="5" t="str">
        <x:v>ML26-S006</x:v>
      </x:c>
      <x:c r="B32" s="5" t="n">
        <x:v>6</x:v>
      </x:c>
      <x:c r="C32" s="5" t="str">
        <x:v>A-101</x:v>
      </x:c>
      <x:c r="D32" s="5" t="str">
        <x:v>Evidence Map</x:v>
      </x:c>
      <x:c r="E32" s="5" t="str">
        <x:v>Course Alpha 2026 Term 1</x:v>
      </x:c>
      <x:c r="F32" s="5" t="n">
        <x:v>1</x:v>
      </x:c>
      <x:c r="G32" s="5" t="n">
        <x:f>3+MOD(B32+F32,4)</x:f>
        <x:v>6</x:v>
      </x:c>
      <x:c r="H32" s="5" t="n">
        <x:f>3+MOD(2*B32+F32,4)</x:f>
        <x:v>4</x:v>
      </x:c>
      <x:c r="I32" s="5" t="n">
        <x:f>2+MOD(B32+2*F32,3)</x:f>
        <x:v>4</x:v>
      </x:c>
      <x:c r="J32" s="5" t="n">
        <x:f>2+MOD(2*B32+F32,3)</x:f>
        <x:v>3</x:v>
      </x:c>
      <x:c r="K32" s="5" t="n">
        <x:f>SUM(G32:J32)</x:f>
        <x:v>17</x:v>
      </x:c>
    </x:row>
    <x:row r="33">
      <x:c r="A33" s="5" t="str">
        <x:v>ML26-S006</x:v>
      </x:c>
      <x:c r="B33" s="5" t="n">
        <x:v>6</x:v>
      </x:c>
      <x:c r="C33" s="5" t="str">
        <x:v>A-102</x:v>
      </x:c>
      <x:c r="D33" s="5" t="str">
        <x:v>Source Comparison</x:v>
      </x:c>
      <x:c r="E33" s="5" t="str">
        <x:v>Course Alpha 2026 Term 1</x:v>
      </x:c>
      <x:c r="F33" s="5" t="n">
        <x:v>2</x:v>
      </x:c>
      <x:c r="G33" s="5" t="n">
        <x:f>3+MOD(B33+F33,4)</x:f>
        <x:v>3</x:v>
      </x:c>
      <x:c r="H33" s="5" t="n">
        <x:f>3+MOD(2*B33+F33,4)</x:f>
        <x:v>5</x:v>
      </x:c>
      <x:c r="I33" s="5" t="n">
        <x:f>2+MOD(B33+2*F33,3)</x:f>
        <x:v>3</x:v>
      </x:c>
      <x:c r="J33" s="5" t="n">
        <x:f>2+MOD(2*B33+F33,3)</x:f>
        <x:v>4</x:v>
      </x:c>
      <x:c r="K33" s="5" t="n">
        <x:f>SUM(G33:J33)</x:f>
        <x:v>15</x:v>
      </x:c>
    </x:row>
    <x:row r="34">
      <x:c r="A34" s="5" t="str">
        <x:v>ML26-S006</x:v>
      </x:c>
      <x:c r="B34" s="5" t="n">
        <x:v>6</x:v>
      </x:c>
      <x:c r="C34" s="5" t="str">
        <x:v>A-103</x:v>
      </x:c>
      <x:c r="D34" s="5" t="str">
        <x:v>Claim-Evidence-Reasoning Brief</x:v>
      </x:c>
      <x:c r="E34" s="5" t="str">
        <x:v>Course Alpha 2026 Term 1</x:v>
      </x:c>
      <x:c r="F34" s="5" t="n">
        <x:v>3</x:v>
      </x:c>
      <x:c r="G34" s="5" t="n">
        <x:f>3+MOD(B34+F34,4)</x:f>
        <x:v>4</x:v>
      </x:c>
      <x:c r="H34" s="5" t="n">
        <x:f>3+MOD(2*B34+F34,4)</x:f>
        <x:v>6</x:v>
      </x:c>
      <x:c r="I34" s="5" t="n">
        <x:f>2+MOD(B34+2*F34,3)</x:f>
        <x:v>2</x:v>
      </x:c>
      <x:c r="J34" s="5" t="n">
        <x:f>2+MOD(2*B34+F34,3)</x:f>
        <x:v>2</x:v>
      </x:c>
      <x:c r="K34" s="5" t="n">
        <x:f>SUM(G34:J34)</x:f>
        <x:v>14</x:v>
      </x:c>
    </x:row>
    <x:row r="35">
      <x:c r="A35" s="5" t="str">
        <x:v>ML26-S006</x:v>
      </x:c>
      <x:c r="B35" s="5" t="n">
        <x:v>6</x:v>
      </x:c>
      <x:c r="C35" s="5" t="str">
        <x:v>B-201</x:v>
      </x:c>
      <x:c r="D35" s="5" t="str">
        <x:v>Scenario Map</x:v>
      </x:c>
      <x:c r="E35" s="5" t="str">
        <x:v>Course Beta 2026 Term 2</x:v>
      </x:c>
      <x:c r="F35" s="5" t="n">
        <x:v>4</x:v>
      </x:c>
      <x:c r="G35" s="5" t="n">
        <x:f>3+MOD(B35+F35,4)</x:f>
        <x:v>5</x:v>
      </x:c>
      <x:c r="H35" s="5" t="n">
        <x:f>3+MOD(2*B35+F35,4)</x:f>
        <x:v>3</x:v>
      </x:c>
      <x:c r="I35" s="5" t="n">
        <x:f>2+MOD(B35+2*F35,3)</x:f>
        <x:v>4</x:v>
      </x:c>
      <x:c r="J35" s="5" t="n">
        <x:f>2+MOD(2*B35+F35,3)</x:f>
        <x:v>3</x:v>
      </x:c>
      <x:c r="K35" s="5" t="n">
        <x:f>SUM(G35:J35)</x:f>
        <x:v>15</x:v>
      </x:c>
    </x:row>
    <x:row r="36">
      <x:c r="A36" s="5" t="str">
        <x:v>ML26-S006</x:v>
      </x:c>
      <x:c r="B36" s="5" t="n">
        <x:v>6</x:v>
      </x:c>
      <x:c r="C36" s="5" t="str">
        <x:v>B-202</x:v>
      </x:c>
      <x:c r="D36" s="5" t="str">
        <x:v>Model Test</x:v>
      </x:c>
      <x:c r="E36" s="5" t="str">
        <x:v>Course Beta 2026 Term 2</x:v>
      </x:c>
      <x:c r="F36" s="5" t="n">
        <x:v>5</x:v>
      </x:c>
      <x:c r="G36" s="5" t="n">
        <x:f>3+MOD(B36+F36,4)</x:f>
        <x:v>6</x:v>
      </x:c>
      <x:c r="H36" s="5" t="n">
        <x:f>3+MOD(2*B36+F36,4)</x:f>
        <x:v>4</x:v>
      </x:c>
      <x:c r="I36" s="5" t="n">
        <x:f>2+MOD(B36+2*F36,3)</x:f>
        <x:v>3</x:v>
      </x:c>
      <x:c r="J36" s="5" t="n">
        <x:f>2+MOD(2*B36+F36,3)</x:f>
        <x:v>4</x:v>
      </x:c>
      <x:c r="K36" s="5" t="n">
        <x:f>SUM(G36:J36)</x:f>
        <x:v>17</x:v>
      </x:c>
    </x:row>
    <x:row r="37">
      <x:c r="A37" s="5" t="str">
        <x:v>ML26-S006</x:v>
      </x:c>
      <x:c r="B37" s="5" t="n">
        <x:v>6</x:v>
      </x:c>
      <x:c r="C37" s="5" t="str">
        <x:v>B-203</x:v>
      </x:c>
      <x:c r="D37" s="5" t="str">
        <x:v>Design Critique</x:v>
      </x:c>
      <x:c r="E37" s="5" t="str">
        <x:v>Course Beta 2026 Term 2</x:v>
      </x:c>
      <x:c r="F37" s="5" t="n">
        <x:v>6</x:v>
      </x:c>
      <x:c r="G37" s="5" t="n">
        <x:f>3+MOD(B37+F37,4)</x:f>
        <x:v>3</x:v>
      </x:c>
      <x:c r="H37" s="5" t="n">
        <x:f>3+MOD(2*B37+F37,4)</x:f>
        <x:v>5</x:v>
      </x:c>
      <x:c r="I37" s="5" t="n">
        <x:f>2+MOD(B37+2*F37,3)</x:f>
        <x:v>2</x:v>
      </x:c>
      <x:c r="J37" s="5" t="n">
        <x:f>2+MOD(2*B37+F37,3)</x:f>
        <x:v>2</x:v>
      </x:c>
      <x:c r="K37" s="5" t="n">
        <x:f>SUM(G37:J37)</x:f>
        <x:v>12</x:v>
      </x:c>
    </x:row>
    <x:row r="38">
      <x:c r="A38" s="5" t="str">
        <x:v>ML26-S007</x:v>
      </x:c>
      <x:c r="B38" s="5" t="n">
        <x:v>7</x:v>
      </x:c>
      <x:c r="C38" s="5" t="str">
        <x:v>A-101</x:v>
      </x:c>
      <x:c r="D38" s="5" t="str">
        <x:v>Evidence Map</x:v>
      </x:c>
      <x:c r="E38" s="5" t="str">
        <x:v>Course Alpha 2026 Term 1</x:v>
      </x:c>
      <x:c r="F38" s="5" t="n">
        <x:v>1</x:v>
      </x:c>
      <x:c r="G38" s="5" t="n">
        <x:f>3+MOD(B38+F38,4)</x:f>
        <x:v>3</x:v>
      </x:c>
      <x:c r="H38" s="5" t="n">
        <x:f>3+MOD(2*B38+F38,4)</x:f>
        <x:v>6</x:v>
      </x:c>
      <x:c r="I38" s="5" t="n">
        <x:f>2+MOD(B38+2*F38,3)</x:f>
        <x:v>2</x:v>
      </x:c>
      <x:c r="J38" s="5" t="n">
        <x:f>2+MOD(2*B38+F38,3)</x:f>
        <x:v>2</x:v>
      </x:c>
      <x:c r="K38" s="5" t="n">
        <x:f>SUM(G38:J38)</x:f>
        <x:v>13</x:v>
      </x:c>
    </x:row>
    <x:row r="39">
      <x:c r="A39" s="5" t="str">
        <x:v>ML26-S007</x:v>
      </x:c>
      <x:c r="B39" s="5" t="n">
        <x:v>7</x:v>
      </x:c>
      <x:c r="C39" s="5" t="str">
        <x:v>A-102</x:v>
      </x:c>
      <x:c r="D39" s="5" t="str">
        <x:v>Source Comparison</x:v>
      </x:c>
      <x:c r="E39" s="5" t="str">
        <x:v>Course Alpha 2026 Term 1</x:v>
      </x:c>
      <x:c r="F39" s="5" t="n">
        <x:v>2</x:v>
      </x:c>
      <x:c r="G39" s="5" t="n">
        <x:f>3+MOD(B39+F39,4)</x:f>
        <x:v>4</x:v>
      </x:c>
      <x:c r="H39" s="5" t="n">
        <x:f>3+MOD(2*B39+F39,4)</x:f>
        <x:v>3</x:v>
      </x:c>
      <x:c r="I39" s="5" t="n">
        <x:f>2+MOD(B39+2*F39,3)</x:f>
        <x:v>4</x:v>
      </x:c>
      <x:c r="J39" s="5" t="n">
        <x:f>2+MOD(2*B39+F39,3)</x:f>
        <x:v>3</x:v>
      </x:c>
      <x:c r="K39" s="5" t="n">
        <x:f>SUM(G39:J39)</x:f>
        <x:v>14</x:v>
      </x:c>
    </x:row>
    <x:row r="40">
      <x:c r="A40" s="5" t="str">
        <x:v>ML26-S007</x:v>
      </x:c>
      <x:c r="B40" s="5" t="n">
        <x:v>7</x:v>
      </x:c>
      <x:c r="C40" s="5" t="str">
        <x:v>A-103</x:v>
      </x:c>
      <x:c r="D40" s="5" t="str">
        <x:v>Claim-Evidence-Reasoning Brief</x:v>
      </x:c>
      <x:c r="E40" s="5" t="str">
        <x:v>Course Alpha 2026 Term 1</x:v>
      </x:c>
      <x:c r="F40" s="5" t="n">
        <x:v>3</x:v>
      </x:c>
      <x:c r="G40" s="5" t="n">
        <x:f>3+MOD(B40+F40,4)</x:f>
        <x:v>5</x:v>
      </x:c>
      <x:c r="H40" s="5" t="n">
        <x:f>3+MOD(2*B40+F40,4)</x:f>
        <x:v>4</x:v>
      </x:c>
      <x:c r="I40" s="5" t="n">
        <x:f>2+MOD(B40+2*F40,3)</x:f>
        <x:v>3</x:v>
      </x:c>
      <x:c r="J40" s="5" t="n">
        <x:f>2+MOD(2*B40+F40,3)</x:f>
        <x:v>4</x:v>
      </x:c>
      <x:c r="K40" s="5" t="n">
        <x:f>SUM(G40:J40)</x:f>
        <x:v>16</x:v>
      </x:c>
    </x:row>
    <x:row r="41">
      <x:c r="A41" s="5" t="str">
        <x:v>ML26-S007</x:v>
      </x:c>
      <x:c r="B41" s="5" t="n">
        <x:v>7</x:v>
      </x:c>
      <x:c r="C41" s="5" t="str">
        <x:v>B-201</x:v>
      </x:c>
      <x:c r="D41" s="5" t="str">
        <x:v>Scenario Map</x:v>
      </x:c>
      <x:c r="E41" s="5" t="str">
        <x:v>Course Beta 2026 Term 2</x:v>
      </x:c>
      <x:c r="F41" s="5" t="n">
        <x:v>4</x:v>
      </x:c>
      <x:c r="G41" s="5" t="n">
        <x:f>3+MOD(B41+F41,4)</x:f>
        <x:v>6</x:v>
      </x:c>
      <x:c r="H41" s="5" t="n">
        <x:f>3+MOD(2*B41+F41,4)</x:f>
        <x:v>5</x:v>
      </x:c>
      <x:c r="I41" s="5" t="n">
        <x:f>2+MOD(B41+2*F41,3)</x:f>
        <x:v>2</x:v>
      </x:c>
      <x:c r="J41" s="5" t="n">
        <x:f>2+MOD(2*B41+F41,3)</x:f>
        <x:v>2</x:v>
      </x:c>
      <x:c r="K41" s="5" t="n">
        <x:f>SUM(G41:J41)</x:f>
        <x:v>15</x:v>
      </x:c>
    </x:row>
    <x:row r="42">
      <x:c r="A42" s="5" t="str">
        <x:v>ML26-S007</x:v>
      </x:c>
      <x:c r="B42" s="5" t="n">
        <x:v>7</x:v>
      </x:c>
      <x:c r="C42" s="5" t="str">
        <x:v>B-202</x:v>
      </x:c>
      <x:c r="D42" s="5" t="str">
        <x:v>Model Test</x:v>
      </x:c>
      <x:c r="E42" s="5" t="str">
        <x:v>Course Beta 2026 Term 2</x:v>
      </x:c>
      <x:c r="F42" s="5" t="n">
        <x:v>5</x:v>
      </x:c>
      <x:c r="G42" s="5" t="n">
        <x:f>3+MOD(B42+F42,4)</x:f>
        <x:v>3</x:v>
      </x:c>
      <x:c r="H42" s="5" t="n">
        <x:f>3+MOD(2*B42+F42,4)</x:f>
        <x:v>6</x:v>
      </x:c>
      <x:c r="I42" s="5" t="n">
        <x:f>2+MOD(B42+2*F42,3)</x:f>
        <x:v>4</x:v>
      </x:c>
      <x:c r="J42" s="5" t="n">
        <x:f>2+MOD(2*B42+F42,3)</x:f>
        <x:v>3</x:v>
      </x:c>
      <x:c r="K42" s="5" t="n">
        <x:f>SUM(G42:J42)</x:f>
        <x:v>16</x:v>
      </x:c>
    </x:row>
    <x:row r="43">
      <x:c r="A43" s="5" t="str">
        <x:v>ML26-S007</x:v>
      </x:c>
      <x:c r="B43" s="5" t="n">
        <x:v>7</x:v>
      </x:c>
      <x:c r="C43" s="5" t="str">
        <x:v>B-203</x:v>
      </x:c>
      <x:c r="D43" s="5" t="str">
        <x:v>Design Critique</x:v>
      </x:c>
      <x:c r="E43" s="5" t="str">
        <x:v>Course Beta 2026 Term 2</x:v>
      </x:c>
      <x:c r="F43" s="5" t="n">
        <x:v>6</x:v>
      </x:c>
      <x:c r="G43" s="5" t="n">
        <x:f>3+MOD(B43+F43,4)</x:f>
        <x:v>4</x:v>
      </x:c>
      <x:c r="H43" s="5" t="n">
        <x:f>3+MOD(2*B43+F43,4)</x:f>
        <x:v>3</x:v>
      </x:c>
      <x:c r="I43" s="5" t="n">
        <x:f>2+MOD(B43+2*F43,3)</x:f>
        <x:v>3</x:v>
      </x:c>
      <x:c r="J43" s="5" t="n">
        <x:f>2+MOD(2*B43+F43,3)</x:f>
        <x:v>4</x:v>
      </x:c>
      <x:c r="K43" s="5" t="n">
        <x:f>SUM(G43:J43)</x:f>
        <x:v>14</x:v>
      </x:c>
    </x:row>
    <x:row r="44">
      <x:c r="A44" s="5" t="str">
        <x:v>ML26-S008</x:v>
      </x:c>
      <x:c r="B44" s="5" t="n">
        <x:v>8</x:v>
      </x:c>
      <x:c r="C44" s="5" t="str">
        <x:v>A-101</x:v>
      </x:c>
      <x:c r="D44" s="5" t="str">
        <x:v>Evidence Map</x:v>
      </x:c>
      <x:c r="E44" s="5" t="str">
        <x:v>Course Alpha 2026 Term 1</x:v>
      </x:c>
      <x:c r="F44" s="5" t="n">
        <x:v>1</x:v>
      </x:c>
      <x:c r="G44" s="5" t="n">
        <x:f>3+MOD(B44+F44,4)</x:f>
        <x:v>4</x:v>
      </x:c>
      <x:c r="H44" s="5" t="n">
        <x:f>3+MOD(2*B44+F44,4)</x:f>
        <x:v>4</x:v>
      </x:c>
      <x:c r="I44" s="5" t="n">
        <x:f>2+MOD(B44+2*F44,3)</x:f>
        <x:v>3</x:v>
      </x:c>
      <x:c r="J44" s="5" t="n">
        <x:f>2+MOD(2*B44+F44,3)</x:f>
        <x:v>4</x:v>
      </x:c>
      <x:c r="K44" s="5" t="n">
        <x:f>SUM(G44:J44)</x:f>
        <x:v>15</x:v>
      </x:c>
    </x:row>
    <x:row r="45">
      <x:c r="A45" s="5" t="str">
        <x:v>ML26-S008</x:v>
      </x:c>
      <x:c r="B45" s="5" t="n">
        <x:v>8</x:v>
      </x:c>
      <x:c r="C45" s="5" t="str">
        <x:v>A-102</x:v>
      </x:c>
      <x:c r="D45" s="5" t="str">
        <x:v>Source Comparison</x:v>
      </x:c>
      <x:c r="E45" s="5" t="str">
        <x:v>Course Alpha 2026 Term 1</x:v>
      </x:c>
      <x:c r="F45" s="5" t="n">
        <x:v>2</x:v>
      </x:c>
      <x:c r="G45" s="5" t="n">
        <x:f>3+MOD(B45+F45,4)</x:f>
        <x:v>5</x:v>
      </x:c>
      <x:c r="H45" s="5" t="n">
        <x:f>3+MOD(2*B45+F45,4)</x:f>
        <x:v>5</x:v>
      </x:c>
      <x:c r="I45" s="5" t="n">
        <x:f>2+MOD(B45+2*F45,3)</x:f>
        <x:v>2</x:v>
      </x:c>
      <x:c r="J45" s="5" t="n">
        <x:f>2+MOD(2*B45+F45,3)</x:f>
        <x:v>2</x:v>
      </x:c>
      <x:c r="K45" s="5" t="n">
        <x:f>SUM(G45:J45)</x:f>
        <x:v>14</x:v>
      </x:c>
    </x:row>
    <x:row r="46">
      <x:c r="A46" s="5" t="str">
        <x:v>ML26-S008</x:v>
      </x:c>
      <x:c r="B46" s="5" t="n">
        <x:v>8</x:v>
      </x:c>
      <x:c r="C46" s="5" t="str">
        <x:v>A-103</x:v>
      </x:c>
      <x:c r="D46" s="5" t="str">
        <x:v>Claim-Evidence-Reasoning Brief</x:v>
      </x:c>
      <x:c r="E46" s="5" t="str">
        <x:v>Course Alpha 2026 Term 1</x:v>
      </x:c>
      <x:c r="F46" s="5" t="n">
        <x:v>3</x:v>
      </x:c>
      <x:c r="G46" s="5" t="n">
        <x:f>3+MOD(B46+F46,4)</x:f>
        <x:v>6</x:v>
      </x:c>
      <x:c r="H46" s="5" t="n">
        <x:f>3+MOD(2*B46+F46,4)</x:f>
        <x:v>6</x:v>
      </x:c>
      <x:c r="I46" s="5" t="n">
        <x:f>2+MOD(B46+2*F46,3)</x:f>
        <x:v>4</x:v>
      </x:c>
      <x:c r="J46" s="5" t="n">
        <x:f>2+MOD(2*B46+F46,3)</x:f>
        <x:v>3</x:v>
      </x:c>
      <x:c r="K46" s="5" t="n">
        <x:f>SUM(G46:J46)</x:f>
        <x:v>19</x:v>
      </x:c>
    </x:row>
    <x:row r="47">
      <x:c r="A47" s="5" t="str">
        <x:v>ML26-S008</x:v>
      </x:c>
      <x:c r="B47" s="5" t="n">
        <x:v>8</x:v>
      </x:c>
      <x:c r="C47" s="5" t="str">
        <x:v>B-201</x:v>
      </x:c>
      <x:c r="D47" s="5" t="str">
        <x:v>Scenario Map</x:v>
      </x:c>
      <x:c r="E47" s="5" t="str">
        <x:v>Course Beta 2026 Term 2</x:v>
      </x:c>
      <x:c r="F47" s="5" t="n">
        <x:v>4</x:v>
      </x:c>
      <x:c r="G47" s="5" t="n">
        <x:f>3+MOD(B47+F47,4)</x:f>
        <x:v>3</x:v>
      </x:c>
      <x:c r="H47" s="5" t="n">
        <x:f>3+MOD(2*B47+F47,4)</x:f>
        <x:v>3</x:v>
      </x:c>
      <x:c r="I47" s="5" t="n">
        <x:f>2+MOD(B47+2*F47,3)</x:f>
        <x:v>3</x:v>
      </x:c>
      <x:c r="J47" s="5" t="n">
        <x:f>2+MOD(2*B47+F47,3)</x:f>
        <x:v>4</x:v>
      </x:c>
      <x:c r="K47" s="5" t="n">
        <x:f>SUM(G47:J47)</x:f>
        <x:v>13</x:v>
      </x:c>
    </x:row>
    <x:row r="48">
      <x:c r="A48" s="5" t="str">
        <x:v>ML26-S008</x:v>
      </x:c>
      <x:c r="B48" s="5" t="n">
        <x:v>8</x:v>
      </x:c>
      <x:c r="C48" s="5" t="str">
        <x:v>B-202</x:v>
      </x:c>
      <x:c r="D48" s="5" t="str">
        <x:v>Model Test</x:v>
      </x:c>
      <x:c r="E48" s="5" t="str">
        <x:v>Course Beta 2026 Term 2</x:v>
      </x:c>
      <x:c r="F48" s="5" t="n">
        <x:v>5</x:v>
      </x:c>
      <x:c r="G48" s="5" t="n">
        <x:f>3+MOD(B48+F48,4)</x:f>
        <x:v>4</x:v>
      </x:c>
      <x:c r="H48" s="5" t="n">
        <x:f>3+MOD(2*B48+F48,4)</x:f>
        <x:v>4</x:v>
      </x:c>
      <x:c r="I48" s="5" t="n">
        <x:f>2+MOD(B48+2*F48,3)</x:f>
        <x:v>2</x:v>
      </x:c>
      <x:c r="J48" s="5" t="n">
        <x:f>2+MOD(2*B48+F48,3)</x:f>
        <x:v>2</x:v>
      </x:c>
      <x:c r="K48" s="5" t="n">
        <x:f>SUM(G48:J48)</x:f>
        <x:v>12</x:v>
      </x:c>
    </x:row>
    <x:row r="49">
      <x:c r="A49" s="5" t="str">
        <x:v>ML26-S008</x:v>
      </x:c>
      <x:c r="B49" s="5" t="n">
        <x:v>8</x:v>
      </x:c>
      <x:c r="C49" s="5" t="str">
        <x:v>B-203</x:v>
      </x:c>
      <x:c r="D49" s="5" t="str">
        <x:v>Design Critique</x:v>
      </x:c>
      <x:c r="E49" s="5" t="str">
        <x:v>Course Beta 2026 Term 2</x:v>
      </x:c>
      <x:c r="F49" s="5" t="n">
        <x:v>6</x:v>
      </x:c>
      <x:c r="G49" s="5" t="n">
        <x:f>3+MOD(B49+F49,4)</x:f>
        <x:v>5</x:v>
      </x:c>
      <x:c r="H49" s="5" t="n">
        <x:f>3+MOD(2*B49+F49,4)</x:f>
        <x:v>5</x:v>
      </x:c>
      <x:c r="I49" s="5" t="n">
        <x:f>2+MOD(B49+2*F49,3)</x:f>
        <x:v>4</x:v>
      </x:c>
      <x:c r="J49" s="5" t="n">
        <x:f>2+MOD(2*B49+F49,3)</x:f>
        <x:v>3</x:v>
      </x:c>
      <x:c r="K49" s="5" t="n">
        <x:f>SUM(G49:J49)</x:f>
        <x:v>17</x:v>
      </x:c>
    </x:row>
    <x:row r="50">
      <x:c r="A50" s="5" t="str">
        <x:v>ML26-S009</x:v>
      </x:c>
      <x:c r="B50" s="5" t="n">
        <x:v>9</x:v>
      </x:c>
      <x:c r="C50" s="5" t="str">
        <x:v>A-101</x:v>
      </x:c>
      <x:c r="D50" s="5" t="str">
        <x:v>Evidence Map</x:v>
      </x:c>
      <x:c r="E50" s="5" t="str">
        <x:v>Course Alpha 2026 Term 1</x:v>
      </x:c>
      <x:c r="F50" s="5" t="n">
        <x:v>1</x:v>
      </x:c>
      <x:c r="G50" s="5" t="n">
        <x:f>3+MOD(B50+F50,4)</x:f>
        <x:v>5</x:v>
      </x:c>
      <x:c r="H50" s="5" t="n">
        <x:f>3+MOD(2*B50+F50,4)</x:f>
        <x:v>6</x:v>
      </x:c>
      <x:c r="I50" s="5" t="n">
        <x:f>2+MOD(B50+2*F50,3)</x:f>
        <x:v>4</x:v>
      </x:c>
      <x:c r="J50" s="5" t="n">
        <x:f>2+MOD(2*B50+F50,3)</x:f>
        <x:v>3</x:v>
      </x:c>
      <x:c r="K50" s="5" t="n">
        <x:f>SUM(G50:J50)</x:f>
        <x:v>18</x:v>
      </x:c>
    </x:row>
    <x:row r="51">
      <x:c r="A51" s="5" t="str">
        <x:v>ML26-S009</x:v>
      </x:c>
      <x:c r="B51" s="5" t="n">
        <x:v>9</x:v>
      </x:c>
      <x:c r="C51" s="5" t="str">
        <x:v>A-102</x:v>
      </x:c>
      <x:c r="D51" s="5" t="str">
        <x:v>Source Comparison</x:v>
      </x:c>
      <x:c r="E51" s="5" t="str">
        <x:v>Course Alpha 2026 Term 1</x:v>
      </x:c>
      <x:c r="F51" s="5" t="n">
        <x:v>2</x:v>
      </x:c>
      <x:c r="G51" s="5" t="n">
        <x:f>3+MOD(B51+F51,4)</x:f>
        <x:v>6</x:v>
      </x:c>
      <x:c r="H51" s="5" t="n">
        <x:f>3+MOD(2*B51+F51,4)</x:f>
        <x:v>3</x:v>
      </x:c>
      <x:c r="I51" s="5" t="n">
        <x:f>2+MOD(B51+2*F51,3)</x:f>
        <x:v>3</x:v>
      </x:c>
      <x:c r="J51" s="5" t="n">
        <x:f>2+MOD(2*B51+F51,3)</x:f>
        <x:v>4</x:v>
      </x:c>
      <x:c r="K51" s="5" t="n">
        <x:f>SUM(G51:J51)</x:f>
        <x:v>16</x:v>
      </x:c>
    </x:row>
    <x:row r="52">
      <x:c r="A52" s="5" t="str">
        <x:v>ML26-S009</x:v>
      </x:c>
      <x:c r="B52" s="5" t="n">
        <x:v>9</x:v>
      </x:c>
      <x:c r="C52" s="5" t="str">
        <x:v>A-103</x:v>
      </x:c>
      <x:c r="D52" s="5" t="str">
        <x:v>Claim-Evidence-Reasoning Brief</x:v>
      </x:c>
      <x:c r="E52" s="5" t="str">
        <x:v>Course Alpha 2026 Term 1</x:v>
      </x:c>
      <x:c r="F52" s="5" t="n">
        <x:v>3</x:v>
      </x:c>
      <x:c r="G52" s="5" t="n">
        <x:f>3+MOD(B52+F52,4)</x:f>
        <x:v>3</x:v>
      </x:c>
      <x:c r="H52" s="5" t="n">
        <x:f>3+MOD(2*B52+F52,4)</x:f>
        <x:v>4</x:v>
      </x:c>
      <x:c r="I52" s="5" t="n">
        <x:f>2+MOD(B52+2*F52,3)</x:f>
        <x:v>2</x:v>
      </x:c>
      <x:c r="J52" s="5" t="n">
        <x:f>2+MOD(2*B52+F52,3)</x:f>
        <x:v>2</x:v>
      </x:c>
      <x:c r="K52" s="5" t="n">
        <x:f>SUM(G52:J52)</x:f>
        <x:v>11</x:v>
      </x:c>
    </x:row>
    <x:row r="53">
      <x:c r="A53" s="5" t="str">
        <x:v>ML26-S009</x:v>
      </x:c>
      <x:c r="B53" s="5" t="n">
        <x:v>9</x:v>
      </x:c>
      <x:c r="C53" s="5" t="str">
        <x:v>B-201</x:v>
      </x:c>
      <x:c r="D53" s="5" t="str">
        <x:v>Scenario Map</x:v>
      </x:c>
      <x:c r="E53" s="5" t="str">
        <x:v>Course Beta 2026 Term 2</x:v>
      </x:c>
      <x:c r="F53" s="5" t="n">
        <x:v>4</x:v>
      </x:c>
      <x:c r="G53" s="5" t="n">
        <x:f>3+MOD(B53+F53,4)</x:f>
        <x:v>4</x:v>
      </x:c>
      <x:c r="H53" s="5" t="n">
        <x:f>3+MOD(2*B53+F53,4)</x:f>
        <x:v>5</x:v>
      </x:c>
      <x:c r="I53" s="5" t="n">
        <x:f>2+MOD(B53+2*F53,3)</x:f>
        <x:v>4</x:v>
      </x:c>
      <x:c r="J53" s="5" t="n">
        <x:f>2+MOD(2*B53+F53,3)</x:f>
        <x:v>3</x:v>
      </x:c>
      <x:c r="K53" s="5" t="n">
        <x:f>SUM(G53:J53)</x:f>
        <x:v>16</x:v>
      </x:c>
    </x:row>
    <x:row r="54">
      <x:c r="A54" s="5" t="str">
        <x:v>ML26-S009</x:v>
      </x:c>
      <x:c r="B54" s="5" t="n">
        <x:v>9</x:v>
      </x:c>
      <x:c r="C54" s="5" t="str">
        <x:v>B-202</x:v>
      </x:c>
      <x:c r="D54" s="5" t="str">
        <x:v>Model Test</x:v>
      </x:c>
      <x:c r="E54" s="5" t="str">
        <x:v>Course Beta 2026 Term 2</x:v>
      </x:c>
      <x:c r="F54" s="5" t="n">
        <x:v>5</x:v>
      </x:c>
      <x:c r="G54" s="5" t="n">
        <x:f>3+MOD(B54+F54,4)</x:f>
        <x:v>5</x:v>
      </x:c>
      <x:c r="H54" s="5" t="n">
        <x:f>3+MOD(2*B54+F54,4)</x:f>
        <x:v>6</x:v>
      </x:c>
      <x:c r="I54" s="5" t="n">
        <x:f>2+MOD(B54+2*F54,3)</x:f>
        <x:v>3</x:v>
      </x:c>
      <x:c r="J54" s="5" t="n">
        <x:f>2+MOD(2*B54+F54,3)</x:f>
        <x:v>4</x:v>
      </x:c>
      <x:c r="K54" s="5" t="n">
        <x:f>SUM(G54:J54)</x:f>
        <x:v>18</x:v>
      </x:c>
    </x:row>
    <x:row r="55">
      <x:c r="A55" s="5" t="str">
        <x:v>ML26-S009</x:v>
      </x:c>
      <x:c r="B55" s="5" t="n">
        <x:v>9</x:v>
      </x:c>
      <x:c r="C55" s="5" t="str">
        <x:v>B-203</x:v>
      </x:c>
      <x:c r="D55" s="5" t="str">
        <x:v>Design Critique</x:v>
      </x:c>
      <x:c r="E55" s="5" t="str">
        <x:v>Course Beta 2026 Term 2</x:v>
      </x:c>
      <x:c r="F55" s="5" t="n">
        <x:v>6</x:v>
      </x:c>
      <x:c r="G55" s="5" t="n">
        <x:f>3+MOD(B55+F55,4)</x:f>
        <x:v>6</x:v>
      </x:c>
      <x:c r="H55" s="5" t="n">
        <x:f>3+MOD(2*B55+F55,4)</x:f>
        <x:v>3</x:v>
      </x:c>
      <x:c r="I55" s="5" t="n">
        <x:f>2+MOD(B55+2*F55,3)</x:f>
        <x:v>2</x:v>
      </x:c>
      <x:c r="J55" s="5" t="n">
        <x:f>2+MOD(2*B55+F55,3)</x:f>
        <x:v>2</x:v>
      </x:c>
      <x:c r="K55" s="5" t="n">
        <x:f>SUM(G55:J55)</x:f>
        <x:v>13</x:v>
      </x:c>
    </x:row>
    <x:row r="56">
      <x:c r="A56" s="5" t="str">
        <x:v>ML26-S010</x:v>
      </x:c>
      <x:c r="B56" s="5" t="n">
        <x:v>10</x:v>
      </x:c>
      <x:c r="C56" s="5" t="str">
        <x:v>A-101</x:v>
      </x:c>
      <x:c r="D56" s="5" t="str">
        <x:v>Evidence Map</x:v>
      </x:c>
      <x:c r="E56" s="5" t="str">
        <x:v>Course Alpha 2026 Term 1</x:v>
      </x:c>
      <x:c r="F56" s="5" t="n">
        <x:v>1</x:v>
      </x:c>
      <x:c r="G56" s="5" t="n">
        <x:f>3+MOD(B56+F56,4)</x:f>
        <x:v>6</x:v>
      </x:c>
      <x:c r="H56" s="5" t="n">
        <x:f>3+MOD(2*B56+F56,4)</x:f>
        <x:v>4</x:v>
      </x:c>
      <x:c r="I56" s="5" t="n">
        <x:f>2+MOD(B56+2*F56,3)</x:f>
        <x:v>2</x:v>
      </x:c>
      <x:c r="J56" s="5" t="n">
        <x:f>2+MOD(2*B56+F56,3)</x:f>
        <x:v>2</x:v>
      </x:c>
      <x:c r="K56" s="5" t="n">
        <x:f>SUM(G56:J56)</x:f>
        <x:v>14</x:v>
      </x:c>
    </x:row>
    <x:row r="57">
      <x:c r="A57" s="5" t="str">
        <x:v>ML26-S010</x:v>
      </x:c>
      <x:c r="B57" s="5" t="n">
        <x:v>10</x:v>
      </x:c>
      <x:c r="C57" s="5" t="str">
        <x:v>A-102</x:v>
      </x:c>
      <x:c r="D57" s="5" t="str">
        <x:v>Source Comparison</x:v>
      </x:c>
      <x:c r="E57" s="5" t="str">
        <x:v>Course Alpha 2026 Term 1</x:v>
      </x:c>
      <x:c r="F57" s="5" t="n">
        <x:v>2</x:v>
      </x:c>
      <x:c r="G57" s="5" t="n">
        <x:f>3+MOD(B57+F57,4)</x:f>
        <x:v>3</x:v>
      </x:c>
      <x:c r="H57" s="5" t="n">
        <x:f>3+MOD(2*B57+F57,4)</x:f>
        <x:v>5</x:v>
      </x:c>
      <x:c r="I57" s="5" t="n">
        <x:f>2+MOD(B57+2*F57,3)</x:f>
        <x:v>4</x:v>
      </x:c>
      <x:c r="J57" s="5" t="n">
        <x:f>2+MOD(2*B57+F57,3)</x:f>
        <x:v>3</x:v>
      </x:c>
      <x:c r="K57" s="5" t="n">
        <x:f>SUM(G57:J57)</x:f>
        <x:v>15</x:v>
      </x:c>
    </x:row>
    <x:row r="58">
      <x:c r="A58" s="5" t="str">
        <x:v>ML26-S010</x:v>
      </x:c>
      <x:c r="B58" s="5" t="n">
        <x:v>10</x:v>
      </x:c>
      <x:c r="C58" s="5" t="str">
        <x:v>A-103</x:v>
      </x:c>
      <x:c r="D58" s="5" t="str">
        <x:v>Claim-Evidence-Reasoning Brief</x:v>
      </x:c>
      <x:c r="E58" s="5" t="str">
        <x:v>Course Alpha 2026 Term 1</x:v>
      </x:c>
      <x:c r="F58" s="5" t="n">
        <x:v>3</x:v>
      </x:c>
      <x:c r="G58" s="5" t="n">
        <x:f>3+MOD(B58+F58,4)</x:f>
        <x:v>4</x:v>
      </x:c>
      <x:c r="H58" s="5" t="n">
        <x:f>3+MOD(2*B58+F58,4)</x:f>
        <x:v>6</x:v>
      </x:c>
      <x:c r="I58" s="5" t="n">
        <x:f>2+MOD(B58+2*F58,3)</x:f>
        <x:v>3</x:v>
      </x:c>
      <x:c r="J58" s="5" t="n">
        <x:f>2+MOD(2*B58+F58,3)</x:f>
        <x:v>4</x:v>
      </x:c>
      <x:c r="K58" s="5" t="n">
        <x:f>SUM(G58:J58)</x:f>
        <x:v>17</x:v>
      </x:c>
    </x:row>
    <x:row r="59">
      <x:c r="A59" s="5" t="str">
        <x:v>ML26-S010</x:v>
      </x:c>
      <x:c r="B59" s="5" t="n">
        <x:v>10</x:v>
      </x:c>
      <x:c r="C59" s="5" t="str">
        <x:v>B-201</x:v>
      </x:c>
      <x:c r="D59" s="5" t="str">
        <x:v>Scenario Map</x:v>
      </x:c>
      <x:c r="E59" s="5" t="str">
        <x:v>Course Beta 2026 Term 2</x:v>
      </x:c>
      <x:c r="F59" s="5" t="n">
        <x:v>4</x:v>
      </x:c>
      <x:c r="G59" s="5" t="n">
        <x:f>3+MOD(B59+F59,4)</x:f>
        <x:v>5</x:v>
      </x:c>
      <x:c r="H59" s="5" t="n">
        <x:f>3+MOD(2*B59+F59,4)</x:f>
        <x:v>3</x:v>
      </x:c>
      <x:c r="I59" s="5" t="n">
        <x:f>2+MOD(B59+2*F59,3)</x:f>
        <x:v>2</x:v>
      </x:c>
      <x:c r="J59" s="5" t="n">
        <x:f>2+MOD(2*B59+F59,3)</x:f>
        <x:v>2</x:v>
      </x:c>
      <x:c r="K59" s="5" t="n">
        <x:f>SUM(G59:J59)</x:f>
        <x:v>12</x:v>
      </x:c>
    </x:row>
    <x:row r="60">
      <x:c r="A60" s="5" t="str">
        <x:v>ML26-S010</x:v>
      </x:c>
      <x:c r="B60" s="5" t="n">
        <x:v>10</x:v>
      </x:c>
      <x:c r="C60" s="5" t="str">
        <x:v>B-202</x:v>
      </x:c>
      <x:c r="D60" s="5" t="str">
        <x:v>Model Test</x:v>
      </x:c>
      <x:c r="E60" s="5" t="str">
        <x:v>Course Beta 2026 Term 2</x:v>
      </x:c>
      <x:c r="F60" s="5" t="n">
        <x:v>5</x:v>
      </x:c>
      <x:c r="G60" s="5" t="n">
        <x:f>3+MOD(B60+F60,4)</x:f>
        <x:v>6</x:v>
      </x:c>
      <x:c r="H60" s="5" t="n">
        <x:f>3+MOD(2*B60+F60,4)</x:f>
        <x:v>4</x:v>
      </x:c>
      <x:c r="I60" s="5" t="n">
        <x:f>2+MOD(B60+2*F60,3)</x:f>
        <x:v>4</x:v>
      </x:c>
      <x:c r="J60" s="5" t="n">
        <x:f>2+MOD(2*B60+F60,3)</x:f>
        <x:v>3</x:v>
      </x:c>
      <x:c r="K60" s="5" t="n">
        <x:f>SUM(G60:J60)</x:f>
        <x:v>17</x:v>
      </x:c>
    </x:row>
    <x:row r="61">
      <x:c r="A61" s="5" t="str">
        <x:v>ML26-S010</x:v>
      </x:c>
      <x:c r="B61" s="5" t="n">
        <x:v>10</x:v>
      </x:c>
      <x:c r="C61" s="5" t="str">
        <x:v>B-203</x:v>
      </x:c>
      <x:c r="D61" s="5" t="str">
        <x:v>Design Critique</x:v>
      </x:c>
      <x:c r="E61" s="5" t="str">
        <x:v>Course Beta 2026 Term 2</x:v>
      </x:c>
      <x:c r="F61" s="5" t="n">
        <x:v>6</x:v>
      </x:c>
      <x:c r="G61" s="5" t="n">
        <x:f>3+MOD(B61+F61,4)</x:f>
        <x:v>3</x:v>
      </x:c>
      <x:c r="H61" s="5" t="n">
        <x:f>3+MOD(2*B61+F61,4)</x:f>
        <x:v>5</x:v>
      </x:c>
      <x:c r="I61" s="5" t="n">
        <x:f>2+MOD(B61+2*F61,3)</x:f>
        <x:v>3</x:v>
      </x:c>
      <x:c r="J61" s="5" t="n">
        <x:f>2+MOD(2*B61+F61,3)</x:f>
        <x:v>4</x:v>
      </x:c>
      <x:c r="K61" s="5" t="n">
        <x:f>SUM(G61:J61)</x:f>
        <x:v>15</x:v>
      </x:c>
    </x:row>
    <x:row r="62">
      <x:c r="A62" s="5" t="str">
        <x:v>ML26-S011</x:v>
      </x:c>
      <x:c r="B62" s="5" t="n">
        <x:v>11</x:v>
      </x:c>
      <x:c r="C62" s="5" t="str">
        <x:v>A-101</x:v>
      </x:c>
      <x:c r="D62" s="5" t="str">
        <x:v>Evidence Map</x:v>
      </x:c>
      <x:c r="E62" s="5" t="str">
        <x:v>Course Alpha 2026 Term 1</x:v>
      </x:c>
      <x:c r="F62" s="5" t="n">
        <x:v>1</x:v>
      </x:c>
      <x:c r="G62" s="5" t="n">
        <x:f>3+MOD(B62+F62,4)</x:f>
        <x:v>3</x:v>
      </x:c>
      <x:c r="H62" s="5" t="n">
        <x:f>3+MOD(2*B62+F62,4)</x:f>
        <x:v>6</x:v>
      </x:c>
      <x:c r="I62" s="5" t="n">
        <x:f>2+MOD(B62+2*F62,3)</x:f>
        <x:v>3</x:v>
      </x:c>
      <x:c r="J62" s="5" t="n">
        <x:f>2+MOD(2*B62+F62,3)</x:f>
        <x:v>4</x:v>
      </x:c>
      <x:c r="K62" s="5" t="n">
        <x:f>SUM(G62:J62)</x:f>
        <x:v>16</x:v>
      </x:c>
    </x:row>
    <x:row r="63">
      <x:c r="A63" s="5" t="str">
        <x:v>ML26-S011</x:v>
      </x:c>
      <x:c r="B63" s="5" t="n">
        <x:v>11</x:v>
      </x:c>
      <x:c r="C63" s="5" t="str">
        <x:v>A-102</x:v>
      </x:c>
      <x:c r="D63" s="5" t="str">
        <x:v>Source Comparison</x:v>
      </x:c>
      <x:c r="E63" s="5" t="str">
        <x:v>Course Alpha 2026 Term 1</x:v>
      </x:c>
      <x:c r="F63" s="5" t="n">
        <x:v>2</x:v>
      </x:c>
      <x:c r="G63" s="5" t="n">
        <x:f>3+MOD(B63+F63,4)</x:f>
        <x:v>4</x:v>
      </x:c>
      <x:c r="H63" s="5" t="n">
        <x:f>3+MOD(2*B63+F63,4)</x:f>
        <x:v>3</x:v>
      </x:c>
      <x:c r="I63" s="5" t="n">
        <x:f>2+MOD(B63+2*F63,3)</x:f>
        <x:v>2</x:v>
      </x:c>
      <x:c r="J63" s="5" t="n">
        <x:f>2+MOD(2*B63+F63,3)</x:f>
        <x:v>2</x:v>
      </x:c>
      <x:c r="K63" s="5" t="n">
        <x:f>SUM(G63:J63)</x:f>
        <x:v>11</x:v>
      </x:c>
    </x:row>
    <x:row r="64">
      <x:c r="A64" s="5" t="str">
        <x:v>ML26-S011</x:v>
      </x:c>
      <x:c r="B64" s="5" t="n">
        <x:v>11</x:v>
      </x:c>
      <x:c r="C64" s="5" t="str">
        <x:v>A-103</x:v>
      </x:c>
      <x:c r="D64" s="5" t="str">
        <x:v>Claim-Evidence-Reasoning Brief</x:v>
      </x:c>
      <x:c r="E64" s="5" t="str">
        <x:v>Course Alpha 2026 Term 1</x:v>
      </x:c>
      <x:c r="F64" s="5" t="n">
        <x:v>3</x:v>
      </x:c>
      <x:c r="G64" s="5" t="n">
        <x:f>3+MOD(B64+F64,4)</x:f>
        <x:v>5</x:v>
      </x:c>
      <x:c r="H64" s="5" t="n">
        <x:f>3+MOD(2*B64+F64,4)</x:f>
        <x:v>4</x:v>
      </x:c>
      <x:c r="I64" s="5" t="n">
        <x:f>2+MOD(B64+2*F64,3)</x:f>
        <x:v>4</x:v>
      </x:c>
      <x:c r="J64" s="5" t="n">
        <x:f>2+MOD(2*B64+F64,3)</x:f>
        <x:v>3</x:v>
      </x:c>
      <x:c r="K64" s="5" t="n">
        <x:f>SUM(G64:J64)</x:f>
        <x:v>16</x:v>
      </x:c>
    </x:row>
    <x:row r="65">
      <x:c r="A65" s="5" t="str">
        <x:v>ML26-S011</x:v>
      </x:c>
      <x:c r="B65" s="5" t="n">
        <x:v>11</x:v>
      </x:c>
      <x:c r="C65" s="5" t="str">
        <x:v>B-201</x:v>
      </x:c>
      <x:c r="D65" s="5" t="str">
        <x:v>Scenario Map</x:v>
      </x:c>
      <x:c r="E65" s="5" t="str">
        <x:v>Course Beta 2026 Term 2</x:v>
      </x:c>
      <x:c r="F65" s="5" t="n">
        <x:v>4</x:v>
      </x:c>
      <x:c r="G65" s="5" t="n">
        <x:f>3+MOD(B65+F65,4)</x:f>
        <x:v>6</x:v>
      </x:c>
      <x:c r="H65" s="5" t="n">
        <x:f>3+MOD(2*B65+F65,4)</x:f>
        <x:v>5</x:v>
      </x:c>
      <x:c r="I65" s="5" t="n">
        <x:f>2+MOD(B65+2*F65,3)</x:f>
        <x:v>3</x:v>
      </x:c>
      <x:c r="J65" s="5" t="n">
        <x:f>2+MOD(2*B65+F65,3)</x:f>
        <x:v>4</x:v>
      </x:c>
      <x:c r="K65" s="5" t="n">
        <x:f>SUM(G65:J65)</x:f>
        <x:v>18</x:v>
      </x:c>
    </x:row>
    <x:row r="66">
      <x:c r="A66" s="5" t="str">
        <x:v>ML26-S011</x:v>
      </x:c>
      <x:c r="B66" s="5" t="n">
        <x:v>11</x:v>
      </x:c>
      <x:c r="C66" s="5" t="str">
        <x:v>B-202</x:v>
      </x:c>
      <x:c r="D66" s="5" t="str">
        <x:v>Model Test</x:v>
      </x:c>
      <x:c r="E66" s="5" t="str">
        <x:v>Course Beta 2026 Term 2</x:v>
      </x:c>
      <x:c r="F66" s="5" t="n">
        <x:v>5</x:v>
      </x:c>
      <x:c r="G66" s="5" t="n">
        <x:f>3+MOD(B66+F66,4)</x:f>
        <x:v>3</x:v>
      </x:c>
      <x:c r="H66" s="5" t="n">
        <x:f>3+MOD(2*B66+F66,4)</x:f>
        <x:v>6</x:v>
      </x:c>
      <x:c r="I66" s="5" t="n">
        <x:f>2+MOD(B66+2*F66,3)</x:f>
        <x:v>2</x:v>
      </x:c>
      <x:c r="J66" s="5" t="n">
        <x:f>2+MOD(2*B66+F66,3)</x:f>
        <x:v>2</x:v>
      </x:c>
      <x:c r="K66" s="5" t="n">
        <x:f>SUM(G66:J66)</x:f>
        <x:v>13</x:v>
      </x:c>
    </x:row>
    <x:row r="67">
      <x:c r="A67" s="5" t="str">
        <x:v>ML26-S011</x:v>
      </x:c>
      <x:c r="B67" s="5" t="n">
        <x:v>11</x:v>
      </x:c>
      <x:c r="C67" s="5" t="str">
        <x:v>B-203</x:v>
      </x:c>
      <x:c r="D67" s="5" t="str">
        <x:v>Design Critique</x:v>
      </x:c>
      <x:c r="E67" s="5" t="str">
        <x:v>Course Beta 2026 Term 2</x:v>
      </x:c>
      <x:c r="F67" s="5" t="n">
        <x:v>6</x:v>
      </x:c>
      <x:c r="G67" s="5" t="n">
        <x:f>3+MOD(B67+F67,4)</x:f>
        <x:v>4</x:v>
      </x:c>
      <x:c r="H67" s="5" t="n">
        <x:f>3+MOD(2*B67+F67,4)</x:f>
        <x:v>3</x:v>
      </x:c>
      <x:c r="I67" s="5" t="n">
        <x:f>2+MOD(B67+2*F67,3)</x:f>
        <x:v>4</x:v>
      </x:c>
      <x:c r="J67" s="5" t="n">
        <x:f>2+MOD(2*B67+F67,3)</x:f>
        <x:v>3</x:v>
      </x:c>
      <x:c r="K67" s="5" t="n">
        <x:f>SUM(G67:J67)</x:f>
        <x:v>14</x:v>
      </x:c>
    </x:row>
    <x:row r="68">
      <x:c r="A68" s="5" t="str">
        <x:v>ML26-S012</x:v>
      </x:c>
      <x:c r="B68" s="5" t="n">
        <x:v>12</x:v>
      </x:c>
      <x:c r="C68" s="5" t="str">
        <x:v>A-101</x:v>
      </x:c>
      <x:c r="D68" s="5" t="str">
        <x:v>Evidence Map</x:v>
      </x:c>
      <x:c r="E68" s="5" t="str">
        <x:v>Course Alpha 2026 Term 1</x:v>
      </x:c>
      <x:c r="F68" s="5" t="n">
        <x:v>1</x:v>
      </x:c>
      <x:c r="G68" s="5" t="n">
        <x:f>3+MOD(B68+F68,4)</x:f>
        <x:v>4</x:v>
      </x:c>
      <x:c r="H68" s="5" t="n">
        <x:f>3+MOD(2*B68+F68,4)</x:f>
        <x:v>4</x:v>
      </x:c>
      <x:c r="I68" s="5" t="n">
        <x:f>2+MOD(B68+2*F68,3)</x:f>
        <x:v>4</x:v>
      </x:c>
      <x:c r="J68" s="5" t="n">
        <x:f>2+MOD(2*B68+F68,3)</x:f>
        <x:v>3</x:v>
      </x:c>
      <x:c r="K68" s="5" t="n">
        <x:f>SUM(G68:J68)</x:f>
        <x:v>15</x:v>
      </x:c>
    </x:row>
    <x:row r="69">
      <x:c r="A69" s="5" t="str">
        <x:v>ML26-S012</x:v>
      </x:c>
      <x:c r="B69" s="5" t="n">
        <x:v>12</x:v>
      </x:c>
      <x:c r="C69" s="5" t="str">
        <x:v>A-102</x:v>
      </x:c>
      <x:c r="D69" s="5" t="str">
        <x:v>Source Comparison</x:v>
      </x:c>
      <x:c r="E69" s="5" t="str">
        <x:v>Course Alpha 2026 Term 1</x:v>
      </x:c>
      <x:c r="F69" s="5" t="n">
        <x:v>2</x:v>
      </x:c>
      <x:c r="G69" s="5" t="n">
        <x:f>3+MOD(B69+F69,4)</x:f>
        <x:v>5</x:v>
      </x:c>
      <x:c r="H69" s="5" t="n">
        <x:f>3+MOD(2*B69+F69,4)</x:f>
        <x:v>5</x:v>
      </x:c>
      <x:c r="I69" s="5" t="n">
        <x:f>2+MOD(B69+2*F69,3)</x:f>
        <x:v>3</x:v>
      </x:c>
      <x:c r="J69" s="5" t="n">
        <x:f>2+MOD(2*B69+F69,3)</x:f>
        <x:v>4</x:v>
      </x:c>
      <x:c r="K69" s="5" t="n">
        <x:f>SUM(G69:J69)</x:f>
        <x:v>17</x:v>
      </x:c>
    </x:row>
    <x:row r="70">
      <x:c r="A70" s="5" t="str">
        <x:v>ML26-S012</x:v>
      </x:c>
      <x:c r="B70" s="5" t="n">
        <x:v>12</x:v>
      </x:c>
      <x:c r="C70" s="5" t="str">
        <x:v>A-103</x:v>
      </x:c>
      <x:c r="D70" s="5" t="str">
        <x:v>Claim-Evidence-Reasoning Brief</x:v>
      </x:c>
      <x:c r="E70" s="5" t="str">
        <x:v>Course Alpha 2026 Term 1</x:v>
      </x:c>
      <x:c r="F70" s="5" t="n">
        <x:v>3</x:v>
      </x:c>
      <x:c r="G70" s="5" t="n">
        <x:f>3+MOD(B70+F70,4)</x:f>
        <x:v>6</x:v>
      </x:c>
      <x:c r="H70" s="5" t="n">
        <x:f>3+MOD(2*B70+F70,4)</x:f>
        <x:v>6</x:v>
      </x:c>
      <x:c r="I70" s="5" t="n">
        <x:f>2+MOD(B70+2*F70,3)</x:f>
        <x:v>2</x:v>
      </x:c>
      <x:c r="J70" s="5" t="n">
        <x:f>2+MOD(2*B70+F70,3)</x:f>
        <x:v>2</x:v>
      </x:c>
      <x:c r="K70" s="5" t="n">
        <x:f>SUM(G70:J70)</x:f>
        <x:v>16</x:v>
      </x:c>
    </x:row>
    <x:row r="71">
      <x:c r="A71" s="5" t="str">
        <x:v>ML26-S012</x:v>
      </x:c>
      <x:c r="B71" s="5" t="n">
        <x:v>12</x:v>
      </x:c>
      <x:c r="C71" s="5" t="str">
        <x:v>B-201</x:v>
      </x:c>
      <x:c r="D71" s="5" t="str">
        <x:v>Scenario Map</x:v>
      </x:c>
      <x:c r="E71" s="5" t="str">
        <x:v>Course Beta 2026 Term 2</x:v>
      </x:c>
      <x:c r="F71" s="5" t="n">
        <x:v>4</x:v>
      </x:c>
      <x:c r="G71" s="5" t="n">
        <x:f>3+MOD(B71+F71,4)</x:f>
        <x:v>3</x:v>
      </x:c>
      <x:c r="H71" s="5" t="n">
        <x:f>3+MOD(2*B71+F71,4)</x:f>
        <x:v>3</x:v>
      </x:c>
      <x:c r="I71" s="5" t="n">
        <x:f>2+MOD(B71+2*F71,3)</x:f>
        <x:v>4</x:v>
      </x:c>
      <x:c r="J71" s="5" t="n">
        <x:f>2+MOD(2*B71+F71,3)</x:f>
        <x:v>3</x:v>
      </x:c>
      <x:c r="K71" s="5" t="n">
        <x:f>SUM(G71:J71)</x:f>
        <x:v>13</x:v>
      </x:c>
    </x:row>
    <x:row r="72">
      <x:c r="A72" s="5" t="str">
        <x:v>ML26-S012</x:v>
      </x:c>
      <x:c r="B72" s="5" t="n">
        <x:v>12</x:v>
      </x:c>
      <x:c r="C72" s="5" t="str">
        <x:v>B-202</x:v>
      </x:c>
      <x:c r="D72" s="5" t="str">
        <x:v>Model Test</x:v>
      </x:c>
      <x:c r="E72" s="5" t="str">
        <x:v>Course Beta 2026 Term 2</x:v>
      </x:c>
      <x:c r="F72" s="5" t="n">
        <x:v>5</x:v>
      </x:c>
      <x:c r="G72" s="5" t="n">
        <x:f>3+MOD(B72+F72,4)</x:f>
        <x:v>4</x:v>
      </x:c>
      <x:c r="H72" s="5" t="n">
        <x:f>3+MOD(2*B72+F72,4)</x:f>
        <x:v>4</x:v>
      </x:c>
      <x:c r="I72" s="5" t="n">
        <x:f>2+MOD(B72+2*F72,3)</x:f>
        <x:v>3</x:v>
      </x:c>
      <x:c r="J72" s="5" t="n">
        <x:f>2+MOD(2*B72+F72,3)</x:f>
        <x:v>4</x:v>
      </x:c>
      <x:c r="K72" s="5" t="n">
        <x:f>SUM(G72:J72)</x:f>
        <x:v>15</x:v>
      </x:c>
    </x:row>
    <x:row r="73">
      <x:c r="A73" s="5" t="str">
        <x:v>ML26-S012</x:v>
      </x:c>
      <x:c r="B73" s="5" t="n">
        <x:v>12</x:v>
      </x:c>
      <x:c r="C73" s="5" t="str">
        <x:v>B-203</x:v>
      </x:c>
      <x:c r="D73" s="5" t="str">
        <x:v>Design Critique</x:v>
      </x:c>
      <x:c r="E73" s="5" t="str">
        <x:v>Course Beta 2026 Term 2</x:v>
      </x:c>
      <x:c r="F73" s="5" t="n">
        <x:v>6</x:v>
      </x:c>
      <x:c r="G73" s="5" t="n">
        <x:f>3+MOD(B73+F73,4)</x:f>
        <x:v>5</x:v>
      </x:c>
      <x:c r="H73" s="5" t="n">
        <x:f>3+MOD(2*B73+F73,4)</x:f>
        <x:v>5</x:v>
      </x:c>
      <x:c r="I73" s="5" t="n">
        <x:f>2+MOD(B73+2*F73,3)</x:f>
        <x:v>2</x:v>
      </x:c>
      <x:c r="J73" s="5" t="n">
        <x:f>2+MOD(2*B73+F73,3)</x:f>
        <x:v>2</x:v>
      </x:c>
      <x:c r="K73" s="5" t="n">
        <x:f>SUM(G73:J73)</x:f>
        <x:v>14</x:v>
      </x:c>
    </x:row>
    <x:row r="74">
      <x:c r="A74" s="5" t="str">
        <x:v>ML26-S013</x:v>
      </x:c>
      <x:c r="B74" s="5" t="n">
        <x:v>13</x:v>
      </x:c>
      <x:c r="C74" s="5" t="str">
        <x:v>A-101</x:v>
      </x:c>
      <x:c r="D74" s="5" t="str">
        <x:v>Evidence Map</x:v>
      </x:c>
      <x:c r="E74" s="5" t="str">
        <x:v>Course Alpha 2026 Term 1</x:v>
      </x:c>
      <x:c r="F74" s="5" t="n">
        <x:v>1</x:v>
      </x:c>
      <x:c r="G74" s="5" t="n">
        <x:f>3+MOD(B74+F74,4)</x:f>
        <x:v>5</x:v>
      </x:c>
      <x:c r="H74" s="5" t="n">
        <x:f>3+MOD(2*B74+F74,4)</x:f>
        <x:v>6</x:v>
      </x:c>
      <x:c r="I74" s="5" t="n">
        <x:f>2+MOD(B74+2*F74,3)</x:f>
        <x:v>2</x:v>
      </x:c>
      <x:c r="J74" s="5" t="n">
        <x:f>2+MOD(2*B74+F74,3)</x:f>
        <x:v>2</x:v>
      </x:c>
      <x:c r="K74" s="5" t="n">
        <x:f>SUM(G74:J74)</x:f>
        <x:v>15</x:v>
      </x:c>
    </x:row>
    <x:row r="75">
      <x:c r="A75" s="5" t="str">
        <x:v>ML26-S013</x:v>
      </x:c>
      <x:c r="B75" s="5" t="n">
        <x:v>13</x:v>
      </x:c>
      <x:c r="C75" s="5" t="str">
        <x:v>A-102</x:v>
      </x:c>
      <x:c r="D75" s="5" t="str">
        <x:v>Source Comparison</x:v>
      </x:c>
      <x:c r="E75" s="5" t="str">
        <x:v>Course Alpha 2026 Term 1</x:v>
      </x:c>
      <x:c r="F75" s="5" t="n">
        <x:v>2</x:v>
      </x:c>
      <x:c r="G75" s="5" t="n">
        <x:f>3+MOD(B75+F75,4)</x:f>
        <x:v>6</x:v>
      </x:c>
      <x:c r="H75" s="5" t="n">
        <x:f>3+MOD(2*B75+F75,4)</x:f>
        <x:v>3</x:v>
      </x:c>
      <x:c r="I75" s="5" t="n">
        <x:f>2+MOD(B75+2*F75,3)</x:f>
        <x:v>4</x:v>
      </x:c>
      <x:c r="J75" s="5" t="n">
        <x:f>2+MOD(2*B75+F75,3)</x:f>
        <x:v>3</x:v>
      </x:c>
      <x:c r="K75" s="5" t="n">
        <x:f>SUM(G75:J75)</x:f>
        <x:v>16</x:v>
      </x:c>
    </x:row>
    <x:row r="76">
      <x:c r="A76" s="5" t="str">
        <x:v>ML26-S013</x:v>
      </x:c>
      <x:c r="B76" s="5" t="n">
        <x:v>13</x:v>
      </x:c>
      <x:c r="C76" s="5" t="str">
        <x:v>A-103</x:v>
      </x:c>
      <x:c r="D76" s="5" t="str">
        <x:v>Claim-Evidence-Reasoning Brief</x:v>
      </x:c>
      <x:c r="E76" s="5" t="str">
        <x:v>Course Alpha 2026 Term 1</x:v>
      </x:c>
      <x:c r="F76" s="5" t="n">
        <x:v>3</x:v>
      </x:c>
      <x:c r="G76" s="5" t="n">
        <x:f>3+MOD(B76+F76,4)</x:f>
        <x:v>3</x:v>
      </x:c>
      <x:c r="H76" s="5" t="n">
        <x:f>3+MOD(2*B76+F76,4)</x:f>
        <x:v>4</x:v>
      </x:c>
      <x:c r="I76" s="5" t="n">
        <x:f>2+MOD(B76+2*F76,3)</x:f>
        <x:v>3</x:v>
      </x:c>
      <x:c r="J76" s="5" t="n">
        <x:f>2+MOD(2*B76+F76,3)</x:f>
        <x:v>4</x:v>
      </x:c>
      <x:c r="K76" s="5" t="n">
        <x:f>SUM(G76:J76)</x:f>
        <x:v>14</x:v>
      </x:c>
    </x:row>
    <x:row r="77">
      <x:c r="A77" s="5" t="str">
        <x:v>ML26-S013</x:v>
      </x:c>
      <x:c r="B77" s="5" t="n">
        <x:v>13</x:v>
      </x:c>
      <x:c r="C77" s="5" t="str">
        <x:v>B-201</x:v>
      </x:c>
      <x:c r="D77" s="5" t="str">
        <x:v>Scenario Map</x:v>
      </x:c>
      <x:c r="E77" s="5" t="str">
        <x:v>Course Beta 2026 Term 2</x:v>
      </x:c>
      <x:c r="F77" s="5" t="n">
        <x:v>4</x:v>
      </x:c>
      <x:c r="G77" s="5" t="n">
        <x:f>3+MOD(B77+F77,4)</x:f>
        <x:v>4</x:v>
      </x:c>
      <x:c r="H77" s="5" t="n">
        <x:f>3+MOD(2*B77+F77,4)</x:f>
        <x:v>5</x:v>
      </x:c>
      <x:c r="I77" s="5" t="n">
        <x:f>2+MOD(B77+2*F77,3)</x:f>
        <x:v>2</x:v>
      </x:c>
      <x:c r="J77" s="5" t="n">
        <x:f>2+MOD(2*B77+F77,3)</x:f>
        <x:v>2</x:v>
      </x:c>
      <x:c r="K77" s="5" t="n">
        <x:f>SUM(G77:J77)</x:f>
        <x:v>13</x:v>
      </x:c>
    </x:row>
    <x:row r="78">
      <x:c r="A78" s="5" t="str">
        <x:v>ML26-S013</x:v>
      </x:c>
      <x:c r="B78" s="5" t="n">
        <x:v>13</x:v>
      </x:c>
      <x:c r="C78" s="5" t="str">
        <x:v>B-202</x:v>
      </x:c>
      <x:c r="D78" s="5" t="str">
        <x:v>Model Test</x:v>
      </x:c>
      <x:c r="E78" s="5" t="str">
        <x:v>Course Beta 2026 Term 2</x:v>
      </x:c>
      <x:c r="F78" s="5" t="n">
        <x:v>5</x:v>
      </x:c>
      <x:c r="G78" s="5" t="n">
        <x:f>3+MOD(B78+F78,4)</x:f>
        <x:v>5</x:v>
      </x:c>
      <x:c r="H78" s="5" t="n">
        <x:f>3+MOD(2*B78+F78,4)</x:f>
        <x:v>6</x:v>
      </x:c>
      <x:c r="I78" s="5" t="n">
        <x:f>2+MOD(B78+2*F78,3)</x:f>
        <x:v>4</x:v>
      </x:c>
      <x:c r="J78" s="5" t="n">
        <x:f>2+MOD(2*B78+F78,3)</x:f>
        <x:v>3</x:v>
      </x:c>
      <x:c r="K78" s="5" t="n">
        <x:f>SUM(G78:J78)</x:f>
        <x:v>18</x:v>
      </x:c>
    </x:row>
    <x:row r="79">
      <x:c r="A79" s="5" t="str">
        <x:v>ML26-S013</x:v>
      </x:c>
      <x:c r="B79" s="5" t="n">
        <x:v>13</x:v>
      </x:c>
      <x:c r="C79" s="5" t="str">
        <x:v>B-203</x:v>
      </x:c>
      <x:c r="D79" s="5" t="str">
        <x:v>Design Critique</x:v>
      </x:c>
      <x:c r="E79" s="5" t="str">
        <x:v>Course Beta 2026 Term 2</x:v>
      </x:c>
      <x:c r="F79" s="5" t="n">
        <x:v>6</x:v>
      </x:c>
      <x:c r="G79" s="5" t="n">
        <x:f>3+MOD(B79+F79,4)</x:f>
        <x:v>6</x:v>
      </x:c>
      <x:c r="H79" s="5" t="n">
        <x:f>3+MOD(2*B79+F79,4)</x:f>
        <x:v>3</x:v>
      </x:c>
      <x:c r="I79" s="5" t="n">
        <x:f>2+MOD(B79+2*F79,3)</x:f>
        <x:v>3</x:v>
      </x:c>
      <x:c r="J79" s="5" t="n">
        <x:f>2+MOD(2*B79+F79,3)</x:f>
        <x:v>4</x:v>
      </x:c>
      <x:c r="K79" s="5" t="n">
        <x:f>SUM(G79:J79)</x:f>
        <x:v>16</x:v>
      </x:c>
    </x:row>
    <x:row r="80">
      <x:c r="A80" s="5" t="str">
        <x:v>ML26-S014</x:v>
      </x:c>
      <x:c r="B80" s="5" t="n">
        <x:v>14</x:v>
      </x:c>
      <x:c r="C80" s="5" t="str">
        <x:v>A-101</x:v>
      </x:c>
      <x:c r="D80" s="5" t="str">
        <x:v>Evidence Map</x:v>
      </x:c>
      <x:c r="E80" s="5" t="str">
        <x:v>Course Alpha 2026 Term 1</x:v>
      </x:c>
      <x:c r="F80" s="5" t="n">
        <x:v>1</x:v>
      </x:c>
      <x:c r="G80" s="5" t="n">
        <x:f>3+MOD(B80+F80,4)</x:f>
        <x:v>6</x:v>
      </x:c>
      <x:c r="H80" s="5" t="n">
        <x:f>3+MOD(2*B80+F80,4)</x:f>
        <x:v>4</x:v>
      </x:c>
      <x:c r="I80" s="5" t="n">
        <x:f>2+MOD(B80+2*F80,3)</x:f>
        <x:v>3</x:v>
      </x:c>
      <x:c r="J80" s="5" t="n">
        <x:f>2+MOD(2*B80+F80,3)</x:f>
        <x:v>4</x:v>
      </x:c>
      <x:c r="K80" s="5" t="n">
        <x:f>SUM(G80:J80)</x:f>
        <x:v>17</x:v>
      </x:c>
    </x:row>
    <x:row r="81">
      <x:c r="A81" s="5" t="str">
        <x:v>ML26-S014</x:v>
      </x:c>
      <x:c r="B81" s="5" t="n">
        <x:v>14</x:v>
      </x:c>
      <x:c r="C81" s="5" t="str">
        <x:v>A-102</x:v>
      </x:c>
      <x:c r="D81" s="5" t="str">
        <x:v>Source Comparison</x:v>
      </x:c>
      <x:c r="E81" s="5" t="str">
        <x:v>Course Alpha 2026 Term 1</x:v>
      </x:c>
      <x:c r="F81" s="5" t="n">
        <x:v>2</x:v>
      </x:c>
      <x:c r="G81" s="5" t="n">
        <x:f>3+MOD(B81+F81,4)</x:f>
        <x:v>3</x:v>
      </x:c>
      <x:c r="H81" s="5" t="n">
        <x:f>3+MOD(2*B81+F81,4)</x:f>
        <x:v>5</x:v>
      </x:c>
      <x:c r="I81" s="5" t="n">
        <x:f>2+MOD(B81+2*F81,3)</x:f>
        <x:v>2</x:v>
      </x:c>
      <x:c r="J81" s="5" t="n">
        <x:f>2+MOD(2*B81+F81,3)</x:f>
        <x:v>2</x:v>
      </x:c>
      <x:c r="K81" s="5" t="n">
        <x:f>SUM(G81:J81)</x:f>
        <x:v>12</x:v>
      </x:c>
    </x:row>
    <x:row r="82">
      <x:c r="A82" s="5" t="str">
        <x:v>ML26-S014</x:v>
      </x:c>
      <x:c r="B82" s="5" t="n">
        <x:v>14</x:v>
      </x:c>
      <x:c r="C82" s="5" t="str">
        <x:v>A-103</x:v>
      </x:c>
      <x:c r="D82" s="5" t="str">
        <x:v>Claim-Evidence-Reasoning Brief</x:v>
      </x:c>
      <x:c r="E82" s="5" t="str">
        <x:v>Course Alpha 2026 Term 1</x:v>
      </x:c>
      <x:c r="F82" s="5" t="n">
        <x:v>3</x:v>
      </x:c>
      <x:c r="G82" s="5" t="n">
        <x:f>3+MOD(B82+F82,4)</x:f>
        <x:v>4</x:v>
      </x:c>
      <x:c r="H82" s="5" t="n">
        <x:f>3+MOD(2*B82+F82,4)</x:f>
        <x:v>6</x:v>
      </x:c>
      <x:c r="I82" s="5" t="n">
        <x:f>2+MOD(B82+2*F82,3)</x:f>
        <x:v>4</x:v>
      </x:c>
      <x:c r="J82" s="5" t="n">
        <x:f>2+MOD(2*B82+F82,3)</x:f>
        <x:v>3</x:v>
      </x:c>
      <x:c r="K82" s="5" t="n">
        <x:f>SUM(G82:J82)</x:f>
        <x:v>17</x:v>
      </x:c>
    </x:row>
    <x:row r="83">
      <x:c r="A83" s="5" t="str">
        <x:v>ML26-S014</x:v>
      </x:c>
      <x:c r="B83" s="5" t="n">
        <x:v>14</x:v>
      </x:c>
      <x:c r="C83" s="5" t="str">
        <x:v>B-201</x:v>
      </x:c>
      <x:c r="D83" s="5" t="str">
        <x:v>Scenario Map</x:v>
      </x:c>
      <x:c r="E83" s="5" t="str">
        <x:v>Course Beta 2026 Term 2</x:v>
      </x:c>
      <x:c r="F83" s="5" t="n">
        <x:v>4</x:v>
      </x:c>
      <x:c r="G83" s="5" t="n">
        <x:f>3+MOD(B83+F83,4)</x:f>
        <x:v>5</x:v>
      </x:c>
      <x:c r="H83" s="5" t="n">
        <x:f>3+MOD(2*B83+F83,4)</x:f>
        <x:v>3</x:v>
      </x:c>
      <x:c r="I83" s="5" t="n">
        <x:f>2+MOD(B83+2*F83,3)</x:f>
        <x:v>3</x:v>
      </x:c>
      <x:c r="J83" s="5" t="n">
        <x:f>2+MOD(2*B83+F83,3)</x:f>
        <x:v>4</x:v>
      </x:c>
      <x:c r="K83" s="5" t="n">
        <x:f>SUM(G83:J83)</x:f>
        <x:v>15</x:v>
      </x:c>
    </x:row>
    <x:row r="84">
      <x:c r="A84" s="5" t="str">
        <x:v>ML26-S014</x:v>
      </x:c>
      <x:c r="B84" s="5" t="n">
        <x:v>14</x:v>
      </x:c>
      <x:c r="C84" s="5" t="str">
        <x:v>B-202</x:v>
      </x:c>
      <x:c r="D84" s="5" t="str">
        <x:v>Model Test</x:v>
      </x:c>
      <x:c r="E84" s="5" t="str">
        <x:v>Course Beta 2026 Term 2</x:v>
      </x:c>
      <x:c r="F84" s="5" t="n">
        <x:v>5</x:v>
      </x:c>
      <x:c r="G84" s="5" t="n">
        <x:f>3+MOD(B84+F84,4)</x:f>
        <x:v>6</x:v>
      </x:c>
      <x:c r="H84" s="5" t="n">
        <x:f>3+MOD(2*B84+F84,4)</x:f>
        <x:v>4</x:v>
      </x:c>
      <x:c r="I84" s="5" t="n">
        <x:f>2+MOD(B84+2*F84,3)</x:f>
        <x:v>2</x:v>
      </x:c>
      <x:c r="J84" s="5" t="n">
        <x:f>2+MOD(2*B84+F84,3)</x:f>
        <x:v>2</x:v>
      </x:c>
      <x:c r="K84" s="5" t="n">
        <x:f>SUM(G84:J84)</x:f>
        <x:v>14</x:v>
      </x:c>
    </x:row>
    <x:row r="85">
      <x:c r="A85" s="5" t="str">
        <x:v>ML26-S014</x:v>
      </x:c>
      <x:c r="B85" s="5" t="n">
        <x:v>14</x:v>
      </x:c>
      <x:c r="C85" s="5" t="str">
        <x:v>B-203</x:v>
      </x:c>
      <x:c r="D85" s="5" t="str">
        <x:v>Design Critique</x:v>
      </x:c>
      <x:c r="E85" s="5" t="str">
        <x:v>Course Beta 2026 Term 2</x:v>
      </x:c>
      <x:c r="F85" s="5" t="n">
        <x:v>6</x:v>
      </x:c>
      <x:c r="G85" s="5" t="n">
        <x:f>3+MOD(B85+F85,4)</x:f>
        <x:v>3</x:v>
      </x:c>
      <x:c r="H85" s="5" t="n">
        <x:f>3+MOD(2*B85+F85,4)</x:f>
        <x:v>5</x:v>
      </x:c>
      <x:c r="I85" s="5" t="n">
        <x:f>2+MOD(B85+2*F85,3)</x:f>
        <x:v>4</x:v>
      </x:c>
      <x:c r="J85" s="5" t="n">
        <x:f>2+MOD(2*B85+F85,3)</x:f>
        <x:v>3</x:v>
      </x:c>
      <x:c r="K85" s="5" t="n">
        <x:f>SUM(G85:J85)</x:f>
        <x:v>15</x:v>
      </x:c>
    </x:row>
    <x:row r="86">
      <x:c r="A86" s="5" t="str">
        <x:v>ML26-S015</x:v>
      </x:c>
      <x:c r="B86" s="5" t="n">
        <x:v>15</x:v>
      </x:c>
      <x:c r="C86" s="5" t="str">
        <x:v>A-101</x:v>
      </x:c>
      <x:c r="D86" s="5" t="str">
        <x:v>Evidence Map</x:v>
      </x:c>
      <x:c r="E86" s="5" t="str">
        <x:v>Course Alpha 2026 Term 1</x:v>
      </x:c>
      <x:c r="F86" s="5" t="n">
        <x:v>1</x:v>
      </x:c>
      <x:c r="G86" s="5" t="n">
        <x:f>3+MOD(B86+F86,4)</x:f>
        <x:v>3</x:v>
      </x:c>
      <x:c r="H86" s="5" t="n">
        <x:f>3+MOD(2*B86+F86,4)</x:f>
        <x:v>6</x:v>
      </x:c>
      <x:c r="I86" s="5" t="n">
        <x:f>2+MOD(B86+2*F86,3)</x:f>
        <x:v>4</x:v>
      </x:c>
      <x:c r="J86" s="5" t="n">
        <x:f>2+MOD(2*B86+F86,3)</x:f>
        <x:v>3</x:v>
      </x:c>
      <x:c r="K86" s="5" t="n">
        <x:f>SUM(G86:J86)</x:f>
        <x:v>16</x:v>
      </x:c>
    </x:row>
    <x:row r="87">
      <x:c r="A87" s="5" t="str">
        <x:v>ML26-S015</x:v>
      </x:c>
      <x:c r="B87" s="5" t="n">
        <x:v>15</x:v>
      </x:c>
      <x:c r="C87" s="5" t="str">
        <x:v>A-102</x:v>
      </x:c>
      <x:c r="D87" s="5" t="str">
        <x:v>Source Comparison</x:v>
      </x:c>
      <x:c r="E87" s="5" t="str">
        <x:v>Course Alpha 2026 Term 1</x:v>
      </x:c>
      <x:c r="F87" s="5" t="n">
        <x:v>2</x:v>
      </x:c>
      <x:c r="G87" s="5" t="n">
        <x:f>3+MOD(B87+F87,4)</x:f>
        <x:v>4</x:v>
      </x:c>
      <x:c r="H87" s="5" t="n">
        <x:f>3+MOD(2*B87+F87,4)</x:f>
        <x:v>3</x:v>
      </x:c>
      <x:c r="I87" s="5" t="n">
        <x:f>2+MOD(B87+2*F87,3)</x:f>
        <x:v>3</x:v>
      </x:c>
      <x:c r="J87" s="5" t="n">
        <x:f>2+MOD(2*B87+F87,3)</x:f>
        <x:v>4</x:v>
      </x:c>
      <x:c r="K87" s="5" t="n">
        <x:f>SUM(G87:J87)</x:f>
        <x:v>14</x:v>
      </x:c>
    </x:row>
    <x:row r="88">
      <x:c r="A88" s="5" t="str">
        <x:v>ML26-S015</x:v>
      </x:c>
      <x:c r="B88" s="5" t="n">
        <x:v>15</x:v>
      </x:c>
      <x:c r="C88" s="5" t="str">
        <x:v>A-103</x:v>
      </x:c>
      <x:c r="D88" s="5" t="str">
        <x:v>Claim-Evidence-Reasoning Brief</x:v>
      </x:c>
      <x:c r="E88" s="5" t="str">
        <x:v>Course Alpha 2026 Term 1</x:v>
      </x:c>
      <x:c r="F88" s="5" t="n">
        <x:v>3</x:v>
      </x:c>
      <x:c r="G88" s="5" t="n">
        <x:f>3+MOD(B88+F88,4)</x:f>
        <x:v>5</x:v>
      </x:c>
      <x:c r="H88" s="5" t="n">
        <x:f>3+MOD(2*B88+F88,4)</x:f>
        <x:v>4</x:v>
      </x:c>
      <x:c r="I88" s="5" t="n">
        <x:f>2+MOD(B88+2*F88,3)</x:f>
        <x:v>2</x:v>
      </x:c>
      <x:c r="J88" s="5" t="n">
        <x:f>2+MOD(2*B88+F88,3)</x:f>
        <x:v>2</x:v>
      </x:c>
      <x:c r="K88" s="5" t="n">
        <x:f>SUM(G88:J88)</x:f>
        <x:v>13</x:v>
      </x:c>
    </x:row>
    <x:row r="89">
      <x:c r="A89" s="5" t="str">
        <x:v>ML26-S015</x:v>
      </x:c>
      <x:c r="B89" s="5" t="n">
        <x:v>15</x:v>
      </x:c>
      <x:c r="C89" s="5" t="str">
        <x:v>B-201</x:v>
      </x:c>
      <x:c r="D89" s="5" t="str">
        <x:v>Scenario Map</x:v>
      </x:c>
      <x:c r="E89" s="5" t="str">
        <x:v>Course Beta 2026 Term 2</x:v>
      </x:c>
      <x:c r="F89" s="5" t="n">
        <x:v>4</x:v>
      </x:c>
      <x:c r="G89" s="5" t="n">
        <x:f>3+MOD(B89+F89,4)</x:f>
        <x:v>6</x:v>
      </x:c>
      <x:c r="H89" s="5" t="n">
        <x:f>3+MOD(2*B89+F89,4)</x:f>
        <x:v>5</x:v>
      </x:c>
      <x:c r="I89" s="5" t="n">
        <x:f>2+MOD(B89+2*F89,3)</x:f>
        <x:v>4</x:v>
      </x:c>
      <x:c r="J89" s="5" t="n">
        <x:f>2+MOD(2*B89+F89,3)</x:f>
        <x:v>3</x:v>
      </x:c>
      <x:c r="K89" s="5" t="n">
        <x:f>SUM(G89:J89)</x:f>
        <x:v>18</x:v>
      </x:c>
    </x:row>
    <x:row r="90">
      <x:c r="A90" s="5" t="str">
        <x:v>ML26-S015</x:v>
      </x:c>
      <x:c r="B90" s="5" t="n">
        <x:v>15</x:v>
      </x:c>
      <x:c r="C90" s="5" t="str">
        <x:v>B-202</x:v>
      </x:c>
      <x:c r="D90" s="5" t="str">
        <x:v>Model Test</x:v>
      </x:c>
      <x:c r="E90" s="5" t="str">
        <x:v>Course Beta 2026 Term 2</x:v>
      </x:c>
      <x:c r="F90" s="5" t="n">
        <x:v>5</x:v>
      </x:c>
      <x:c r="G90" s="5" t="n">
        <x:f>3+MOD(B90+F90,4)</x:f>
        <x:v>3</x:v>
      </x:c>
      <x:c r="H90" s="5" t="n">
        <x:f>3+MOD(2*B90+F90,4)</x:f>
        <x:v>6</x:v>
      </x:c>
      <x:c r="I90" s="5" t="n">
        <x:f>2+MOD(B90+2*F90,3)</x:f>
        <x:v>3</x:v>
      </x:c>
      <x:c r="J90" s="5" t="n">
        <x:f>2+MOD(2*B90+F90,3)</x:f>
        <x:v>4</x:v>
      </x:c>
      <x:c r="K90" s="5" t="n">
        <x:f>SUM(G90:J90)</x:f>
        <x:v>16</x:v>
      </x:c>
    </x:row>
    <x:row r="91">
      <x:c r="A91" s="5" t="str">
        <x:v>ML26-S015</x:v>
      </x:c>
      <x:c r="B91" s="5" t="n">
        <x:v>15</x:v>
      </x:c>
      <x:c r="C91" s="5" t="str">
        <x:v>B-203</x:v>
      </x:c>
      <x:c r="D91" s="5" t="str">
        <x:v>Design Critique</x:v>
      </x:c>
      <x:c r="E91" s="5" t="str">
        <x:v>Course Beta 2026 Term 2</x:v>
      </x:c>
      <x:c r="F91" s="5" t="n">
        <x:v>6</x:v>
      </x:c>
      <x:c r="G91" s="5" t="n">
        <x:f>3+MOD(B91+F91,4)</x:f>
        <x:v>4</x:v>
      </x:c>
      <x:c r="H91" s="5" t="n">
        <x:f>3+MOD(2*B91+F91,4)</x:f>
        <x:v>3</x:v>
      </x:c>
      <x:c r="I91" s="5" t="n">
        <x:f>2+MOD(B91+2*F91,3)</x:f>
        <x:v>2</x:v>
      </x:c>
      <x:c r="J91" s="5" t="n">
        <x:f>2+MOD(2*B91+F91,3)</x:f>
        <x:v>2</x:v>
      </x:c>
      <x:c r="K91" s="5" t="n">
        <x:f>SUM(G91:J91)</x:f>
        <x:v>11</x:v>
      </x:c>
    </x:row>
    <x:row r="92">
      <x:c r="A92" s="5" t="str">
        <x:v>ML26-S016</x:v>
      </x:c>
      <x:c r="B92" s="5" t="n">
        <x:v>16</x:v>
      </x:c>
      <x:c r="C92" s="5" t="str">
        <x:v>A-101</x:v>
      </x:c>
      <x:c r="D92" s="5" t="str">
        <x:v>Evidence Map</x:v>
      </x:c>
      <x:c r="E92" s="5" t="str">
        <x:v>Course Alpha 2026 Term 1</x:v>
      </x:c>
      <x:c r="F92" s="5" t="n">
        <x:v>1</x:v>
      </x:c>
      <x:c r="G92" s="5" t="n">
        <x:f>3+MOD(B92+F92,4)</x:f>
        <x:v>4</x:v>
      </x:c>
      <x:c r="H92" s="5" t="n">
        <x:f>3+MOD(2*B92+F92,4)</x:f>
        <x:v>4</x:v>
      </x:c>
      <x:c r="I92" s="5" t="n">
        <x:f>2+MOD(B92+2*F92,3)</x:f>
        <x:v>2</x:v>
      </x:c>
      <x:c r="J92" s="5" t="n">
        <x:f>2+MOD(2*B92+F92,3)</x:f>
        <x:v>2</x:v>
      </x:c>
      <x:c r="K92" s="5" t="n">
        <x:f>SUM(G92:J92)</x:f>
        <x:v>12</x:v>
      </x:c>
    </x:row>
    <x:row r="93">
      <x:c r="A93" s="5" t="str">
        <x:v>ML26-S016</x:v>
      </x:c>
      <x:c r="B93" s="5" t="n">
        <x:v>16</x:v>
      </x:c>
      <x:c r="C93" s="5" t="str">
        <x:v>A-102</x:v>
      </x:c>
      <x:c r="D93" s="5" t="str">
        <x:v>Source Comparison</x:v>
      </x:c>
      <x:c r="E93" s="5" t="str">
        <x:v>Course Alpha 2026 Term 1</x:v>
      </x:c>
      <x:c r="F93" s="5" t="n">
        <x:v>2</x:v>
      </x:c>
      <x:c r="G93" s="5" t="n">
        <x:f>3+MOD(B93+F93,4)</x:f>
        <x:v>5</x:v>
      </x:c>
      <x:c r="H93" s="5" t="n">
        <x:f>3+MOD(2*B93+F93,4)</x:f>
        <x:v>5</x:v>
      </x:c>
      <x:c r="I93" s="5" t="n">
        <x:f>2+MOD(B93+2*F93,3)</x:f>
        <x:v>4</x:v>
      </x:c>
      <x:c r="J93" s="5" t="n">
        <x:f>2+MOD(2*B93+F93,3)</x:f>
        <x:v>3</x:v>
      </x:c>
      <x:c r="K93" s="5" t="n">
        <x:f>SUM(G93:J93)</x:f>
        <x:v>17</x:v>
      </x:c>
    </x:row>
    <x:row r="94">
      <x:c r="A94" s="5" t="str">
        <x:v>ML26-S016</x:v>
      </x:c>
      <x:c r="B94" s="5" t="n">
        <x:v>16</x:v>
      </x:c>
      <x:c r="C94" s="5" t="str">
        <x:v>A-103</x:v>
      </x:c>
      <x:c r="D94" s="5" t="str">
        <x:v>Claim-Evidence-Reasoning Brief</x:v>
      </x:c>
      <x:c r="E94" s="5" t="str">
        <x:v>Course Alpha 2026 Term 1</x:v>
      </x:c>
      <x:c r="F94" s="5" t="n">
        <x:v>3</x:v>
      </x:c>
      <x:c r="G94" s="5" t="n">
        <x:f>3+MOD(B94+F94,4)</x:f>
        <x:v>6</x:v>
      </x:c>
      <x:c r="H94" s="5" t="n">
        <x:f>3+MOD(2*B94+F94,4)</x:f>
        <x:v>6</x:v>
      </x:c>
      <x:c r="I94" s="5" t="n">
        <x:f>2+MOD(B94+2*F94,3)</x:f>
        <x:v>3</x:v>
      </x:c>
      <x:c r="J94" s="5" t="n">
        <x:f>2+MOD(2*B94+F94,3)</x:f>
        <x:v>4</x:v>
      </x:c>
      <x:c r="K94" s="5" t="n">
        <x:f>SUM(G94:J94)</x:f>
        <x:v>19</x:v>
      </x:c>
    </x:row>
    <x:row r="95">
      <x:c r="A95" s="5" t="str">
        <x:v>ML26-S016</x:v>
      </x:c>
      <x:c r="B95" s="5" t="n">
        <x:v>16</x:v>
      </x:c>
      <x:c r="C95" s="5" t="str">
        <x:v>B-201</x:v>
      </x:c>
      <x:c r="D95" s="5" t="str">
        <x:v>Scenario Map</x:v>
      </x:c>
      <x:c r="E95" s="5" t="str">
        <x:v>Course Beta 2026 Term 2</x:v>
      </x:c>
      <x:c r="F95" s="5" t="n">
        <x:v>4</x:v>
      </x:c>
      <x:c r="G95" s="5" t="n">
        <x:f>3+MOD(B95+F95,4)</x:f>
        <x:v>3</x:v>
      </x:c>
      <x:c r="H95" s="5" t="n">
        <x:f>3+MOD(2*B95+F95,4)</x:f>
        <x:v>3</x:v>
      </x:c>
      <x:c r="I95" s="5" t="n">
        <x:f>2+MOD(B95+2*F95,3)</x:f>
        <x:v>2</x:v>
      </x:c>
      <x:c r="J95" s="5" t="n">
        <x:f>2+MOD(2*B95+F95,3)</x:f>
        <x:v>2</x:v>
      </x:c>
      <x:c r="K95" s="5" t="n">
        <x:f>SUM(G95:J95)</x:f>
        <x:v>10</x:v>
      </x:c>
    </x:row>
    <x:row r="96">
      <x:c r="A96" s="5" t="str">
        <x:v>ML26-S016</x:v>
      </x:c>
      <x:c r="B96" s="5" t="n">
        <x:v>16</x:v>
      </x:c>
      <x:c r="C96" s="5" t="str">
        <x:v>B-202</x:v>
      </x:c>
      <x:c r="D96" s="5" t="str">
        <x:v>Model Test</x:v>
      </x:c>
      <x:c r="E96" s="5" t="str">
        <x:v>Course Beta 2026 Term 2</x:v>
      </x:c>
      <x:c r="F96" s="5" t="n">
        <x:v>5</x:v>
      </x:c>
      <x:c r="G96" s="5" t="n">
        <x:f>3+MOD(B96+F96,4)</x:f>
        <x:v>4</x:v>
      </x:c>
      <x:c r="H96" s="5" t="n">
        <x:f>3+MOD(2*B96+F96,4)</x:f>
        <x:v>4</x:v>
      </x:c>
      <x:c r="I96" s="5" t="n">
        <x:f>2+MOD(B96+2*F96,3)</x:f>
        <x:v>4</x:v>
      </x:c>
      <x:c r="J96" s="5" t="n">
        <x:f>2+MOD(2*B96+F96,3)</x:f>
        <x:v>3</x:v>
      </x:c>
      <x:c r="K96" s="5" t="n">
        <x:f>SUM(G96:J96)</x:f>
        <x:v>15</x:v>
      </x:c>
    </x:row>
    <x:row r="97">
      <x:c r="A97" s="5" t="str">
        <x:v>ML26-S016</x:v>
      </x:c>
      <x:c r="B97" s="5" t="n">
        <x:v>16</x:v>
      </x:c>
      <x:c r="C97" s="5" t="str">
        <x:v>B-203</x:v>
      </x:c>
      <x:c r="D97" s="5" t="str">
        <x:v>Design Critique</x:v>
      </x:c>
      <x:c r="E97" s="5" t="str">
        <x:v>Course Beta 2026 Term 2</x:v>
      </x:c>
      <x:c r="F97" s="5" t="n">
        <x:v>6</x:v>
      </x:c>
      <x:c r="G97" s="5" t="n">
        <x:f>3+MOD(B97+F97,4)</x:f>
        <x:v>5</x:v>
      </x:c>
      <x:c r="H97" s="5" t="n">
        <x:f>3+MOD(2*B97+F97,4)</x:f>
        <x:v>5</x:v>
      </x:c>
      <x:c r="I97" s="5" t="n">
        <x:f>2+MOD(B97+2*F97,3)</x:f>
        <x:v>3</x:v>
      </x:c>
      <x:c r="J97" s="5" t="n">
        <x:f>2+MOD(2*B97+F97,3)</x:f>
        <x:v>4</x:v>
      </x:c>
      <x:c r="K97" s="5" t="n">
        <x:f>SUM(G97:J97)</x:f>
        <x:v>17</x:v>
      </x:c>
    </x:row>
    <x:row r="98">
      <x:c r="A98" s="5" t="str">
        <x:v>ML26-S017</x:v>
      </x:c>
      <x:c r="B98" s="5" t="n">
        <x:v>17</x:v>
      </x:c>
      <x:c r="C98" s="5" t="str">
        <x:v>A-101</x:v>
      </x:c>
      <x:c r="D98" s="5" t="str">
        <x:v>Evidence Map</x:v>
      </x:c>
      <x:c r="E98" s="5" t="str">
        <x:v>Course Alpha 2026 Term 1</x:v>
      </x:c>
      <x:c r="F98" s="5" t="n">
        <x:v>1</x:v>
      </x:c>
      <x:c r="G98" s="5" t="n">
        <x:f>3+MOD(B98+F98,4)</x:f>
        <x:v>5</x:v>
      </x:c>
      <x:c r="H98" s="5" t="n">
        <x:f>3+MOD(2*B98+F98,4)</x:f>
        <x:v>6</x:v>
      </x:c>
      <x:c r="I98" s="5" t="n">
        <x:f>2+MOD(B98+2*F98,3)</x:f>
        <x:v>3</x:v>
      </x:c>
      <x:c r="J98" s="5" t="n">
        <x:f>2+MOD(2*B98+F98,3)</x:f>
        <x:v>4</x:v>
      </x:c>
      <x:c r="K98" s="5" t="n">
        <x:f>SUM(G98:J98)</x:f>
        <x:v>18</x:v>
      </x:c>
    </x:row>
    <x:row r="99">
      <x:c r="A99" s="5" t="str">
        <x:v>ML26-S017</x:v>
      </x:c>
      <x:c r="B99" s="5" t="n">
        <x:v>17</x:v>
      </x:c>
      <x:c r="C99" s="5" t="str">
        <x:v>A-102</x:v>
      </x:c>
      <x:c r="D99" s="5" t="str">
        <x:v>Source Comparison</x:v>
      </x:c>
      <x:c r="E99" s="5" t="str">
        <x:v>Course Alpha 2026 Term 1</x:v>
      </x:c>
      <x:c r="F99" s="5" t="n">
        <x:v>2</x:v>
      </x:c>
      <x:c r="G99" s="5" t="n">
        <x:f>3+MOD(B99+F99,4)</x:f>
        <x:v>6</x:v>
      </x:c>
      <x:c r="H99" s="5" t="n">
        <x:f>3+MOD(2*B99+F99,4)</x:f>
        <x:v>3</x:v>
      </x:c>
      <x:c r="I99" s="5" t="n">
        <x:f>2+MOD(B99+2*F99,3)</x:f>
        <x:v>2</x:v>
      </x:c>
      <x:c r="J99" s="5" t="n">
        <x:f>2+MOD(2*B99+F99,3)</x:f>
        <x:v>2</x:v>
      </x:c>
      <x:c r="K99" s="5" t="n">
        <x:f>SUM(G99:J99)</x:f>
        <x:v>13</x:v>
      </x:c>
    </x:row>
    <x:row r="100">
      <x:c r="A100" s="5" t="str">
        <x:v>ML26-S017</x:v>
      </x:c>
      <x:c r="B100" s="5" t="n">
        <x:v>17</x:v>
      </x:c>
      <x:c r="C100" s="5" t="str">
        <x:v>A-103</x:v>
      </x:c>
      <x:c r="D100" s="5" t="str">
        <x:v>Claim-Evidence-Reasoning Brief</x:v>
      </x:c>
      <x:c r="E100" s="5" t="str">
        <x:v>Course Alpha 2026 Term 1</x:v>
      </x:c>
      <x:c r="F100" s="5" t="n">
        <x:v>3</x:v>
      </x:c>
      <x:c r="G100" s="5" t="n">
        <x:f>3+MOD(B100+F100,4)</x:f>
        <x:v>3</x:v>
      </x:c>
      <x:c r="H100" s="5" t="n">
        <x:f>3+MOD(2*B100+F100,4)</x:f>
        <x:v>4</x:v>
      </x:c>
      <x:c r="I100" s="5" t="n">
        <x:f>2+MOD(B100+2*F100,3)</x:f>
        <x:v>4</x:v>
      </x:c>
      <x:c r="J100" s="5" t="n">
        <x:f>2+MOD(2*B100+F100,3)</x:f>
        <x:v>3</x:v>
      </x:c>
      <x:c r="K100" s="5" t="n">
        <x:f>SUM(G100:J100)</x:f>
        <x:v>14</x:v>
      </x:c>
    </x:row>
    <x:row r="101">
      <x:c r="A101" s="5" t="str">
        <x:v>ML26-S017</x:v>
      </x:c>
      <x:c r="B101" s="5" t="n">
        <x:v>17</x:v>
      </x:c>
      <x:c r="C101" s="5" t="str">
        <x:v>B-201</x:v>
      </x:c>
      <x:c r="D101" s="5" t="str">
        <x:v>Scenario Map</x:v>
      </x:c>
      <x:c r="E101" s="5" t="str">
        <x:v>Course Beta 2026 Term 2</x:v>
      </x:c>
      <x:c r="F101" s="5" t="n">
        <x:v>4</x:v>
      </x:c>
      <x:c r="G101" s="5" t="n">
        <x:f>3+MOD(B101+F101,4)</x:f>
        <x:v>4</x:v>
      </x:c>
      <x:c r="H101" s="5" t="n">
        <x:f>3+MOD(2*B101+F101,4)</x:f>
        <x:v>5</x:v>
      </x:c>
      <x:c r="I101" s="5" t="n">
        <x:f>2+MOD(B101+2*F101,3)</x:f>
        <x:v>3</x:v>
      </x:c>
      <x:c r="J101" s="5" t="n">
        <x:f>2+MOD(2*B101+F101,3)</x:f>
        <x:v>4</x:v>
      </x:c>
      <x:c r="K101" s="5" t="n">
        <x:f>SUM(G101:J101)</x:f>
        <x:v>16</x:v>
      </x:c>
    </x:row>
    <x:row r="102">
      <x:c r="A102" s="5" t="str">
        <x:v>ML26-S017</x:v>
      </x:c>
      <x:c r="B102" s="5" t="n">
        <x:v>17</x:v>
      </x:c>
      <x:c r="C102" s="5" t="str">
        <x:v>B-202</x:v>
      </x:c>
      <x:c r="D102" s="5" t="str">
        <x:v>Model Test</x:v>
      </x:c>
      <x:c r="E102" s="5" t="str">
        <x:v>Course Beta 2026 Term 2</x:v>
      </x:c>
      <x:c r="F102" s="5" t="n">
        <x:v>5</x:v>
      </x:c>
      <x:c r="G102" s="5" t="n">
        <x:f>3+MOD(B102+F102,4)</x:f>
        <x:v>5</x:v>
      </x:c>
      <x:c r="H102" s="5" t="n">
        <x:f>3+MOD(2*B102+F102,4)</x:f>
        <x:v>6</x:v>
      </x:c>
      <x:c r="I102" s="5" t="n">
        <x:f>2+MOD(B102+2*F102,3)</x:f>
        <x:v>2</x:v>
      </x:c>
      <x:c r="J102" s="5" t="n">
        <x:f>2+MOD(2*B102+F102,3)</x:f>
        <x:v>2</x:v>
      </x:c>
      <x:c r="K102" s="5" t="n">
        <x:f>SUM(G102:J102)</x:f>
        <x:v>15</x:v>
      </x:c>
    </x:row>
    <x:row r="103">
      <x:c r="A103" s="5" t="str">
        <x:v>ML26-S017</x:v>
      </x:c>
      <x:c r="B103" s="5" t="n">
        <x:v>17</x:v>
      </x:c>
      <x:c r="C103" s="5" t="str">
        <x:v>B-203</x:v>
      </x:c>
      <x:c r="D103" s="5" t="str">
        <x:v>Design Critique</x:v>
      </x:c>
      <x:c r="E103" s="5" t="str">
        <x:v>Course Beta 2026 Term 2</x:v>
      </x:c>
      <x:c r="F103" s="5" t="n">
        <x:v>6</x:v>
      </x:c>
      <x:c r="G103" s="5" t="n">
        <x:f>3+MOD(B103+F103,4)</x:f>
        <x:v>6</x:v>
      </x:c>
      <x:c r="H103" s="5" t="n">
        <x:f>3+MOD(2*B103+F103,4)</x:f>
        <x:v>3</x:v>
      </x:c>
      <x:c r="I103" s="5" t="n">
        <x:f>2+MOD(B103+2*F103,3)</x:f>
        <x:v>4</x:v>
      </x:c>
      <x:c r="J103" s="5" t="n">
        <x:f>2+MOD(2*B103+F103,3)</x:f>
        <x:v>3</x:v>
      </x:c>
      <x:c r="K103" s="5" t="n">
        <x:f>SUM(G103:J103)</x:f>
        <x:v>16</x:v>
      </x:c>
    </x:row>
    <x:row r="104">
      <x:c r="A104" s="5" t="str">
        <x:v>ML26-S018</x:v>
      </x:c>
      <x:c r="B104" s="5" t="n">
        <x:v>18</x:v>
      </x:c>
      <x:c r="C104" s="5" t="str">
        <x:v>A-101</x:v>
      </x:c>
      <x:c r="D104" s="5" t="str">
        <x:v>Evidence Map</x:v>
      </x:c>
      <x:c r="E104" s="5" t="str">
        <x:v>Course Alpha 2026 Term 1</x:v>
      </x:c>
      <x:c r="F104" s="5" t="n">
        <x:v>1</x:v>
      </x:c>
      <x:c r="G104" s="5" t="n">
        <x:f>3+MOD(B104+F104,4)</x:f>
        <x:v>6</x:v>
      </x:c>
      <x:c r="H104" s="5" t="n">
        <x:f>3+MOD(2*B104+F104,4)</x:f>
        <x:v>4</x:v>
      </x:c>
      <x:c r="I104" s="5" t="n">
        <x:f>2+MOD(B104+2*F104,3)</x:f>
        <x:v>4</x:v>
      </x:c>
      <x:c r="J104" s="5" t="n">
        <x:f>2+MOD(2*B104+F104,3)</x:f>
        <x:v>3</x:v>
      </x:c>
      <x:c r="K104" s="5" t="n">
        <x:f>SUM(G104:J104)</x:f>
        <x:v>17</x:v>
      </x:c>
    </x:row>
    <x:row r="105">
      <x:c r="A105" s="5" t="str">
        <x:v>ML26-S018</x:v>
      </x:c>
      <x:c r="B105" s="5" t="n">
        <x:v>18</x:v>
      </x:c>
      <x:c r="C105" s="5" t="str">
        <x:v>A-102</x:v>
      </x:c>
      <x:c r="D105" s="5" t="str">
        <x:v>Source Comparison</x:v>
      </x:c>
      <x:c r="E105" s="5" t="str">
        <x:v>Course Alpha 2026 Term 1</x:v>
      </x:c>
      <x:c r="F105" s="5" t="n">
        <x:v>2</x:v>
      </x:c>
      <x:c r="G105" s="5" t="n">
        <x:f>3+MOD(B105+F105,4)</x:f>
        <x:v>3</x:v>
      </x:c>
      <x:c r="H105" s="5" t="n">
        <x:f>3+MOD(2*B105+F105,4)</x:f>
        <x:v>5</x:v>
      </x:c>
      <x:c r="I105" s="5" t="n">
        <x:f>2+MOD(B105+2*F105,3)</x:f>
        <x:v>3</x:v>
      </x:c>
      <x:c r="J105" s="5" t="n">
        <x:f>2+MOD(2*B105+F105,3)</x:f>
        <x:v>4</x:v>
      </x:c>
      <x:c r="K105" s="5" t="n">
        <x:f>SUM(G105:J105)</x:f>
        <x:v>15</x:v>
      </x:c>
    </x:row>
    <x:row r="106">
      <x:c r="A106" s="5" t="str">
        <x:v>ML26-S018</x:v>
      </x:c>
      <x:c r="B106" s="5" t="n">
        <x:v>18</x:v>
      </x:c>
      <x:c r="C106" s="5" t="str">
        <x:v>A-103</x:v>
      </x:c>
      <x:c r="D106" s="5" t="str">
        <x:v>Claim-Evidence-Reasoning Brief</x:v>
      </x:c>
      <x:c r="E106" s="5" t="str">
        <x:v>Course Alpha 2026 Term 1</x:v>
      </x:c>
      <x:c r="F106" s="5" t="n">
        <x:v>3</x:v>
      </x:c>
      <x:c r="G106" s="5" t="n">
        <x:f>3+MOD(B106+F106,4)</x:f>
        <x:v>4</x:v>
      </x:c>
      <x:c r="H106" s="5" t="n">
        <x:f>3+MOD(2*B106+F106,4)</x:f>
        <x:v>6</x:v>
      </x:c>
      <x:c r="I106" s="5" t="n">
        <x:f>2+MOD(B106+2*F106,3)</x:f>
        <x:v>2</x:v>
      </x:c>
      <x:c r="J106" s="5" t="n">
        <x:f>2+MOD(2*B106+F106,3)</x:f>
        <x:v>2</x:v>
      </x:c>
      <x:c r="K106" s="5" t="n">
        <x:f>SUM(G106:J106)</x:f>
        <x:v>14</x:v>
      </x:c>
    </x:row>
    <x:row r="107">
      <x:c r="A107" s="5" t="str">
        <x:v>ML26-S018</x:v>
      </x:c>
      <x:c r="B107" s="5" t="n">
        <x:v>18</x:v>
      </x:c>
      <x:c r="C107" s="5" t="str">
        <x:v>B-201</x:v>
      </x:c>
      <x:c r="D107" s="5" t="str">
        <x:v>Scenario Map</x:v>
      </x:c>
      <x:c r="E107" s="5" t="str">
        <x:v>Course Beta 2026 Term 2</x:v>
      </x:c>
      <x:c r="F107" s="5" t="n">
        <x:v>4</x:v>
      </x:c>
      <x:c r="G107" s="5" t="n">
        <x:f>3+MOD(B107+F107,4)</x:f>
        <x:v>5</x:v>
      </x:c>
      <x:c r="H107" s="5" t="n">
        <x:f>3+MOD(2*B107+F107,4)</x:f>
        <x:v>3</x:v>
      </x:c>
      <x:c r="I107" s="5" t="n">
        <x:f>2+MOD(B107+2*F107,3)</x:f>
        <x:v>4</x:v>
      </x:c>
      <x:c r="J107" s="5" t="n">
        <x:f>2+MOD(2*B107+F107,3)</x:f>
        <x:v>3</x:v>
      </x:c>
      <x:c r="K107" s="5" t="n">
        <x:f>SUM(G107:J107)</x:f>
        <x:v>15</x:v>
      </x:c>
    </x:row>
    <x:row r="108">
      <x:c r="A108" s="5" t="str">
        <x:v>ML26-S018</x:v>
      </x:c>
      <x:c r="B108" s="5" t="n">
        <x:v>18</x:v>
      </x:c>
      <x:c r="C108" s="5" t="str">
        <x:v>B-202</x:v>
      </x:c>
      <x:c r="D108" s="5" t="str">
        <x:v>Model Test</x:v>
      </x:c>
      <x:c r="E108" s="5" t="str">
        <x:v>Course Beta 2026 Term 2</x:v>
      </x:c>
      <x:c r="F108" s="5" t="n">
        <x:v>5</x:v>
      </x:c>
      <x:c r="G108" s="5" t="n">
        <x:f>3+MOD(B108+F108,4)</x:f>
        <x:v>6</x:v>
      </x:c>
      <x:c r="H108" s="5" t="n">
        <x:f>3+MOD(2*B108+F108,4)</x:f>
        <x:v>4</x:v>
      </x:c>
      <x:c r="I108" s="5" t="n">
        <x:f>2+MOD(B108+2*F108,3)</x:f>
        <x:v>3</x:v>
      </x:c>
      <x:c r="J108" s="5" t="n">
        <x:f>2+MOD(2*B108+F108,3)</x:f>
        <x:v>4</x:v>
      </x:c>
      <x:c r="K108" s="5" t="n">
        <x:f>SUM(G108:J108)</x:f>
        <x:v>17</x:v>
      </x:c>
    </x:row>
    <x:row r="109">
      <x:c r="A109" s="5" t="str">
        <x:v>ML26-S018</x:v>
      </x:c>
      <x:c r="B109" s="5" t="n">
        <x:v>18</x:v>
      </x:c>
      <x:c r="C109" s="5" t="str">
        <x:v>B-203</x:v>
      </x:c>
      <x:c r="D109" s="5" t="str">
        <x:v>Design Critique</x:v>
      </x:c>
      <x:c r="E109" s="5" t="str">
        <x:v>Course Beta 2026 Term 2</x:v>
      </x:c>
      <x:c r="F109" s="5" t="n">
        <x:v>6</x:v>
      </x:c>
      <x:c r="G109" s="5" t="n">
        <x:f>3+MOD(B109+F109,4)</x:f>
        <x:v>3</x:v>
      </x:c>
      <x:c r="H109" s="5" t="n">
        <x:f>3+MOD(2*B109+F109,4)</x:f>
        <x:v>5</x:v>
      </x:c>
      <x:c r="I109" s="5" t="n">
        <x:f>2+MOD(B109+2*F109,3)</x:f>
        <x:v>2</x:v>
      </x:c>
      <x:c r="J109" s="5" t="n">
        <x:f>2+MOD(2*B109+F109,3)</x:f>
        <x:v>2</x:v>
      </x:c>
      <x:c r="K109" s="5" t="n">
        <x:f>SUM(G109:J109)</x:f>
        <x:v>12</x:v>
      </x:c>
    </x:row>
    <x:row r="110">
      <x:c r="A110" s="5" t="str">
        <x:v>ML26-S019</x:v>
      </x:c>
      <x:c r="B110" s="5" t="n">
        <x:v>19</x:v>
      </x:c>
      <x:c r="C110" s="5" t="str">
        <x:v>A-101</x:v>
      </x:c>
      <x:c r="D110" s="5" t="str">
        <x:v>Evidence Map</x:v>
      </x:c>
      <x:c r="E110" s="5" t="str">
        <x:v>Course Alpha 2026 Term 1</x:v>
      </x:c>
      <x:c r="F110" s="5" t="n">
        <x:v>1</x:v>
      </x:c>
      <x:c r="G110" s="5" t="n">
        <x:f>3+MOD(B110+F110,4)</x:f>
        <x:v>3</x:v>
      </x:c>
      <x:c r="H110" s="5" t="n">
        <x:f>3+MOD(2*B110+F110,4)</x:f>
        <x:v>6</x:v>
      </x:c>
      <x:c r="I110" s="5" t="n">
        <x:f>2+MOD(B110+2*F110,3)</x:f>
        <x:v>2</x:v>
      </x:c>
      <x:c r="J110" s="5" t="n">
        <x:f>2+MOD(2*B110+F110,3)</x:f>
        <x:v>2</x:v>
      </x:c>
      <x:c r="K110" s="5" t="n">
        <x:f>SUM(G110:J110)</x:f>
        <x:v>13</x:v>
      </x:c>
    </x:row>
    <x:row r="111">
      <x:c r="A111" s="5" t="str">
        <x:v>ML26-S019</x:v>
      </x:c>
      <x:c r="B111" s="5" t="n">
        <x:v>19</x:v>
      </x:c>
      <x:c r="C111" s="5" t="str">
        <x:v>A-102</x:v>
      </x:c>
      <x:c r="D111" s="5" t="str">
        <x:v>Source Comparison</x:v>
      </x:c>
      <x:c r="E111" s="5" t="str">
        <x:v>Course Alpha 2026 Term 1</x:v>
      </x:c>
      <x:c r="F111" s="5" t="n">
        <x:v>2</x:v>
      </x:c>
      <x:c r="G111" s="5" t="n">
        <x:f>3+MOD(B111+F111,4)</x:f>
        <x:v>4</x:v>
      </x:c>
      <x:c r="H111" s="5" t="n">
        <x:f>3+MOD(2*B111+F111,4)</x:f>
        <x:v>3</x:v>
      </x:c>
      <x:c r="I111" s="5" t="n">
        <x:f>2+MOD(B111+2*F111,3)</x:f>
        <x:v>4</x:v>
      </x:c>
      <x:c r="J111" s="5" t="n">
        <x:f>2+MOD(2*B111+F111,3)</x:f>
        <x:v>3</x:v>
      </x:c>
      <x:c r="K111" s="5" t="n">
        <x:f>SUM(G111:J111)</x:f>
        <x:v>14</x:v>
      </x:c>
    </x:row>
    <x:row r="112">
      <x:c r="A112" s="5" t="str">
        <x:v>ML26-S019</x:v>
      </x:c>
      <x:c r="B112" s="5" t="n">
        <x:v>19</x:v>
      </x:c>
      <x:c r="C112" s="5" t="str">
        <x:v>A-103</x:v>
      </x:c>
      <x:c r="D112" s="5" t="str">
        <x:v>Claim-Evidence-Reasoning Brief</x:v>
      </x:c>
      <x:c r="E112" s="5" t="str">
        <x:v>Course Alpha 2026 Term 1</x:v>
      </x:c>
      <x:c r="F112" s="5" t="n">
        <x:v>3</x:v>
      </x:c>
      <x:c r="G112" s="5" t="n">
        <x:f>3+MOD(B112+F112,4)</x:f>
        <x:v>5</x:v>
      </x:c>
      <x:c r="H112" s="5" t="n">
        <x:f>3+MOD(2*B112+F112,4)</x:f>
        <x:v>4</x:v>
      </x:c>
      <x:c r="I112" s="5" t="n">
        <x:f>2+MOD(B112+2*F112,3)</x:f>
        <x:v>3</x:v>
      </x:c>
      <x:c r="J112" s="5" t="n">
        <x:f>2+MOD(2*B112+F112,3)</x:f>
        <x:v>4</x:v>
      </x:c>
      <x:c r="K112" s="5" t="n">
        <x:f>SUM(G112:J112)</x:f>
        <x:v>16</x:v>
      </x:c>
    </x:row>
    <x:row r="113">
      <x:c r="A113" s="5" t="str">
        <x:v>ML26-S019</x:v>
      </x:c>
      <x:c r="B113" s="5" t="n">
        <x:v>19</x:v>
      </x:c>
      <x:c r="C113" s="5" t="str">
        <x:v>B-201</x:v>
      </x:c>
      <x:c r="D113" s="5" t="str">
        <x:v>Scenario Map</x:v>
      </x:c>
      <x:c r="E113" s="5" t="str">
        <x:v>Course Beta 2026 Term 2</x:v>
      </x:c>
      <x:c r="F113" s="5" t="n">
        <x:v>4</x:v>
      </x:c>
      <x:c r="G113" s="5" t="n">
        <x:f>3+MOD(B113+F113,4)</x:f>
        <x:v>6</x:v>
      </x:c>
      <x:c r="H113" s="5" t="n">
        <x:f>3+MOD(2*B113+F113,4)</x:f>
        <x:v>5</x:v>
      </x:c>
      <x:c r="I113" s="5" t="n">
        <x:f>2+MOD(B113+2*F113,3)</x:f>
        <x:v>2</x:v>
      </x:c>
      <x:c r="J113" s="5" t="n">
        <x:f>2+MOD(2*B113+F113,3)</x:f>
        <x:v>2</x:v>
      </x:c>
      <x:c r="K113" s="5" t="n">
        <x:f>SUM(G113:J113)</x:f>
        <x:v>15</x:v>
      </x:c>
    </x:row>
    <x:row r="114">
      <x:c r="A114" s="5" t="str">
        <x:v>ML26-S019</x:v>
      </x:c>
      <x:c r="B114" s="5" t="n">
        <x:v>19</x:v>
      </x:c>
      <x:c r="C114" s="5" t="str">
        <x:v>B-202</x:v>
      </x:c>
      <x:c r="D114" s="5" t="str">
        <x:v>Model Test</x:v>
      </x:c>
      <x:c r="E114" s="5" t="str">
        <x:v>Course Beta 2026 Term 2</x:v>
      </x:c>
      <x:c r="F114" s="5" t="n">
        <x:v>5</x:v>
      </x:c>
      <x:c r="G114" s="5" t="n">
        <x:f>3+MOD(B114+F114,4)</x:f>
        <x:v>3</x:v>
      </x:c>
      <x:c r="H114" s="5" t="n">
        <x:f>3+MOD(2*B114+F114,4)</x:f>
        <x:v>6</x:v>
      </x:c>
      <x:c r="I114" s="5" t="n">
        <x:f>2+MOD(B114+2*F114,3)</x:f>
        <x:v>4</x:v>
      </x:c>
      <x:c r="J114" s="5" t="n">
        <x:f>2+MOD(2*B114+F114,3)</x:f>
        <x:v>3</x:v>
      </x:c>
      <x:c r="K114" s="5" t="n">
        <x:f>SUM(G114:J114)</x:f>
        <x:v>16</x:v>
      </x:c>
    </x:row>
    <x:row r="115">
      <x:c r="A115" s="5" t="str">
        <x:v>ML26-S019</x:v>
      </x:c>
      <x:c r="B115" s="5" t="n">
        <x:v>19</x:v>
      </x:c>
      <x:c r="C115" s="5" t="str">
        <x:v>B-203</x:v>
      </x:c>
      <x:c r="D115" s="5" t="str">
        <x:v>Design Critique</x:v>
      </x:c>
      <x:c r="E115" s="5" t="str">
        <x:v>Course Beta 2026 Term 2</x:v>
      </x:c>
      <x:c r="F115" s="5" t="n">
        <x:v>6</x:v>
      </x:c>
      <x:c r="G115" s="5" t="n">
        <x:f>3+MOD(B115+F115,4)</x:f>
        <x:v>4</x:v>
      </x:c>
      <x:c r="H115" s="5" t="n">
        <x:f>3+MOD(2*B115+F115,4)</x:f>
        <x:v>3</x:v>
      </x:c>
      <x:c r="I115" s="5" t="n">
        <x:f>2+MOD(B115+2*F115,3)</x:f>
        <x:v>3</x:v>
      </x:c>
      <x:c r="J115" s="5" t="n">
        <x:f>2+MOD(2*B115+F115,3)</x:f>
        <x:v>4</x:v>
      </x:c>
      <x:c r="K115" s="5" t="n">
        <x:f>SUM(G115:J115)</x:f>
        <x:v>14</x:v>
      </x:c>
    </x:row>
    <x:row r="116">
      <x:c r="A116" s="5" t="str">
        <x:v>ML26-S020</x:v>
      </x:c>
      <x:c r="B116" s="5" t="n">
        <x:v>20</x:v>
      </x:c>
      <x:c r="C116" s="5" t="str">
        <x:v>A-101</x:v>
      </x:c>
      <x:c r="D116" s="5" t="str">
        <x:v>Evidence Map</x:v>
      </x:c>
      <x:c r="E116" s="5" t="str">
        <x:v>Course Alpha 2026 Term 1</x:v>
      </x:c>
      <x:c r="F116" s="5" t="n">
        <x:v>1</x:v>
      </x:c>
      <x:c r="G116" s="5" t="n">
        <x:f>3+MOD(B116+F116,4)</x:f>
        <x:v>4</x:v>
      </x:c>
      <x:c r="H116" s="5" t="n">
        <x:f>3+MOD(2*B116+F116,4)</x:f>
        <x:v>4</x:v>
      </x:c>
      <x:c r="I116" s="5" t="n">
        <x:f>2+MOD(B116+2*F116,3)</x:f>
        <x:v>3</x:v>
      </x:c>
      <x:c r="J116" s="5" t="n">
        <x:f>2+MOD(2*B116+F116,3)</x:f>
        <x:v>4</x:v>
      </x:c>
      <x:c r="K116" s="5" t="n">
        <x:f>SUM(G116:J116)</x:f>
        <x:v>15</x:v>
      </x:c>
    </x:row>
    <x:row r="117">
      <x:c r="A117" s="5" t="str">
        <x:v>ML26-S020</x:v>
      </x:c>
      <x:c r="B117" s="5" t="n">
        <x:v>20</x:v>
      </x:c>
      <x:c r="C117" s="5" t="str">
        <x:v>A-102</x:v>
      </x:c>
      <x:c r="D117" s="5" t="str">
        <x:v>Source Comparison</x:v>
      </x:c>
      <x:c r="E117" s="5" t="str">
        <x:v>Course Alpha 2026 Term 1</x:v>
      </x:c>
      <x:c r="F117" s="5" t="n">
        <x:v>2</x:v>
      </x:c>
      <x:c r="G117" s="5" t="n">
        <x:f>3+MOD(B117+F117,4)</x:f>
        <x:v>5</x:v>
      </x:c>
      <x:c r="H117" s="5" t="n">
        <x:f>3+MOD(2*B117+F117,4)</x:f>
        <x:v>5</x:v>
      </x:c>
      <x:c r="I117" s="5" t="n">
        <x:f>2+MOD(B117+2*F117,3)</x:f>
        <x:v>2</x:v>
      </x:c>
      <x:c r="J117" s="5" t="n">
        <x:f>2+MOD(2*B117+F117,3)</x:f>
        <x:v>2</x:v>
      </x:c>
      <x:c r="K117" s="5" t="n">
        <x:f>SUM(G117:J117)</x:f>
        <x:v>14</x:v>
      </x:c>
    </x:row>
    <x:row r="118">
      <x:c r="A118" s="5" t="str">
        <x:v>ML26-S020</x:v>
      </x:c>
      <x:c r="B118" s="5" t="n">
        <x:v>20</x:v>
      </x:c>
      <x:c r="C118" s="5" t="str">
        <x:v>A-103</x:v>
      </x:c>
      <x:c r="D118" s="5" t="str">
        <x:v>Claim-Evidence-Reasoning Brief</x:v>
      </x:c>
      <x:c r="E118" s="5" t="str">
        <x:v>Course Alpha 2026 Term 1</x:v>
      </x:c>
      <x:c r="F118" s="5" t="n">
        <x:v>3</x:v>
      </x:c>
      <x:c r="G118" s="5" t="n">
        <x:f>3+MOD(B118+F118,4)</x:f>
        <x:v>6</x:v>
      </x:c>
      <x:c r="H118" s="5" t="n">
        <x:f>3+MOD(2*B118+F118,4)</x:f>
        <x:v>6</x:v>
      </x:c>
      <x:c r="I118" s="5" t="n">
        <x:f>2+MOD(B118+2*F118,3)</x:f>
        <x:v>4</x:v>
      </x:c>
      <x:c r="J118" s="5" t="n">
        <x:f>2+MOD(2*B118+F118,3)</x:f>
        <x:v>3</x:v>
      </x:c>
      <x:c r="K118" s="5" t="n">
        <x:f>SUM(G118:J118)</x:f>
        <x:v>19</x:v>
      </x:c>
    </x:row>
    <x:row r="119">
      <x:c r="A119" s="5" t="str">
        <x:v>ML26-S020</x:v>
      </x:c>
      <x:c r="B119" s="5" t="n">
        <x:v>20</x:v>
      </x:c>
      <x:c r="C119" s="5" t="str">
        <x:v>B-201</x:v>
      </x:c>
      <x:c r="D119" s="5" t="str">
        <x:v>Scenario Map</x:v>
      </x:c>
      <x:c r="E119" s="5" t="str">
        <x:v>Course Beta 2026 Term 2</x:v>
      </x:c>
      <x:c r="F119" s="5" t="n">
        <x:v>4</x:v>
      </x:c>
      <x:c r="G119" s="5" t="n">
        <x:f>3+MOD(B119+F119,4)</x:f>
        <x:v>3</x:v>
      </x:c>
      <x:c r="H119" s="5" t="n">
        <x:f>3+MOD(2*B119+F119,4)</x:f>
        <x:v>3</x:v>
      </x:c>
      <x:c r="I119" s="5" t="n">
        <x:f>2+MOD(B119+2*F119,3)</x:f>
        <x:v>3</x:v>
      </x:c>
      <x:c r="J119" s="5" t="n">
        <x:f>2+MOD(2*B119+F119,3)</x:f>
        <x:v>4</x:v>
      </x:c>
      <x:c r="K119" s="5" t="n">
        <x:f>SUM(G119:J119)</x:f>
        <x:v>13</x:v>
      </x:c>
    </x:row>
    <x:row r="120">
      <x:c r="A120" s="5" t="str">
        <x:v>ML26-S020</x:v>
      </x:c>
      <x:c r="B120" s="5" t="n">
        <x:v>20</x:v>
      </x:c>
      <x:c r="C120" s="5" t="str">
        <x:v>B-202</x:v>
      </x:c>
      <x:c r="D120" s="5" t="str">
        <x:v>Model Test</x:v>
      </x:c>
      <x:c r="E120" s="5" t="str">
        <x:v>Course Beta 2026 Term 2</x:v>
      </x:c>
      <x:c r="F120" s="5" t="n">
        <x:v>5</x:v>
      </x:c>
      <x:c r="G120" s="5" t="n">
        <x:f>3+MOD(B120+F120,4)</x:f>
        <x:v>4</x:v>
      </x:c>
      <x:c r="H120" s="5" t="n">
        <x:f>3+MOD(2*B120+F120,4)</x:f>
        <x:v>4</x:v>
      </x:c>
      <x:c r="I120" s="5" t="n">
        <x:f>2+MOD(B120+2*F120,3)</x:f>
        <x:v>2</x:v>
      </x:c>
      <x:c r="J120" s="5" t="n">
        <x:f>2+MOD(2*B120+F120,3)</x:f>
        <x:v>2</x:v>
      </x:c>
      <x:c r="K120" s="5" t="n">
        <x:f>SUM(G120:J120)</x:f>
        <x:v>12</x:v>
      </x:c>
    </x:row>
    <x:row r="121">
      <x:c r="A121" s="5" t="str">
        <x:v>ML26-S020</x:v>
      </x:c>
      <x:c r="B121" s="5" t="n">
        <x:v>20</x:v>
      </x:c>
      <x:c r="C121" s="5" t="str">
        <x:v>B-203</x:v>
      </x:c>
      <x:c r="D121" s="5" t="str">
        <x:v>Design Critique</x:v>
      </x:c>
      <x:c r="E121" s="5" t="str">
        <x:v>Course Beta 2026 Term 2</x:v>
      </x:c>
      <x:c r="F121" s="5" t="n">
        <x:v>6</x:v>
      </x:c>
      <x:c r="G121" s="5" t="n">
        <x:f>3+MOD(B121+F121,4)</x:f>
        <x:v>5</x:v>
      </x:c>
      <x:c r="H121" s="5" t="n">
        <x:f>3+MOD(2*B121+F121,4)</x:f>
        <x:v>5</x:v>
      </x:c>
      <x:c r="I121" s="5" t="n">
        <x:f>2+MOD(B121+2*F121,3)</x:f>
        <x:v>4</x:v>
      </x:c>
      <x:c r="J121" s="5" t="n">
        <x:f>2+MOD(2*B121+F121,3)</x:f>
        <x:v>3</x:v>
      </x:c>
      <x:c r="K121" s="5" t="n">
        <x:f>SUM(G121:J121)</x:f>
        <x:v>17</x:v>
      </x:c>
    </x:row>
    <x:row r="122">
      <x:c r="A122" s="5" t="str">
        <x:v>ML26-S021</x:v>
      </x:c>
      <x:c r="B122" s="5" t="n">
        <x:v>21</x:v>
      </x:c>
      <x:c r="C122" s="5" t="str">
        <x:v>A-101</x:v>
      </x:c>
      <x:c r="D122" s="5" t="str">
        <x:v>Evidence Map</x:v>
      </x:c>
      <x:c r="E122" s="5" t="str">
        <x:v>Course Alpha 2026 Term 1</x:v>
      </x:c>
      <x:c r="F122" s="5" t="n">
        <x:v>1</x:v>
      </x:c>
      <x:c r="G122" s="5" t="n">
        <x:f>3+MOD(B122+F122,4)</x:f>
        <x:v>5</x:v>
      </x:c>
      <x:c r="H122" s="5" t="n">
        <x:f>3+MOD(2*B122+F122,4)</x:f>
        <x:v>6</x:v>
      </x:c>
      <x:c r="I122" s="5" t="n">
        <x:f>2+MOD(B122+2*F122,3)</x:f>
        <x:v>4</x:v>
      </x:c>
      <x:c r="J122" s="5" t="n">
        <x:f>2+MOD(2*B122+F122,3)</x:f>
        <x:v>3</x:v>
      </x:c>
      <x:c r="K122" s="5" t="n">
        <x:f>SUM(G122:J122)</x:f>
        <x:v>18</x:v>
      </x:c>
    </x:row>
    <x:row r="123">
      <x:c r="A123" s="5" t="str">
        <x:v>ML26-S021</x:v>
      </x:c>
      <x:c r="B123" s="5" t="n">
        <x:v>21</x:v>
      </x:c>
      <x:c r="C123" s="5" t="str">
        <x:v>A-102</x:v>
      </x:c>
      <x:c r="D123" s="5" t="str">
        <x:v>Source Comparison</x:v>
      </x:c>
      <x:c r="E123" s="5" t="str">
        <x:v>Course Alpha 2026 Term 1</x:v>
      </x:c>
      <x:c r="F123" s="5" t="n">
        <x:v>2</x:v>
      </x:c>
      <x:c r="G123" s="5" t="n">
        <x:f>3+MOD(B123+F123,4)</x:f>
        <x:v>6</x:v>
      </x:c>
      <x:c r="H123" s="5" t="n">
        <x:f>3+MOD(2*B123+F123,4)</x:f>
        <x:v>3</x:v>
      </x:c>
      <x:c r="I123" s="5" t="n">
        <x:f>2+MOD(B123+2*F123,3)</x:f>
        <x:v>3</x:v>
      </x:c>
      <x:c r="J123" s="5" t="n">
        <x:f>2+MOD(2*B123+F123,3)</x:f>
        <x:v>4</x:v>
      </x:c>
      <x:c r="K123" s="5" t="n">
        <x:f>SUM(G123:J123)</x:f>
        <x:v>16</x:v>
      </x:c>
    </x:row>
    <x:row r="124">
      <x:c r="A124" s="5" t="str">
        <x:v>ML26-S021</x:v>
      </x:c>
      <x:c r="B124" s="5" t="n">
        <x:v>21</x:v>
      </x:c>
      <x:c r="C124" s="5" t="str">
        <x:v>A-103</x:v>
      </x:c>
      <x:c r="D124" s="5" t="str">
        <x:v>Claim-Evidence-Reasoning Brief</x:v>
      </x:c>
      <x:c r="E124" s="5" t="str">
        <x:v>Course Alpha 2026 Term 1</x:v>
      </x:c>
      <x:c r="F124" s="5" t="n">
        <x:v>3</x:v>
      </x:c>
      <x:c r="G124" s="5" t="n">
        <x:f>3+MOD(B124+F124,4)</x:f>
        <x:v>3</x:v>
      </x:c>
      <x:c r="H124" s="5" t="n">
        <x:f>3+MOD(2*B124+F124,4)</x:f>
        <x:v>4</x:v>
      </x:c>
      <x:c r="I124" s="5" t="n">
        <x:f>2+MOD(B124+2*F124,3)</x:f>
        <x:v>2</x:v>
      </x:c>
      <x:c r="J124" s="5" t="n">
        <x:f>2+MOD(2*B124+F124,3)</x:f>
        <x:v>2</x:v>
      </x:c>
      <x:c r="K124" s="5" t="n">
        <x:f>SUM(G124:J124)</x:f>
        <x:v>11</x:v>
      </x:c>
    </x:row>
    <x:row r="125">
      <x:c r="A125" s="5" t="str">
        <x:v>ML26-S021</x:v>
      </x:c>
      <x:c r="B125" s="5" t="n">
        <x:v>21</x:v>
      </x:c>
      <x:c r="C125" s="5" t="str">
        <x:v>B-201</x:v>
      </x:c>
      <x:c r="D125" s="5" t="str">
        <x:v>Scenario Map</x:v>
      </x:c>
      <x:c r="E125" s="5" t="str">
        <x:v>Course Beta 2026 Term 2</x:v>
      </x:c>
      <x:c r="F125" s="5" t="n">
        <x:v>4</x:v>
      </x:c>
      <x:c r="G125" s="5" t="n">
        <x:f>3+MOD(B125+F125,4)</x:f>
        <x:v>4</x:v>
      </x:c>
      <x:c r="H125" s="5" t="n">
        <x:f>3+MOD(2*B125+F125,4)</x:f>
        <x:v>5</x:v>
      </x:c>
      <x:c r="I125" s="5" t="n">
        <x:f>2+MOD(B125+2*F125,3)</x:f>
        <x:v>4</x:v>
      </x:c>
      <x:c r="J125" s="5" t="n">
        <x:f>2+MOD(2*B125+F125,3)</x:f>
        <x:v>3</x:v>
      </x:c>
      <x:c r="K125" s="5" t="n">
        <x:f>SUM(G125:J125)</x:f>
        <x:v>16</x:v>
      </x:c>
    </x:row>
    <x:row r="126">
      <x:c r="A126" s="5" t="str">
        <x:v>ML26-S021</x:v>
      </x:c>
      <x:c r="B126" s="5" t="n">
        <x:v>21</x:v>
      </x:c>
      <x:c r="C126" s="5" t="str">
        <x:v>B-202</x:v>
      </x:c>
      <x:c r="D126" s="5" t="str">
        <x:v>Model Test</x:v>
      </x:c>
      <x:c r="E126" s="5" t="str">
        <x:v>Course Beta 2026 Term 2</x:v>
      </x:c>
      <x:c r="F126" s="5" t="n">
        <x:v>5</x:v>
      </x:c>
      <x:c r="G126" s="5" t="n">
        <x:f>3+MOD(B126+F126,4)</x:f>
        <x:v>5</x:v>
      </x:c>
      <x:c r="H126" s="5" t="n">
        <x:f>3+MOD(2*B126+F126,4)</x:f>
        <x:v>6</x:v>
      </x:c>
      <x:c r="I126" s="5" t="n">
        <x:f>2+MOD(B126+2*F126,3)</x:f>
        <x:v>3</x:v>
      </x:c>
      <x:c r="J126" s="5" t="n">
        <x:f>2+MOD(2*B126+F126,3)</x:f>
        <x:v>4</x:v>
      </x:c>
      <x:c r="K126" s="5" t="n">
        <x:f>SUM(G126:J126)</x:f>
        <x:v>18</x:v>
      </x:c>
    </x:row>
    <x:row r="127">
      <x:c r="A127" s="5" t="str">
        <x:v>ML26-S021</x:v>
      </x:c>
      <x:c r="B127" s="5" t="n">
        <x:v>21</x:v>
      </x:c>
      <x:c r="C127" s="5" t="str">
        <x:v>B-203</x:v>
      </x:c>
      <x:c r="D127" s="5" t="str">
        <x:v>Design Critique</x:v>
      </x:c>
      <x:c r="E127" s="5" t="str">
        <x:v>Course Beta 2026 Term 2</x:v>
      </x:c>
      <x:c r="F127" s="5" t="n">
        <x:v>6</x:v>
      </x:c>
      <x:c r="G127" s="5" t="n">
        <x:f>3+MOD(B127+F127,4)</x:f>
        <x:v>6</x:v>
      </x:c>
      <x:c r="H127" s="5" t="n">
        <x:f>3+MOD(2*B127+F127,4)</x:f>
        <x:v>3</x:v>
      </x:c>
      <x:c r="I127" s="5" t="n">
        <x:f>2+MOD(B127+2*F127,3)</x:f>
        <x:v>2</x:v>
      </x:c>
      <x:c r="J127" s="5" t="n">
        <x:f>2+MOD(2*B127+F127,3)</x:f>
        <x:v>2</x:v>
      </x:c>
      <x:c r="K127" s="5" t="n">
        <x:f>SUM(G127:J127)</x:f>
        <x:v>13</x:v>
      </x:c>
    </x:row>
    <x:row r="128">
      <x:c r="A128" s="5" t="str">
        <x:v>ML26-S022</x:v>
      </x:c>
      <x:c r="B128" s="5" t="n">
        <x:v>22</x:v>
      </x:c>
      <x:c r="C128" s="5" t="str">
        <x:v>A-101</x:v>
      </x:c>
      <x:c r="D128" s="5" t="str">
        <x:v>Evidence Map</x:v>
      </x:c>
      <x:c r="E128" s="5" t="str">
        <x:v>Course Alpha 2026 Term 1</x:v>
      </x:c>
      <x:c r="F128" s="5" t="n">
        <x:v>1</x:v>
      </x:c>
      <x:c r="G128" s="5" t="n">
        <x:f>3+MOD(B128+F128,4)</x:f>
        <x:v>6</x:v>
      </x:c>
      <x:c r="H128" s="5" t="n">
        <x:f>3+MOD(2*B128+F128,4)</x:f>
        <x:v>4</x:v>
      </x:c>
      <x:c r="I128" s="5" t="n">
        <x:f>2+MOD(B128+2*F128,3)</x:f>
        <x:v>2</x:v>
      </x:c>
      <x:c r="J128" s="5" t="n">
        <x:f>2+MOD(2*B128+F128,3)</x:f>
        <x:v>2</x:v>
      </x:c>
      <x:c r="K128" s="5" t="n">
        <x:f>SUM(G128:J128)</x:f>
        <x:v>14</x:v>
      </x:c>
    </x:row>
    <x:row r="129">
      <x:c r="A129" s="5" t="str">
        <x:v>ML26-S022</x:v>
      </x:c>
      <x:c r="B129" s="5" t="n">
        <x:v>22</x:v>
      </x:c>
      <x:c r="C129" s="5" t="str">
        <x:v>A-102</x:v>
      </x:c>
      <x:c r="D129" s="5" t="str">
        <x:v>Source Comparison</x:v>
      </x:c>
      <x:c r="E129" s="5" t="str">
        <x:v>Course Alpha 2026 Term 1</x:v>
      </x:c>
      <x:c r="F129" s="5" t="n">
        <x:v>2</x:v>
      </x:c>
      <x:c r="G129" s="5" t="n">
        <x:f>3+MOD(B129+F129,4)</x:f>
        <x:v>3</x:v>
      </x:c>
      <x:c r="H129" s="5" t="n">
        <x:f>3+MOD(2*B129+F129,4)</x:f>
        <x:v>5</x:v>
      </x:c>
      <x:c r="I129" s="5" t="n">
        <x:f>2+MOD(B129+2*F129,3)</x:f>
        <x:v>4</x:v>
      </x:c>
      <x:c r="J129" s="5" t="n">
        <x:f>2+MOD(2*B129+F129,3)</x:f>
        <x:v>3</x:v>
      </x:c>
      <x:c r="K129" s="5" t="n">
        <x:f>SUM(G129:J129)</x:f>
        <x:v>15</x:v>
      </x:c>
    </x:row>
    <x:row r="130">
      <x:c r="A130" s="5" t="str">
        <x:v>ML26-S022</x:v>
      </x:c>
      <x:c r="B130" s="5" t="n">
        <x:v>22</x:v>
      </x:c>
      <x:c r="C130" s="5" t="str">
        <x:v>A-103</x:v>
      </x:c>
      <x:c r="D130" s="5" t="str">
        <x:v>Claim-Evidence-Reasoning Brief</x:v>
      </x:c>
      <x:c r="E130" s="5" t="str">
        <x:v>Course Alpha 2026 Term 1</x:v>
      </x:c>
      <x:c r="F130" s="5" t="n">
        <x:v>3</x:v>
      </x:c>
      <x:c r="G130" s="5" t="n">
        <x:f>3+MOD(B130+F130,4)</x:f>
        <x:v>4</x:v>
      </x:c>
      <x:c r="H130" s="5" t="n">
        <x:f>3+MOD(2*B130+F130,4)</x:f>
        <x:v>6</x:v>
      </x:c>
      <x:c r="I130" s="5" t="n">
        <x:f>2+MOD(B130+2*F130,3)</x:f>
        <x:v>3</x:v>
      </x:c>
      <x:c r="J130" s="5" t="n">
        <x:f>2+MOD(2*B130+F130,3)</x:f>
        <x:v>4</x:v>
      </x:c>
      <x:c r="K130" s="5" t="n">
        <x:f>SUM(G130:J130)</x:f>
        <x:v>17</x:v>
      </x:c>
    </x:row>
    <x:row r="131">
      <x:c r="A131" s="5" t="str">
        <x:v>ML26-S022</x:v>
      </x:c>
      <x:c r="B131" s="5" t="n">
        <x:v>22</x:v>
      </x:c>
      <x:c r="C131" s="5" t="str">
        <x:v>B-201</x:v>
      </x:c>
      <x:c r="D131" s="5" t="str">
        <x:v>Scenario Map</x:v>
      </x:c>
      <x:c r="E131" s="5" t="str">
        <x:v>Course Beta 2026 Term 2</x:v>
      </x:c>
      <x:c r="F131" s="5" t="n">
        <x:v>4</x:v>
      </x:c>
      <x:c r="G131" s="5" t="n">
        <x:f>3+MOD(B131+F131,4)</x:f>
        <x:v>5</x:v>
      </x:c>
      <x:c r="H131" s="5" t="n">
        <x:f>3+MOD(2*B131+F131,4)</x:f>
        <x:v>3</x:v>
      </x:c>
      <x:c r="I131" s="5" t="n">
        <x:f>2+MOD(B131+2*F131,3)</x:f>
        <x:v>2</x:v>
      </x:c>
      <x:c r="J131" s="5" t="n">
        <x:f>2+MOD(2*B131+F131,3)</x:f>
        <x:v>2</x:v>
      </x:c>
      <x:c r="K131" s="5" t="n">
        <x:f>SUM(G131:J131)</x:f>
        <x:v>12</x:v>
      </x:c>
    </x:row>
    <x:row r="132">
      <x:c r="A132" s="5" t="str">
        <x:v>ML26-S022</x:v>
      </x:c>
      <x:c r="B132" s="5" t="n">
        <x:v>22</x:v>
      </x:c>
      <x:c r="C132" s="5" t="str">
        <x:v>B-202</x:v>
      </x:c>
      <x:c r="D132" s="5" t="str">
        <x:v>Model Test</x:v>
      </x:c>
      <x:c r="E132" s="5" t="str">
        <x:v>Course Beta 2026 Term 2</x:v>
      </x:c>
      <x:c r="F132" s="5" t="n">
        <x:v>5</x:v>
      </x:c>
      <x:c r="G132" s="5" t="n">
        <x:f>3+MOD(B132+F132,4)</x:f>
        <x:v>6</x:v>
      </x:c>
      <x:c r="H132" s="5" t="n">
        <x:f>3+MOD(2*B132+F132,4)</x:f>
        <x:v>4</x:v>
      </x:c>
      <x:c r="I132" s="5" t="n">
        <x:f>2+MOD(B132+2*F132,3)</x:f>
        <x:v>4</x:v>
      </x:c>
      <x:c r="J132" s="5" t="n">
        <x:f>2+MOD(2*B132+F132,3)</x:f>
        <x:v>3</x:v>
      </x:c>
      <x:c r="K132" s="5" t="n">
        <x:f>SUM(G132:J132)</x:f>
        <x:v>17</x:v>
      </x:c>
    </x:row>
    <x:row r="133">
      <x:c r="A133" s="5" t="str">
        <x:v>ML26-S022</x:v>
      </x:c>
      <x:c r="B133" s="5" t="n">
        <x:v>22</x:v>
      </x:c>
      <x:c r="C133" s="5" t="str">
        <x:v>B-203</x:v>
      </x:c>
      <x:c r="D133" s="5" t="str">
        <x:v>Design Critique</x:v>
      </x:c>
      <x:c r="E133" s="5" t="str">
        <x:v>Course Beta 2026 Term 2</x:v>
      </x:c>
      <x:c r="F133" s="5" t="n">
        <x:v>6</x:v>
      </x:c>
      <x:c r="G133" s="5" t="n">
        <x:f>3+MOD(B133+F133,4)</x:f>
        <x:v>3</x:v>
      </x:c>
      <x:c r="H133" s="5" t="n">
        <x:f>3+MOD(2*B133+F133,4)</x:f>
        <x:v>5</x:v>
      </x:c>
      <x:c r="I133" s="5" t="n">
        <x:f>2+MOD(B133+2*F133,3)</x:f>
        <x:v>3</x:v>
      </x:c>
      <x:c r="J133" s="5" t="n">
        <x:f>2+MOD(2*B133+F133,3)</x:f>
        <x:v>4</x:v>
      </x:c>
      <x:c r="K133" s="5" t="n">
        <x:f>SUM(G133:J133)</x:f>
        <x:v>15</x:v>
      </x:c>
    </x:row>
    <x:row r="134">
      <x:c r="A134" s="5" t="str">
        <x:v>ML26-S023</x:v>
      </x:c>
      <x:c r="B134" s="5" t="n">
        <x:v>23</x:v>
      </x:c>
      <x:c r="C134" s="5" t="str">
        <x:v>A-101</x:v>
      </x:c>
      <x:c r="D134" s="5" t="str">
        <x:v>Evidence Map</x:v>
      </x:c>
      <x:c r="E134" s="5" t="str">
        <x:v>Course Alpha 2026 Term 1</x:v>
      </x:c>
      <x:c r="F134" s="5" t="n">
        <x:v>1</x:v>
      </x:c>
      <x:c r="G134" s="5" t="n">
        <x:f>3+MOD(B134+F134,4)</x:f>
        <x:v>3</x:v>
      </x:c>
      <x:c r="H134" s="5" t="n">
        <x:f>3+MOD(2*B134+F134,4)</x:f>
        <x:v>6</x:v>
      </x:c>
      <x:c r="I134" s="5" t="n">
        <x:f>2+MOD(B134+2*F134,3)</x:f>
        <x:v>3</x:v>
      </x:c>
      <x:c r="J134" s="5" t="n">
        <x:f>2+MOD(2*B134+F134,3)</x:f>
        <x:v>4</x:v>
      </x:c>
      <x:c r="K134" s="5" t="n">
        <x:f>SUM(G134:J134)</x:f>
        <x:v>16</x:v>
      </x:c>
    </x:row>
    <x:row r="135">
      <x:c r="A135" s="5" t="str">
        <x:v>ML26-S023</x:v>
      </x:c>
      <x:c r="B135" s="5" t="n">
        <x:v>23</x:v>
      </x:c>
      <x:c r="C135" s="5" t="str">
        <x:v>A-102</x:v>
      </x:c>
      <x:c r="D135" s="5" t="str">
        <x:v>Source Comparison</x:v>
      </x:c>
      <x:c r="E135" s="5" t="str">
        <x:v>Course Alpha 2026 Term 1</x:v>
      </x:c>
      <x:c r="F135" s="5" t="n">
        <x:v>2</x:v>
      </x:c>
      <x:c r="G135" s="5" t="n">
        <x:f>3+MOD(B135+F135,4)</x:f>
        <x:v>4</x:v>
      </x:c>
      <x:c r="H135" s="5" t="n">
        <x:f>3+MOD(2*B135+F135,4)</x:f>
        <x:v>3</x:v>
      </x:c>
      <x:c r="I135" s="5" t="n">
        <x:f>2+MOD(B135+2*F135,3)</x:f>
        <x:v>2</x:v>
      </x:c>
      <x:c r="J135" s="5" t="n">
        <x:f>2+MOD(2*B135+F135,3)</x:f>
        <x:v>2</x:v>
      </x:c>
      <x:c r="K135" s="5" t="n">
        <x:f>SUM(G135:J135)</x:f>
        <x:v>11</x:v>
      </x:c>
    </x:row>
    <x:row r="136">
      <x:c r="A136" s="5" t="str">
        <x:v>ML26-S023</x:v>
      </x:c>
      <x:c r="B136" s="5" t="n">
        <x:v>23</x:v>
      </x:c>
      <x:c r="C136" s="5" t="str">
        <x:v>A-103</x:v>
      </x:c>
      <x:c r="D136" s="5" t="str">
        <x:v>Claim-Evidence-Reasoning Brief</x:v>
      </x:c>
      <x:c r="E136" s="5" t="str">
        <x:v>Course Alpha 2026 Term 1</x:v>
      </x:c>
      <x:c r="F136" s="5" t="n">
        <x:v>3</x:v>
      </x:c>
      <x:c r="G136" s="5" t="n">
        <x:f>3+MOD(B136+F136,4)</x:f>
        <x:v>5</x:v>
      </x:c>
      <x:c r="H136" s="5" t="n">
        <x:f>3+MOD(2*B136+F136,4)</x:f>
        <x:v>4</x:v>
      </x:c>
      <x:c r="I136" s="5" t="n">
        <x:f>2+MOD(B136+2*F136,3)</x:f>
        <x:v>4</x:v>
      </x:c>
      <x:c r="J136" s="5" t="n">
        <x:f>2+MOD(2*B136+F136,3)</x:f>
        <x:v>3</x:v>
      </x:c>
      <x:c r="K136" s="5" t="n">
        <x:f>SUM(G136:J136)</x:f>
        <x:v>16</x:v>
      </x:c>
    </x:row>
    <x:row r="137">
      <x:c r="A137" s="5" t="str">
        <x:v>ML26-S023</x:v>
      </x:c>
      <x:c r="B137" s="5" t="n">
        <x:v>23</x:v>
      </x:c>
      <x:c r="C137" s="5" t="str">
        <x:v>B-201</x:v>
      </x:c>
      <x:c r="D137" s="5" t="str">
        <x:v>Scenario Map</x:v>
      </x:c>
      <x:c r="E137" s="5" t="str">
        <x:v>Course Beta 2026 Term 2</x:v>
      </x:c>
      <x:c r="F137" s="5" t="n">
        <x:v>4</x:v>
      </x:c>
      <x:c r="G137" s="5" t="n">
        <x:f>3+MOD(B137+F137,4)</x:f>
        <x:v>6</x:v>
      </x:c>
      <x:c r="H137" s="5" t="n">
        <x:f>3+MOD(2*B137+F137,4)</x:f>
        <x:v>5</x:v>
      </x:c>
      <x:c r="I137" s="5" t="n">
        <x:f>2+MOD(B137+2*F137,3)</x:f>
        <x:v>3</x:v>
      </x:c>
      <x:c r="J137" s="5" t="n">
        <x:f>2+MOD(2*B137+F137,3)</x:f>
        <x:v>4</x:v>
      </x:c>
      <x:c r="K137" s="5" t="n">
        <x:f>SUM(G137:J137)</x:f>
        <x:v>18</x:v>
      </x:c>
    </x:row>
    <x:row r="138">
      <x:c r="A138" s="5" t="str">
        <x:v>ML26-S023</x:v>
      </x:c>
      <x:c r="B138" s="5" t="n">
        <x:v>23</x:v>
      </x:c>
      <x:c r="C138" s="5" t="str">
        <x:v>B-202</x:v>
      </x:c>
      <x:c r="D138" s="5" t="str">
        <x:v>Model Test</x:v>
      </x:c>
      <x:c r="E138" s="5" t="str">
        <x:v>Course Beta 2026 Term 2</x:v>
      </x:c>
      <x:c r="F138" s="5" t="n">
        <x:v>5</x:v>
      </x:c>
      <x:c r="G138" s="5" t="n">
        <x:f>3+MOD(B138+F138,4)</x:f>
        <x:v>3</x:v>
      </x:c>
      <x:c r="H138" s="5" t="n">
        <x:f>3+MOD(2*B138+F138,4)</x:f>
        <x:v>6</x:v>
      </x:c>
      <x:c r="I138" s="5" t="n">
        <x:f>2+MOD(B138+2*F138,3)</x:f>
        <x:v>2</x:v>
      </x:c>
      <x:c r="J138" s="5" t="n">
        <x:f>2+MOD(2*B138+F138,3)</x:f>
        <x:v>2</x:v>
      </x:c>
      <x:c r="K138" s="5" t="n">
        <x:f>SUM(G138:J138)</x:f>
        <x:v>13</x:v>
      </x:c>
    </x:row>
    <x:row r="139">
      <x:c r="A139" s="5" t="str">
        <x:v>ML26-S023</x:v>
      </x:c>
      <x:c r="B139" s="5" t="n">
        <x:v>23</x:v>
      </x:c>
      <x:c r="C139" s="5" t="str">
        <x:v>B-203</x:v>
      </x:c>
      <x:c r="D139" s="5" t="str">
        <x:v>Design Critique</x:v>
      </x:c>
      <x:c r="E139" s="5" t="str">
        <x:v>Course Beta 2026 Term 2</x:v>
      </x:c>
      <x:c r="F139" s="5" t="n">
        <x:v>6</x:v>
      </x:c>
      <x:c r="G139" s="5" t="n">
        <x:f>3+MOD(B139+F139,4)</x:f>
        <x:v>4</x:v>
      </x:c>
      <x:c r="H139" s="5" t="n">
        <x:f>3+MOD(2*B139+F139,4)</x:f>
        <x:v>3</x:v>
      </x:c>
      <x:c r="I139" s="5" t="n">
        <x:f>2+MOD(B139+2*F139,3)</x:f>
        <x:v>4</x:v>
      </x:c>
      <x:c r="J139" s="5" t="n">
        <x:f>2+MOD(2*B139+F139,3)</x:f>
        <x:v>3</x:v>
      </x:c>
      <x:c r="K139" s="5" t="n">
        <x:f>SUM(G139:J139)</x:f>
        <x:v>14</x:v>
      </x:c>
    </x:row>
    <x:row r="140">
      <x:c r="A140" s="5" t="str">
        <x:v>ML26-S024</x:v>
      </x:c>
      <x:c r="B140" s="5" t="n">
        <x:v>24</x:v>
      </x:c>
      <x:c r="C140" s="5" t="str">
        <x:v>A-101</x:v>
      </x:c>
      <x:c r="D140" s="5" t="str">
        <x:v>Evidence Map</x:v>
      </x:c>
      <x:c r="E140" s="5" t="str">
        <x:v>Course Alpha 2026 Term 1</x:v>
      </x:c>
      <x:c r="F140" s="5" t="n">
        <x:v>1</x:v>
      </x:c>
      <x:c r="G140" s="5" t="n">
        <x:f>3+MOD(B140+F140,4)</x:f>
        <x:v>4</x:v>
      </x:c>
      <x:c r="H140" s="5" t="n">
        <x:f>3+MOD(2*B140+F140,4)</x:f>
        <x:v>4</x:v>
      </x:c>
      <x:c r="I140" s="5" t="n">
        <x:f>2+MOD(B140+2*F140,3)</x:f>
        <x:v>4</x:v>
      </x:c>
      <x:c r="J140" s="5" t="n">
        <x:f>2+MOD(2*B140+F140,3)</x:f>
        <x:v>3</x:v>
      </x:c>
      <x:c r="K140" s="5" t="n">
        <x:f>SUM(G140:J140)</x:f>
        <x:v>15</x:v>
      </x:c>
    </x:row>
    <x:row r="141">
      <x:c r="A141" s="5" t="str">
        <x:v>ML26-S024</x:v>
      </x:c>
      <x:c r="B141" s="5" t="n">
        <x:v>24</x:v>
      </x:c>
      <x:c r="C141" s="5" t="str">
        <x:v>A-102</x:v>
      </x:c>
      <x:c r="D141" s="5" t="str">
        <x:v>Source Comparison</x:v>
      </x:c>
      <x:c r="E141" s="5" t="str">
        <x:v>Course Alpha 2026 Term 1</x:v>
      </x:c>
      <x:c r="F141" s="5" t="n">
        <x:v>2</x:v>
      </x:c>
      <x:c r="G141" s="5" t="n">
        <x:f>3+MOD(B141+F141,4)</x:f>
        <x:v>5</x:v>
      </x:c>
      <x:c r="H141" s="5" t="n">
        <x:f>3+MOD(2*B141+F141,4)</x:f>
        <x:v>5</x:v>
      </x:c>
      <x:c r="I141" s="5" t="n">
        <x:f>2+MOD(B141+2*F141,3)</x:f>
        <x:v>3</x:v>
      </x:c>
      <x:c r="J141" s="5" t="n">
        <x:f>2+MOD(2*B141+F141,3)</x:f>
        <x:v>4</x:v>
      </x:c>
      <x:c r="K141" s="5" t="n">
        <x:f>SUM(G141:J141)</x:f>
        <x:v>17</x:v>
      </x:c>
    </x:row>
    <x:row r="142">
      <x:c r="A142" s="5" t="str">
        <x:v>ML26-S024</x:v>
      </x:c>
      <x:c r="B142" s="5" t="n">
        <x:v>24</x:v>
      </x:c>
      <x:c r="C142" s="5" t="str">
        <x:v>A-103</x:v>
      </x:c>
      <x:c r="D142" s="5" t="str">
        <x:v>Claim-Evidence-Reasoning Brief</x:v>
      </x:c>
      <x:c r="E142" s="5" t="str">
        <x:v>Course Alpha 2026 Term 1</x:v>
      </x:c>
      <x:c r="F142" s="5" t="n">
        <x:v>3</x:v>
      </x:c>
      <x:c r="G142" s="5" t="n">
        <x:f>3+MOD(B142+F142,4)</x:f>
        <x:v>6</x:v>
      </x:c>
      <x:c r="H142" s="5" t="n">
        <x:f>3+MOD(2*B142+F142,4)</x:f>
        <x:v>6</x:v>
      </x:c>
      <x:c r="I142" s="5" t="n">
        <x:f>2+MOD(B142+2*F142,3)</x:f>
        <x:v>2</x:v>
      </x:c>
      <x:c r="J142" s="5" t="n">
        <x:f>2+MOD(2*B142+F142,3)</x:f>
        <x:v>2</x:v>
      </x:c>
      <x:c r="K142" s="5" t="n">
        <x:f>SUM(G142:J142)</x:f>
        <x:v>16</x:v>
      </x:c>
    </x:row>
    <x:row r="143">
      <x:c r="A143" s="5" t="str">
        <x:v>ML26-S024</x:v>
      </x:c>
      <x:c r="B143" s="5" t="n">
        <x:v>24</x:v>
      </x:c>
      <x:c r="C143" s="5" t="str">
        <x:v>B-201</x:v>
      </x:c>
      <x:c r="D143" s="5" t="str">
        <x:v>Scenario Map</x:v>
      </x:c>
      <x:c r="E143" s="5" t="str">
        <x:v>Course Beta 2026 Term 2</x:v>
      </x:c>
      <x:c r="F143" s="5" t="n">
        <x:v>4</x:v>
      </x:c>
      <x:c r="G143" s="5" t="n">
        <x:f>3+MOD(B143+F143,4)</x:f>
        <x:v>3</x:v>
      </x:c>
      <x:c r="H143" s="5" t="n">
        <x:f>3+MOD(2*B143+F143,4)</x:f>
        <x:v>3</x:v>
      </x:c>
      <x:c r="I143" s="5" t="n">
        <x:f>2+MOD(B143+2*F143,3)</x:f>
        <x:v>4</x:v>
      </x:c>
      <x:c r="J143" s="5" t="n">
        <x:f>2+MOD(2*B143+F143,3)</x:f>
        <x:v>3</x:v>
      </x:c>
      <x:c r="K143" s="5" t="n">
        <x:f>SUM(G143:J143)</x:f>
        <x:v>13</x:v>
      </x:c>
    </x:row>
    <x:row r="144">
      <x:c r="A144" s="5" t="str">
        <x:v>ML26-S024</x:v>
      </x:c>
      <x:c r="B144" s="5" t="n">
        <x:v>24</x:v>
      </x:c>
      <x:c r="C144" s="5" t="str">
        <x:v>B-202</x:v>
      </x:c>
      <x:c r="D144" s="5" t="str">
        <x:v>Model Test</x:v>
      </x:c>
      <x:c r="E144" s="5" t="str">
        <x:v>Course Beta 2026 Term 2</x:v>
      </x:c>
      <x:c r="F144" s="5" t="n">
        <x:v>5</x:v>
      </x:c>
      <x:c r="G144" s="5" t="n">
        <x:f>3+MOD(B144+F144,4)</x:f>
        <x:v>4</x:v>
      </x:c>
      <x:c r="H144" s="5" t="n">
        <x:f>3+MOD(2*B144+F144,4)</x:f>
        <x:v>4</x:v>
      </x:c>
      <x:c r="I144" s="5" t="n">
        <x:f>2+MOD(B144+2*F144,3)</x:f>
        <x:v>3</x:v>
      </x:c>
      <x:c r="J144" s="5" t="n">
        <x:f>2+MOD(2*B144+F144,3)</x:f>
        <x:v>4</x:v>
      </x:c>
      <x:c r="K144" s="5" t="n">
        <x:f>SUM(G144:J144)</x:f>
        <x:v>15</x:v>
      </x:c>
    </x:row>
    <x:row r="145">
      <x:c r="A145" s="5" t="str">
        <x:v>ML26-S024</x:v>
      </x:c>
      <x:c r="B145" s="5" t="n">
        <x:v>24</x:v>
      </x:c>
      <x:c r="C145" s="5" t="str">
        <x:v>B-203</x:v>
      </x:c>
      <x:c r="D145" s="5" t="str">
        <x:v>Design Critique</x:v>
      </x:c>
      <x:c r="E145" s="5" t="str">
        <x:v>Course Beta 2026 Term 2</x:v>
      </x:c>
      <x:c r="F145" s="5" t="n">
        <x:v>6</x:v>
      </x:c>
      <x:c r="G145" s="5" t="n">
        <x:f>3+MOD(B145+F145,4)</x:f>
        <x:v>5</x:v>
      </x:c>
      <x:c r="H145" s="5" t="n">
        <x:f>3+MOD(2*B145+F145,4)</x:f>
        <x:v>5</x:v>
      </x:c>
      <x:c r="I145" s="5" t="n">
        <x:f>2+MOD(B145+2*F145,3)</x:f>
        <x:v>2</x:v>
      </x:c>
      <x:c r="J145" s="5" t="n">
        <x:f>2+MOD(2*B145+F145,3)</x:f>
        <x:v>2</x:v>
      </x:c>
      <x:c r="K145" s="5" t="n">
        <x:f>SUM(G145:J145)</x:f>
        <x:v>14</x:v>
      </x:c>
    </x:row>
    <x:row r="146">
      <x:c r="A146" s="5" t="str">
        <x:v>ML26-S025</x:v>
      </x:c>
      <x:c r="B146" s="5" t="n">
        <x:v>25</x:v>
      </x:c>
      <x:c r="C146" s="5" t="str">
        <x:v>A-101</x:v>
      </x:c>
      <x:c r="D146" s="5" t="str">
        <x:v>Evidence Map</x:v>
      </x:c>
      <x:c r="E146" s="5" t="str">
        <x:v>Course Alpha 2026 Term 1</x:v>
      </x:c>
      <x:c r="F146" s="5" t="n">
        <x:v>1</x:v>
      </x:c>
      <x:c r="G146" s="5" t="n">
        <x:f>3+MOD(B146+F146,4)</x:f>
        <x:v>5</x:v>
      </x:c>
      <x:c r="H146" s="5" t="n">
        <x:f>3+MOD(2*B146+F146,4)</x:f>
        <x:v>6</x:v>
      </x:c>
      <x:c r="I146" s="5" t="n">
        <x:f>2+MOD(B146+2*F146,3)</x:f>
        <x:v>2</x:v>
      </x:c>
      <x:c r="J146" s="5" t="n">
        <x:f>2+MOD(2*B146+F146,3)</x:f>
        <x:v>2</x:v>
      </x:c>
      <x:c r="K146" s="5" t="n">
        <x:f>SUM(G146:J146)</x:f>
        <x:v>15</x:v>
      </x:c>
    </x:row>
    <x:row r="147">
      <x:c r="A147" s="5" t="str">
        <x:v>ML26-S025</x:v>
      </x:c>
      <x:c r="B147" s="5" t="n">
        <x:v>25</x:v>
      </x:c>
      <x:c r="C147" s="5" t="str">
        <x:v>A-102</x:v>
      </x:c>
      <x:c r="D147" s="5" t="str">
        <x:v>Source Comparison</x:v>
      </x:c>
      <x:c r="E147" s="5" t="str">
        <x:v>Course Alpha 2026 Term 1</x:v>
      </x:c>
      <x:c r="F147" s="5" t="n">
        <x:v>2</x:v>
      </x:c>
      <x:c r="G147" s="5" t="n">
        <x:f>3+MOD(B147+F147,4)</x:f>
        <x:v>6</x:v>
      </x:c>
      <x:c r="H147" s="5" t="n">
        <x:f>3+MOD(2*B147+F147,4)</x:f>
        <x:v>3</x:v>
      </x:c>
      <x:c r="I147" s="5" t="n">
        <x:f>2+MOD(B147+2*F147,3)</x:f>
        <x:v>4</x:v>
      </x:c>
      <x:c r="J147" s="5" t="n">
        <x:f>2+MOD(2*B147+F147,3)</x:f>
        <x:v>3</x:v>
      </x:c>
      <x:c r="K147" s="5" t="n">
        <x:f>SUM(G147:J147)</x:f>
        <x:v>16</x:v>
      </x:c>
    </x:row>
    <x:row r="148">
      <x:c r="A148" s="5" t="str">
        <x:v>ML26-S025</x:v>
      </x:c>
      <x:c r="B148" s="5" t="n">
        <x:v>25</x:v>
      </x:c>
      <x:c r="C148" s="5" t="str">
        <x:v>A-103</x:v>
      </x:c>
      <x:c r="D148" s="5" t="str">
        <x:v>Claim-Evidence-Reasoning Brief</x:v>
      </x:c>
      <x:c r="E148" s="5" t="str">
        <x:v>Course Alpha 2026 Term 1</x:v>
      </x:c>
      <x:c r="F148" s="5" t="n">
        <x:v>3</x:v>
      </x:c>
      <x:c r="G148" s="5" t="n">
        <x:f>3+MOD(B148+F148,4)</x:f>
        <x:v>3</x:v>
      </x:c>
      <x:c r="H148" s="5" t="n">
        <x:f>3+MOD(2*B148+F148,4)</x:f>
        <x:v>4</x:v>
      </x:c>
      <x:c r="I148" s="5" t="n">
        <x:f>2+MOD(B148+2*F148,3)</x:f>
        <x:v>3</x:v>
      </x:c>
      <x:c r="J148" s="5" t="n">
        <x:f>2+MOD(2*B148+F148,3)</x:f>
        <x:v>4</x:v>
      </x:c>
      <x:c r="K148" s="5" t="n">
        <x:f>SUM(G148:J148)</x:f>
        <x:v>14</x:v>
      </x:c>
    </x:row>
    <x:row r="149">
      <x:c r="A149" s="5" t="str">
        <x:v>ML26-S025</x:v>
      </x:c>
      <x:c r="B149" s="5" t="n">
        <x:v>25</x:v>
      </x:c>
      <x:c r="C149" s="5" t="str">
        <x:v>B-201</x:v>
      </x:c>
      <x:c r="D149" s="5" t="str">
        <x:v>Scenario Map</x:v>
      </x:c>
      <x:c r="E149" s="5" t="str">
        <x:v>Course Beta 2026 Term 2</x:v>
      </x:c>
      <x:c r="F149" s="5" t="n">
        <x:v>4</x:v>
      </x:c>
      <x:c r="G149" s="5" t="n">
        <x:f>3+MOD(B149+F149,4)</x:f>
        <x:v>4</x:v>
      </x:c>
      <x:c r="H149" s="5" t="n">
        <x:f>3+MOD(2*B149+F149,4)</x:f>
        <x:v>5</x:v>
      </x:c>
      <x:c r="I149" s="5" t="n">
        <x:f>2+MOD(B149+2*F149,3)</x:f>
        <x:v>2</x:v>
      </x:c>
      <x:c r="J149" s="5" t="n">
        <x:f>2+MOD(2*B149+F149,3)</x:f>
        <x:v>2</x:v>
      </x:c>
      <x:c r="K149" s="5" t="n">
        <x:f>SUM(G149:J149)</x:f>
        <x:v>13</x:v>
      </x:c>
    </x:row>
    <x:row r="150">
      <x:c r="A150" s="5" t="str">
        <x:v>ML26-S025</x:v>
      </x:c>
      <x:c r="B150" s="5" t="n">
        <x:v>25</x:v>
      </x:c>
      <x:c r="C150" s="5" t="str">
        <x:v>B-202</x:v>
      </x:c>
      <x:c r="D150" s="5" t="str">
        <x:v>Model Test</x:v>
      </x:c>
      <x:c r="E150" s="5" t="str">
        <x:v>Course Beta 2026 Term 2</x:v>
      </x:c>
      <x:c r="F150" s="5" t="n">
        <x:v>5</x:v>
      </x:c>
      <x:c r="G150" s="5" t="n">
        <x:f>3+MOD(B150+F150,4)</x:f>
        <x:v>5</x:v>
      </x:c>
      <x:c r="H150" s="5" t="n">
        <x:f>3+MOD(2*B150+F150,4)</x:f>
        <x:v>6</x:v>
      </x:c>
      <x:c r="I150" s="5" t="n">
        <x:f>2+MOD(B150+2*F150,3)</x:f>
        <x:v>4</x:v>
      </x:c>
      <x:c r="J150" s="5" t="n">
        <x:f>2+MOD(2*B150+F150,3)</x:f>
        <x:v>3</x:v>
      </x:c>
      <x:c r="K150" s="5" t="n">
        <x:f>SUM(G150:J150)</x:f>
        <x:v>18</x:v>
      </x:c>
    </x:row>
    <x:row r="151">
      <x:c r="A151" s="5" t="str">
        <x:v>ML26-S025</x:v>
      </x:c>
      <x:c r="B151" s="5" t="n">
        <x:v>25</x:v>
      </x:c>
      <x:c r="C151" s="5" t="str">
        <x:v>B-203</x:v>
      </x:c>
      <x:c r="D151" s="5" t="str">
        <x:v>Design Critique</x:v>
      </x:c>
      <x:c r="E151" s="5" t="str">
        <x:v>Course Beta 2026 Term 2</x:v>
      </x:c>
      <x:c r="F151" s="5" t="n">
        <x:v>6</x:v>
      </x:c>
      <x:c r="G151" s="5" t="n">
        <x:f>3+MOD(B151+F151,4)</x:f>
        <x:v>6</x:v>
      </x:c>
      <x:c r="H151" s="5" t="n">
        <x:f>3+MOD(2*B151+F151,4)</x:f>
        <x:v>3</x:v>
      </x:c>
      <x:c r="I151" s="5" t="n">
        <x:f>2+MOD(B151+2*F151,3)</x:f>
        <x:v>3</x:v>
      </x:c>
      <x:c r="J151" s="5" t="n">
        <x:f>2+MOD(2*B151+F151,3)</x:f>
        <x:v>4</x:v>
      </x:c>
      <x:c r="K151" s="5" t="n">
        <x:f>SUM(G151:J151)</x:f>
        <x:v>16</x:v>
      </x:c>
    </x:row>
    <x:row r="152">
      <x:c r="A152" s="5" t="str">
        <x:v>ML26-S026</x:v>
      </x:c>
      <x:c r="B152" s="5" t="n">
        <x:v>26</x:v>
      </x:c>
      <x:c r="C152" s="5" t="str">
        <x:v>A-101</x:v>
      </x:c>
      <x:c r="D152" s="5" t="str">
        <x:v>Evidence Map</x:v>
      </x:c>
      <x:c r="E152" s="5" t="str">
        <x:v>Course Alpha 2026 Term 1</x:v>
      </x:c>
      <x:c r="F152" s="5" t="n">
        <x:v>1</x:v>
      </x:c>
      <x:c r="G152" s="5" t="n">
        <x:f>3+MOD(B152+F152,4)</x:f>
        <x:v>6</x:v>
      </x:c>
      <x:c r="H152" s="5" t="n">
        <x:f>3+MOD(2*B152+F152,4)</x:f>
        <x:v>4</x:v>
      </x:c>
      <x:c r="I152" s="5" t="n">
        <x:f>2+MOD(B152+2*F152,3)</x:f>
        <x:v>3</x:v>
      </x:c>
      <x:c r="J152" s="5" t="n">
        <x:f>2+MOD(2*B152+F152,3)</x:f>
        <x:v>4</x:v>
      </x:c>
      <x:c r="K152" s="5" t="n">
        <x:f>SUM(G152:J152)</x:f>
        <x:v>17</x:v>
      </x:c>
    </x:row>
    <x:row r="153">
      <x:c r="A153" s="5" t="str">
        <x:v>ML26-S026</x:v>
      </x:c>
      <x:c r="B153" s="5" t="n">
        <x:v>26</x:v>
      </x:c>
      <x:c r="C153" s="5" t="str">
        <x:v>A-102</x:v>
      </x:c>
      <x:c r="D153" s="5" t="str">
        <x:v>Source Comparison</x:v>
      </x:c>
      <x:c r="E153" s="5" t="str">
        <x:v>Course Alpha 2026 Term 1</x:v>
      </x:c>
      <x:c r="F153" s="5" t="n">
        <x:v>2</x:v>
      </x:c>
      <x:c r="G153" s="5" t="n">
        <x:f>3+MOD(B153+F153,4)</x:f>
        <x:v>3</x:v>
      </x:c>
      <x:c r="H153" s="5" t="n">
        <x:f>3+MOD(2*B153+F153,4)</x:f>
        <x:v>5</x:v>
      </x:c>
      <x:c r="I153" s="5" t="n">
        <x:f>2+MOD(B153+2*F153,3)</x:f>
        <x:v>2</x:v>
      </x:c>
      <x:c r="J153" s="5" t="n">
        <x:f>2+MOD(2*B153+F153,3)</x:f>
        <x:v>2</x:v>
      </x:c>
      <x:c r="K153" s="5" t="n">
        <x:f>SUM(G153:J153)</x:f>
        <x:v>12</x:v>
      </x:c>
    </x:row>
    <x:row r="154">
      <x:c r="A154" s="5" t="str">
        <x:v>ML26-S026</x:v>
      </x:c>
      <x:c r="B154" s="5" t="n">
        <x:v>26</x:v>
      </x:c>
      <x:c r="C154" s="5" t="str">
        <x:v>A-103</x:v>
      </x:c>
      <x:c r="D154" s="5" t="str">
        <x:v>Claim-Evidence-Reasoning Brief</x:v>
      </x:c>
      <x:c r="E154" s="5" t="str">
        <x:v>Course Alpha 2026 Term 1</x:v>
      </x:c>
      <x:c r="F154" s="5" t="n">
        <x:v>3</x:v>
      </x:c>
      <x:c r="G154" s="5" t="n">
        <x:f>3+MOD(B154+F154,4)</x:f>
        <x:v>4</x:v>
      </x:c>
      <x:c r="H154" s="5" t="n">
        <x:f>3+MOD(2*B154+F154,4)</x:f>
        <x:v>6</x:v>
      </x:c>
      <x:c r="I154" s="5" t="n">
        <x:f>2+MOD(B154+2*F154,3)</x:f>
        <x:v>4</x:v>
      </x:c>
      <x:c r="J154" s="5" t="n">
        <x:f>2+MOD(2*B154+F154,3)</x:f>
        <x:v>3</x:v>
      </x:c>
      <x:c r="K154" s="5" t="n">
        <x:f>SUM(G154:J154)</x:f>
        <x:v>17</x:v>
      </x:c>
    </x:row>
    <x:row r="155">
      <x:c r="A155" s="5" t="str">
        <x:v>ML26-S026</x:v>
      </x:c>
      <x:c r="B155" s="5" t="n">
        <x:v>26</x:v>
      </x:c>
      <x:c r="C155" s="5" t="str">
        <x:v>B-201</x:v>
      </x:c>
      <x:c r="D155" s="5" t="str">
        <x:v>Scenario Map</x:v>
      </x:c>
      <x:c r="E155" s="5" t="str">
        <x:v>Course Beta 2026 Term 2</x:v>
      </x:c>
      <x:c r="F155" s="5" t="n">
        <x:v>4</x:v>
      </x:c>
      <x:c r="G155" s="5" t="n">
        <x:f>3+MOD(B155+F155,4)</x:f>
        <x:v>5</x:v>
      </x:c>
      <x:c r="H155" s="5" t="n">
        <x:f>3+MOD(2*B155+F155,4)</x:f>
        <x:v>3</x:v>
      </x:c>
      <x:c r="I155" s="5" t="n">
        <x:f>2+MOD(B155+2*F155,3)</x:f>
        <x:v>3</x:v>
      </x:c>
      <x:c r="J155" s="5" t="n">
        <x:f>2+MOD(2*B155+F155,3)</x:f>
        <x:v>4</x:v>
      </x:c>
      <x:c r="K155" s="5" t="n">
        <x:f>SUM(G155:J155)</x:f>
        <x:v>15</x:v>
      </x:c>
    </x:row>
    <x:row r="156">
      <x:c r="A156" s="5" t="str">
        <x:v>ML26-S026</x:v>
      </x:c>
      <x:c r="B156" s="5" t="n">
        <x:v>26</x:v>
      </x:c>
      <x:c r="C156" s="5" t="str">
        <x:v>B-202</x:v>
      </x:c>
      <x:c r="D156" s="5" t="str">
        <x:v>Model Test</x:v>
      </x:c>
      <x:c r="E156" s="5" t="str">
        <x:v>Course Beta 2026 Term 2</x:v>
      </x:c>
      <x:c r="F156" s="5" t="n">
        <x:v>5</x:v>
      </x:c>
      <x:c r="G156" s="5" t="n">
        <x:f>3+MOD(B156+F156,4)</x:f>
        <x:v>6</x:v>
      </x:c>
      <x:c r="H156" s="5" t="n">
        <x:f>3+MOD(2*B156+F156,4)</x:f>
        <x:v>4</x:v>
      </x:c>
      <x:c r="I156" s="5" t="n">
        <x:f>2+MOD(B156+2*F156,3)</x:f>
        <x:v>2</x:v>
      </x:c>
      <x:c r="J156" s="5" t="n">
        <x:f>2+MOD(2*B156+F156,3)</x:f>
        <x:v>2</x:v>
      </x:c>
      <x:c r="K156" s="5" t="n">
        <x:f>SUM(G156:J156)</x:f>
        <x:v>14</x:v>
      </x:c>
    </x:row>
    <x:row r="157">
      <x:c r="A157" s="5" t="str">
        <x:v>ML26-S026</x:v>
      </x:c>
      <x:c r="B157" s="5" t="n">
        <x:v>26</x:v>
      </x:c>
      <x:c r="C157" s="5" t="str">
        <x:v>B-203</x:v>
      </x:c>
      <x:c r="D157" s="5" t="str">
        <x:v>Design Critique</x:v>
      </x:c>
      <x:c r="E157" s="5" t="str">
        <x:v>Course Beta 2026 Term 2</x:v>
      </x:c>
      <x:c r="F157" s="5" t="n">
        <x:v>6</x:v>
      </x:c>
      <x:c r="G157" s="5" t="n">
        <x:f>3+MOD(B157+F157,4)</x:f>
        <x:v>3</x:v>
      </x:c>
      <x:c r="H157" s="5" t="n">
        <x:f>3+MOD(2*B157+F157,4)</x:f>
        <x:v>5</x:v>
      </x:c>
      <x:c r="I157" s="5" t="n">
        <x:f>2+MOD(B157+2*F157,3)</x:f>
        <x:v>4</x:v>
      </x:c>
      <x:c r="J157" s="5" t="n">
        <x:f>2+MOD(2*B157+F157,3)</x:f>
        <x:v>3</x:v>
      </x:c>
      <x:c r="K157" s="5" t="n">
        <x:f>SUM(G157:J157)</x:f>
        <x:v>15</x:v>
      </x:c>
    </x:row>
    <x:row r="158">
      <x:c r="A158" s="5" t="str">
        <x:v>ML26-S027</x:v>
      </x:c>
      <x:c r="B158" s="5" t="n">
        <x:v>27</x:v>
      </x:c>
      <x:c r="C158" s="5" t="str">
        <x:v>A-101</x:v>
      </x:c>
      <x:c r="D158" s="5" t="str">
        <x:v>Evidence Map</x:v>
      </x:c>
      <x:c r="E158" s="5" t="str">
        <x:v>Course Alpha 2026 Term 1</x:v>
      </x:c>
      <x:c r="F158" s="5" t="n">
        <x:v>1</x:v>
      </x:c>
      <x:c r="G158" s="5" t="n">
        <x:f>3+MOD(B158+F158,4)</x:f>
        <x:v>3</x:v>
      </x:c>
      <x:c r="H158" s="5" t="n">
        <x:f>3+MOD(2*B158+F158,4)</x:f>
        <x:v>6</x:v>
      </x:c>
      <x:c r="I158" s="5" t="n">
        <x:f>2+MOD(B158+2*F158,3)</x:f>
        <x:v>4</x:v>
      </x:c>
      <x:c r="J158" s="5" t="n">
        <x:f>2+MOD(2*B158+F158,3)</x:f>
        <x:v>3</x:v>
      </x:c>
      <x:c r="K158" s="5" t="n">
        <x:f>SUM(G158:J158)</x:f>
        <x:v>16</x:v>
      </x:c>
    </x:row>
    <x:row r="159">
      <x:c r="A159" s="5" t="str">
        <x:v>ML26-S027</x:v>
      </x:c>
      <x:c r="B159" s="5" t="n">
        <x:v>27</x:v>
      </x:c>
      <x:c r="C159" s="5" t="str">
        <x:v>A-102</x:v>
      </x:c>
      <x:c r="D159" s="5" t="str">
        <x:v>Source Comparison</x:v>
      </x:c>
      <x:c r="E159" s="5" t="str">
        <x:v>Course Alpha 2026 Term 1</x:v>
      </x:c>
      <x:c r="F159" s="5" t="n">
        <x:v>2</x:v>
      </x:c>
      <x:c r="G159" s="5" t="n">
        <x:f>3+MOD(B159+F159,4)</x:f>
        <x:v>4</x:v>
      </x:c>
      <x:c r="H159" s="5" t="n">
        <x:f>3+MOD(2*B159+F159,4)</x:f>
        <x:v>3</x:v>
      </x:c>
      <x:c r="I159" s="5" t="n">
        <x:f>2+MOD(B159+2*F159,3)</x:f>
        <x:v>3</x:v>
      </x:c>
      <x:c r="J159" s="5" t="n">
        <x:f>2+MOD(2*B159+F159,3)</x:f>
        <x:v>4</x:v>
      </x:c>
      <x:c r="K159" s="5" t="n">
        <x:f>SUM(G159:J159)</x:f>
        <x:v>14</x:v>
      </x:c>
    </x:row>
    <x:row r="160">
      <x:c r="A160" s="5" t="str">
        <x:v>ML26-S027</x:v>
      </x:c>
      <x:c r="B160" s="5" t="n">
        <x:v>27</x:v>
      </x:c>
      <x:c r="C160" s="5" t="str">
        <x:v>A-103</x:v>
      </x:c>
      <x:c r="D160" s="5" t="str">
        <x:v>Claim-Evidence-Reasoning Brief</x:v>
      </x:c>
      <x:c r="E160" s="5" t="str">
        <x:v>Course Alpha 2026 Term 1</x:v>
      </x:c>
      <x:c r="F160" s="5" t="n">
        <x:v>3</x:v>
      </x:c>
      <x:c r="G160" s="5" t="n">
        <x:f>3+MOD(B160+F160,4)</x:f>
        <x:v>5</x:v>
      </x:c>
      <x:c r="H160" s="5" t="n">
        <x:f>3+MOD(2*B160+F160,4)</x:f>
        <x:v>4</x:v>
      </x:c>
      <x:c r="I160" s="5" t="n">
        <x:f>2+MOD(B160+2*F160,3)</x:f>
        <x:v>2</x:v>
      </x:c>
      <x:c r="J160" s="5" t="n">
        <x:f>2+MOD(2*B160+F160,3)</x:f>
        <x:v>2</x:v>
      </x:c>
      <x:c r="K160" s="5" t="n">
        <x:f>SUM(G160:J160)</x:f>
        <x:v>13</x:v>
      </x:c>
    </x:row>
    <x:row r="161">
      <x:c r="A161" s="5" t="str">
        <x:v>ML26-S027</x:v>
      </x:c>
      <x:c r="B161" s="5" t="n">
        <x:v>27</x:v>
      </x:c>
      <x:c r="C161" s="5" t="str">
        <x:v>B-201</x:v>
      </x:c>
      <x:c r="D161" s="5" t="str">
        <x:v>Scenario Map</x:v>
      </x:c>
      <x:c r="E161" s="5" t="str">
        <x:v>Course Beta 2026 Term 2</x:v>
      </x:c>
      <x:c r="F161" s="5" t="n">
        <x:v>4</x:v>
      </x:c>
      <x:c r="G161" s="5" t="n">
        <x:f>3+MOD(B161+F161,4)</x:f>
        <x:v>6</x:v>
      </x:c>
      <x:c r="H161" s="5" t="n">
        <x:f>3+MOD(2*B161+F161,4)</x:f>
        <x:v>5</x:v>
      </x:c>
      <x:c r="I161" s="5" t="n">
        <x:f>2+MOD(B161+2*F161,3)</x:f>
        <x:v>4</x:v>
      </x:c>
      <x:c r="J161" s="5" t="n">
        <x:f>2+MOD(2*B161+F161,3)</x:f>
        <x:v>3</x:v>
      </x:c>
      <x:c r="K161" s="5" t="n">
        <x:f>SUM(G161:J161)</x:f>
        <x:v>18</x:v>
      </x:c>
    </x:row>
    <x:row r="162">
      <x:c r="A162" s="5" t="str">
        <x:v>ML26-S027</x:v>
      </x:c>
      <x:c r="B162" s="5" t="n">
        <x:v>27</x:v>
      </x:c>
      <x:c r="C162" s="5" t="str">
        <x:v>B-202</x:v>
      </x:c>
      <x:c r="D162" s="5" t="str">
        <x:v>Model Test</x:v>
      </x:c>
      <x:c r="E162" s="5" t="str">
        <x:v>Course Beta 2026 Term 2</x:v>
      </x:c>
      <x:c r="F162" s="5" t="n">
        <x:v>5</x:v>
      </x:c>
      <x:c r="G162" s="5" t="n">
        <x:f>3+MOD(B162+F162,4)</x:f>
        <x:v>3</x:v>
      </x:c>
      <x:c r="H162" s="5" t="n">
        <x:f>3+MOD(2*B162+F162,4)</x:f>
        <x:v>6</x:v>
      </x:c>
      <x:c r="I162" s="5" t="n">
        <x:f>2+MOD(B162+2*F162,3)</x:f>
        <x:v>3</x:v>
      </x:c>
      <x:c r="J162" s="5" t="n">
        <x:f>2+MOD(2*B162+F162,3)</x:f>
        <x:v>4</x:v>
      </x:c>
      <x:c r="K162" s="5" t="n">
        <x:f>SUM(G162:J162)</x:f>
        <x:v>16</x:v>
      </x:c>
    </x:row>
    <x:row r="163">
      <x:c r="A163" s="5" t="str">
        <x:v>ML26-S027</x:v>
      </x:c>
      <x:c r="B163" s="5" t="n">
        <x:v>27</x:v>
      </x:c>
      <x:c r="C163" s="5" t="str">
        <x:v>B-203</x:v>
      </x:c>
      <x:c r="D163" s="5" t="str">
        <x:v>Design Critique</x:v>
      </x:c>
      <x:c r="E163" s="5" t="str">
        <x:v>Course Beta 2026 Term 2</x:v>
      </x:c>
      <x:c r="F163" s="5" t="n">
        <x:v>6</x:v>
      </x:c>
      <x:c r="G163" s="5" t="n">
        <x:f>3+MOD(B163+F163,4)</x:f>
        <x:v>4</x:v>
      </x:c>
      <x:c r="H163" s="5" t="n">
        <x:f>3+MOD(2*B163+F163,4)</x:f>
        <x:v>3</x:v>
      </x:c>
      <x:c r="I163" s="5" t="n">
        <x:f>2+MOD(B163+2*F163,3)</x:f>
        <x:v>2</x:v>
      </x:c>
      <x:c r="J163" s="5" t="n">
        <x:f>2+MOD(2*B163+F163,3)</x:f>
        <x:v>2</x:v>
      </x:c>
      <x:c r="K163" s="5" t="n">
        <x:f>SUM(G163:J163)</x:f>
        <x:v>11</x:v>
      </x:c>
    </x:row>
    <x:row r="164">
      <x:c r="A164" s="5" t="str">
        <x:v>ML26-S028</x:v>
      </x:c>
      <x:c r="B164" s="5" t="n">
        <x:v>28</x:v>
      </x:c>
      <x:c r="C164" s="5" t="str">
        <x:v>A-101</x:v>
      </x:c>
      <x:c r="D164" s="5" t="str">
        <x:v>Evidence Map</x:v>
      </x:c>
      <x:c r="E164" s="5" t="str">
        <x:v>Course Alpha 2026 Term 1</x:v>
      </x:c>
      <x:c r="F164" s="5" t="n">
        <x:v>1</x:v>
      </x:c>
      <x:c r="G164" s="5" t="n">
        <x:f>3+MOD(B164+F164,4)</x:f>
        <x:v>4</x:v>
      </x:c>
      <x:c r="H164" s="5" t="n">
        <x:f>3+MOD(2*B164+F164,4)</x:f>
        <x:v>4</x:v>
      </x:c>
      <x:c r="I164" s="5" t="n">
        <x:f>2+MOD(B164+2*F164,3)</x:f>
        <x:v>2</x:v>
      </x:c>
      <x:c r="J164" s="5" t="n">
        <x:f>2+MOD(2*B164+F164,3)</x:f>
        <x:v>2</x:v>
      </x:c>
      <x:c r="K164" s="5" t="n">
        <x:f>SUM(G164:J164)</x:f>
        <x:v>12</x:v>
      </x:c>
    </x:row>
    <x:row r="165">
      <x:c r="A165" s="5" t="str">
        <x:v>ML26-S028</x:v>
      </x:c>
      <x:c r="B165" s="5" t="n">
        <x:v>28</x:v>
      </x:c>
      <x:c r="C165" s="5" t="str">
        <x:v>A-102</x:v>
      </x:c>
      <x:c r="D165" s="5" t="str">
        <x:v>Source Comparison</x:v>
      </x:c>
      <x:c r="E165" s="5" t="str">
        <x:v>Course Alpha 2026 Term 1</x:v>
      </x:c>
      <x:c r="F165" s="5" t="n">
        <x:v>2</x:v>
      </x:c>
      <x:c r="G165" s="5" t="n">
        <x:f>3+MOD(B165+F165,4)</x:f>
        <x:v>5</x:v>
      </x:c>
      <x:c r="H165" s="5" t="n">
        <x:f>3+MOD(2*B165+F165,4)</x:f>
        <x:v>5</x:v>
      </x:c>
      <x:c r="I165" s="5" t="n">
        <x:f>2+MOD(B165+2*F165,3)</x:f>
        <x:v>4</x:v>
      </x:c>
      <x:c r="J165" s="5" t="n">
        <x:f>2+MOD(2*B165+F165,3)</x:f>
        <x:v>3</x:v>
      </x:c>
      <x:c r="K165" s="5" t="n">
        <x:f>SUM(G165:J165)</x:f>
        <x:v>17</x:v>
      </x:c>
    </x:row>
    <x:row r="166">
      <x:c r="A166" s="5" t="str">
        <x:v>ML26-S028</x:v>
      </x:c>
      <x:c r="B166" s="5" t="n">
        <x:v>28</x:v>
      </x:c>
      <x:c r="C166" s="5" t="str">
        <x:v>A-103</x:v>
      </x:c>
      <x:c r="D166" s="5" t="str">
        <x:v>Claim-Evidence-Reasoning Brief</x:v>
      </x:c>
      <x:c r="E166" s="5" t="str">
        <x:v>Course Alpha 2026 Term 1</x:v>
      </x:c>
      <x:c r="F166" s="5" t="n">
        <x:v>3</x:v>
      </x:c>
      <x:c r="G166" s="5" t="n">
        <x:f>3+MOD(B166+F166,4)</x:f>
        <x:v>6</x:v>
      </x:c>
      <x:c r="H166" s="5" t="n">
        <x:f>3+MOD(2*B166+F166,4)</x:f>
        <x:v>6</x:v>
      </x:c>
      <x:c r="I166" s="5" t="n">
        <x:f>2+MOD(B166+2*F166,3)</x:f>
        <x:v>3</x:v>
      </x:c>
      <x:c r="J166" s="5" t="n">
        <x:f>2+MOD(2*B166+F166,3)</x:f>
        <x:v>4</x:v>
      </x:c>
      <x:c r="K166" s="5" t="n">
        <x:f>SUM(G166:J166)</x:f>
        <x:v>19</x:v>
      </x:c>
    </x:row>
    <x:row r="167">
      <x:c r="A167" s="5" t="str">
        <x:v>ML26-S028</x:v>
      </x:c>
      <x:c r="B167" s="5" t="n">
        <x:v>28</x:v>
      </x:c>
      <x:c r="C167" s="5" t="str">
        <x:v>B-201</x:v>
      </x:c>
      <x:c r="D167" s="5" t="str">
        <x:v>Scenario Map</x:v>
      </x:c>
      <x:c r="E167" s="5" t="str">
        <x:v>Course Beta 2026 Term 2</x:v>
      </x:c>
      <x:c r="F167" s="5" t="n">
        <x:v>4</x:v>
      </x:c>
      <x:c r="G167" s="5" t="n">
        <x:f>3+MOD(B167+F167,4)</x:f>
        <x:v>3</x:v>
      </x:c>
      <x:c r="H167" s="5" t="n">
        <x:f>3+MOD(2*B167+F167,4)</x:f>
        <x:v>3</x:v>
      </x:c>
      <x:c r="I167" s="5" t="n">
        <x:f>2+MOD(B167+2*F167,3)</x:f>
        <x:v>2</x:v>
      </x:c>
      <x:c r="J167" s="5" t="n">
        <x:f>2+MOD(2*B167+F167,3)</x:f>
        <x:v>2</x:v>
      </x:c>
      <x:c r="K167" s="5" t="n">
        <x:f>SUM(G167:J167)</x:f>
        <x:v>10</x:v>
      </x:c>
    </x:row>
    <x:row r="168">
      <x:c r="A168" s="5" t="str">
        <x:v>ML26-S028</x:v>
      </x:c>
      <x:c r="B168" s="5" t="n">
        <x:v>28</x:v>
      </x:c>
      <x:c r="C168" s="5" t="str">
        <x:v>B-202</x:v>
      </x:c>
      <x:c r="D168" s="5" t="str">
        <x:v>Model Test</x:v>
      </x:c>
      <x:c r="E168" s="5" t="str">
        <x:v>Course Beta 2026 Term 2</x:v>
      </x:c>
      <x:c r="F168" s="5" t="n">
        <x:v>5</x:v>
      </x:c>
      <x:c r="G168" s="5" t="n">
        <x:f>3+MOD(B168+F168,4)</x:f>
        <x:v>4</x:v>
      </x:c>
      <x:c r="H168" s="5" t="n">
        <x:f>3+MOD(2*B168+F168,4)</x:f>
        <x:v>4</x:v>
      </x:c>
      <x:c r="I168" s="5" t="n">
        <x:f>2+MOD(B168+2*F168,3)</x:f>
        <x:v>4</x:v>
      </x:c>
      <x:c r="J168" s="5" t="n">
        <x:f>2+MOD(2*B168+F168,3)</x:f>
        <x:v>3</x:v>
      </x:c>
      <x:c r="K168" s="5" t="n">
        <x:f>SUM(G168:J168)</x:f>
        <x:v>15</x:v>
      </x:c>
    </x:row>
    <x:row r="169">
      <x:c r="A169" s="5" t="str">
        <x:v>ML26-S028</x:v>
      </x:c>
      <x:c r="B169" s="5" t="n">
        <x:v>28</x:v>
      </x:c>
      <x:c r="C169" s="5" t="str">
        <x:v>B-203</x:v>
      </x:c>
      <x:c r="D169" s="5" t="str">
        <x:v>Design Critique</x:v>
      </x:c>
      <x:c r="E169" s="5" t="str">
        <x:v>Course Beta 2026 Term 2</x:v>
      </x:c>
      <x:c r="F169" s="5" t="n">
        <x:v>6</x:v>
      </x:c>
      <x:c r="G169" s="5" t="n">
        <x:f>3+MOD(B169+F169,4)</x:f>
        <x:v>5</x:v>
      </x:c>
      <x:c r="H169" s="5" t="n">
        <x:f>3+MOD(2*B169+F169,4)</x:f>
        <x:v>5</x:v>
      </x:c>
      <x:c r="I169" s="5" t="n">
        <x:f>2+MOD(B169+2*F169,3)</x:f>
        <x:v>3</x:v>
      </x:c>
      <x:c r="J169" s="5" t="n">
        <x:f>2+MOD(2*B169+F169,3)</x:f>
        <x:v>4</x:v>
      </x:c>
      <x:c r="K169" s="5" t="n">
        <x:f>SUM(G169:J169)</x:f>
        <x:v>17</x:v>
      </x:c>
    </x:row>
    <x:row r="170">
      <x:c r="A170" s="5" t="str">
        <x:v>ML26-S029</x:v>
      </x:c>
      <x:c r="B170" s="5" t="n">
        <x:v>29</x:v>
      </x:c>
      <x:c r="C170" s="5" t="str">
        <x:v>A-101</x:v>
      </x:c>
      <x:c r="D170" s="5" t="str">
        <x:v>Evidence Map</x:v>
      </x:c>
      <x:c r="E170" s="5" t="str">
        <x:v>Course Alpha 2026 Term 1</x:v>
      </x:c>
      <x:c r="F170" s="5" t="n">
        <x:v>1</x:v>
      </x:c>
      <x:c r="G170" s="5" t="n">
        <x:f>3+MOD(B170+F170,4)</x:f>
        <x:v>5</x:v>
      </x:c>
      <x:c r="H170" s="5" t="n">
        <x:f>3+MOD(2*B170+F170,4)</x:f>
        <x:v>6</x:v>
      </x:c>
      <x:c r="I170" s="5" t="n">
        <x:f>2+MOD(B170+2*F170,3)</x:f>
        <x:v>3</x:v>
      </x:c>
      <x:c r="J170" s="5" t="n">
        <x:f>2+MOD(2*B170+F170,3)</x:f>
        <x:v>4</x:v>
      </x:c>
      <x:c r="K170" s="5" t="n">
        <x:f>SUM(G170:J170)</x:f>
        <x:v>18</x:v>
      </x:c>
    </x:row>
    <x:row r="171">
      <x:c r="A171" s="5" t="str">
        <x:v>ML26-S029</x:v>
      </x:c>
      <x:c r="B171" s="5" t="n">
        <x:v>29</x:v>
      </x:c>
      <x:c r="C171" s="5" t="str">
        <x:v>A-102</x:v>
      </x:c>
      <x:c r="D171" s="5" t="str">
        <x:v>Source Comparison</x:v>
      </x:c>
      <x:c r="E171" s="5" t="str">
        <x:v>Course Alpha 2026 Term 1</x:v>
      </x:c>
      <x:c r="F171" s="5" t="n">
        <x:v>2</x:v>
      </x:c>
      <x:c r="G171" s="5" t="n">
        <x:f>3+MOD(B171+F171,4)</x:f>
        <x:v>6</x:v>
      </x:c>
      <x:c r="H171" s="5" t="n">
        <x:f>3+MOD(2*B171+F171,4)</x:f>
        <x:v>3</x:v>
      </x:c>
      <x:c r="I171" s="5" t="n">
        <x:f>2+MOD(B171+2*F171,3)</x:f>
        <x:v>2</x:v>
      </x:c>
      <x:c r="J171" s="5" t="n">
        <x:f>2+MOD(2*B171+F171,3)</x:f>
        <x:v>2</x:v>
      </x:c>
      <x:c r="K171" s="5" t="n">
        <x:f>SUM(G171:J171)</x:f>
        <x:v>13</x:v>
      </x:c>
    </x:row>
    <x:row r="172">
      <x:c r="A172" s="5" t="str">
        <x:v>ML26-S029</x:v>
      </x:c>
      <x:c r="B172" s="5" t="n">
        <x:v>29</x:v>
      </x:c>
      <x:c r="C172" s="5" t="str">
        <x:v>A-103</x:v>
      </x:c>
      <x:c r="D172" s="5" t="str">
        <x:v>Claim-Evidence-Reasoning Brief</x:v>
      </x:c>
      <x:c r="E172" s="5" t="str">
        <x:v>Course Alpha 2026 Term 1</x:v>
      </x:c>
      <x:c r="F172" s="5" t="n">
        <x:v>3</x:v>
      </x:c>
      <x:c r="G172" s="5" t="n">
        <x:f>3+MOD(B172+F172,4)</x:f>
        <x:v>3</x:v>
      </x:c>
      <x:c r="H172" s="5" t="n">
        <x:f>3+MOD(2*B172+F172,4)</x:f>
        <x:v>4</x:v>
      </x:c>
      <x:c r="I172" s="5" t="n">
        <x:f>2+MOD(B172+2*F172,3)</x:f>
        <x:v>4</x:v>
      </x:c>
      <x:c r="J172" s="5" t="n">
        <x:f>2+MOD(2*B172+F172,3)</x:f>
        <x:v>3</x:v>
      </x:c>
      <x:c r="K172" s="5" t="n">
        <x:f>SUM(G172:J172)</x:f>
        <x:v>14</x:v>
      </x:c>
    </x:row>
    <x:row r="173">
      <x:c r="A173" s="5" t="str">
        <x:v>ML26-S029</x:v>
      </x:c>
      <x:c r="B173" s="5" t="n">
        <x:v>29</x:v>
      </x:c>
      <x:c r="C173" s="5" t="str">
        <x:v>B-201</x:v>
      </x:c>
      <x:c r="D173" s="5" t="str">
        <x:v>Scenario Map</x:v>
      </x:c>
      <x:c r="E173" s="5" t="str">
        <x:v>Course Beta 2026 Term 2</x:v>
      </x:c>
      <x:c r="F173" s="5" t="n">
        <x:v>4</x:v>
      </x:c>
      <x:c r="G173" s="5" t="n">
        <x:f>3+MOD(B173+F173,4)</x:f>
        <x:v>4</x:v>
      </x:c>
      <x:c r="H173" s="5" t="n">
        <x:f>3+MOD(2*B173+F173,4)</x:f>
        <x:v>5</x:v>
      </x:c>
      <x:c r="I173" s="5" t="n">
        <x:f>2+MOD(B173+2*F173,3)</x:f>
        <x:v>3</x:v>
      </x:c>
      <x:c r="J173" s="5" t="n">
        <x:f>2+MOD(2*B173+F173,3)</x:f>
        <x:v>4</x:v>
      </x:c>
      <x:c r="K173" s="5" t="n">
        <x:f>SUM(G173:J173)</x:f>
        <x:v>16</x:v>
      </x:c>
    </x:row>
    <x:row r="174">
      <x:c r="A174" s="5" t="str">
        <x:v>ML26-S029</x:v>
      </x:c>
      <x:c r="B174" s="5" t="n">
        <x:v>29</x:v>
      </x:c>
      <x:c r="C174" s="5" t="str">
        <x:v>B-202</x:v>
      </x:c>
      <x:c r="D174" s="5" t="str">
        <x:v>Model Test</x:v>
      </x:c>
      <x:c r="E174" s="5" t="str">
        <x:v>Course Beta 2026 Term 2</x:v>
      </x:c>
      <x:c r="F174" s="5" t="n">
        <x:v>5</x:v>
      </x:c>
      <x:c r="G174" s="5" t="n">
        <x:f>3+MOD(B174+F174,4)</x:f>
        <x:v>5</x:v>
      </x:c>
      <x:c r="H174" s="5" t="n">
        <x:f>3+MOD(2*B174+F174,4)</x:f>
        <x:v>6</x:v>
      </x:c>
      <x:c r="I174" s="5" t="n">
        <x:f>2+MOD(B174+2*F174,3)</x:f>
        <x:v>2</x:v>
      </x:c>
      <x:c r="J174" s="5" t="n">
        <x:f>2+MOD(2*B174+F174,3)</x:f>
        <x:v>2</x:v>
      </x:c>
      <x:c r="K174" s="5" t="n">
        <x:f>SUM(G174:J174)</x:f>
        <x:v>15</x:v>
      </x:c>
    </x:row>
    <x:row r="175">
      <x:c r="A175" s="5" t="str">
        <x:v>ML26-S029</x:v>
      </x:c>
      <x:c r="B175" s="5" t="n">
        <x:v>29</x:v>
      </x:c>
      <x:c r="C175" s="5" t="str">
        <x:v>B-203</x:v>
      </x:c>
      <x:c r="D175" s="5" t="str">
        <x:v>Design Critique</x:v>
      </x:c>
      <x:c r="E175" s="5" t="str">
        <x:v>Course Beta 2026 Term 2</x:v>
      </x:c>
      <x:c r="F175" s="5" t="n">
        <x:v>6</x:v>
      </x:c>
      <x:c r="G175" s="5" t="n">
        <x:f>3+MOD(B175+F175,4)</x:f>
        <x:v>6</x:v>
      </x:c>
      <x:c r="H175" s="5" t="n">
        <x:f>3+MOD(2*B175+F175,4)</x:f>
        <x:v>3</x:v>
      </x:c>
      <x:c r="I175" s="5" t="n">
        <x:f>2+MOD(B175+2*F175,3)</x:f>
        <x:v>4</x:v>
      </x:c>
      <x:c r="J175" s="5" t="n">
        <x:f>2+MOD(2*B175+F175,3)</x:f>
        <x:v>3</x:v>
      </x:c>
      <x:c r="K175" s="5" t="n">
        <x:f>SUM(G175:J175)</x:f>
        <x:v>16</x:v>
      </x:c>
    </x:row>
    <x:row r="176">
      <x:c r="A176" s="5" t="str">
        <x:v>ML26-S030</x:v>
      </x:c>
      <x:c r="B176" s="5" t="n">
        <x:v>30</x:v>
      </x:c>
      <x:c r="C176" s="5" t="str">
        <x:v>A-101</x:v>
      </x:c>
      <x:c r="D176" s="5" t="str">
        <x:v>Evidence Map</x:v>
      </x:c>
      <x:c r="E176" s="5" t="str">
        <x:v>Course Alpha 2026 Term 1</x:v>
      </x:c>
      <x:c r="F176" s="5" t="n">
        <x:v>1</x:v>
      </x:c>
      <x:c r="G176" s="5" t="n">
        <x:f>3+MOD(B176+F176,4)</x:f>
        <x:v>6</x:v>
      </x:c>
      <x:c r="H176" s="5" t="n">
        <x:f>3+MOD(2*B176+F176,4)</x:f>
        <x:v>4</x:v>
      </x:c>
      <x:c r="I176" s="5" t="n">
        <x:f>2+MOD(B176+2*F176,3)</x:f>
        <x:v>4</x:v>
      </x:c>
      <x:c r="J176" s="5" t="n">
        <x:f>2+MOD(2*B176+F176,3)</x:f>
        <x:v>3</x:v>
      </x:c>
      <x:c r="K176" s="5" t="n">
        <x:f>SUM(G176:J176)</x:f>
        <x:v>17</x:v>
      </x:c>
    </x:row>
    <x:row r="177">
      <x:c r="A177" s="5" t="str">
        <x:v>ML26-S030</x:v>
      </x:c>
      <x:c r="B177" s="5" t="n">
        <x:v>30</x:v>
      </x:c>
      <x:c r="C177" s="5" t="str">
        <x:v>A-102</x:v>
      </x:c>
      <x:c r="D177" s="5" t="str">
        <x:v>Source Comparison</x:v>
      </x:c>
      <x:c r="E177" s="5" t="str">
        <x:v>Course Alpha 2026 Term 1</x:v>
      </x:c>
      <x:c r="F177" s="5" t="n">
        <x:v>2</x:v>
      </x:c>
      <x:c r="G177" s="5" t="n">
        <x:f>3+MOD(B177+F177,4)</x:f>
        <x:v>3</x:v>
      </x:c>
      <x:c r="H177" s="5" t="n">
        <x:f>3+MOD(2*B177+F177,4)</x:f>
        <x:v>5</x:v>
      </x:c>
      <x:c r="I177" s="5" t="n">
        <x:f>2+MOD(B177+2*F177,3)</x:f>
        <x:v>3</x:v>
      </x:c>
      <x:c r="J177" s="5" t="n">
        <x:f>2+MOD(2*B177+F177,3)</x:f>
        <x:v>4</x:v>
      </x:c>
      <x:c r="K177" s="5" t="n">
        <x:f>SUM(G177:J177)</x:f>
        <x:v>15</x:v>
      </x:c>
    </x:row>
    <x:row r="178">
      <x:c r="A178" s="5" t="str">
        <x:v>ML26-S030</x:v>
      </x:c>
      <x:c r="B178" s="5" t="n">
        <x:v>30</x:v>
      </x:c>
      <x:c r="C178" s="5" t="str">
        <x:v>A-103</x:v>
      </x:c>
      <x:c r="D178" s="5" t="str">
        <x:v>Claim-Evidence-Reasoning Brief</x:v>
      </x:c>
      <x:c r="E178" s="5" t="str">
        <x:v>Course Alpha 2026 Term 1</x:v>
      </x:c>
      <x:c r="F178" s="5" t="n">
        <x:v>3</x:v>
      </x:c>
      <x:c r="G178" s="5" t="n">
        <x:f>3+MOD(B178+F178,4)</x:f>
        <x:v>4</x:v>
      </x:c>
      <x:c r="H178" s="5" t="n">
        <x:f>3+MOD(2*B178+F178,4)</x:f>
        <x:v>6</x:v>
      </x:c>
      <x:c r="I178" s="5" t="n">
        <x:f>2+MOD(B178+2*F178,3)</x:f>
        <x:v>2</x:v>
      </x:c>
      <x:c r="J178" s="5" t="n">
        <x:f>2+MOD(2*B178+F178,3)</x:f>
        <x:v>2</x:v>
      </x:c>
      <x:c r="K178" s="5" t="n">
        <x:f>SUM(G178:J178)</x:f>
        <x:v>14</x:v>
      </x:c>
    </x:row>
    <x:row r="179">
      <x:c r="A179" s="5" t="str">
        <x:v>ML26-S030</x:v>
      </x:c>
      <x:c r="B179" s="5" t="n">
        <x:v>30</x:v>
      </x:c>
      <x:c r="C179" s="5" t="str">
        <x:v>B-201</x:v>
      </x:c>
      <x:c r="D179" s="5" t="str">
        <x:v>Scenario Map</x:v>
      </x:c>
      <x:c r="E179" s="5" t="str">
        <x:v>Course Beta 2026 Term 2</x:v>
      </x:c>
      <x:c r="F179" s="5" t="n">
        <x:v>4</x:v>
      </x:c>
      <x:c r="G179" s="5" t="n">
        <x:f>3+MOD(B179+F179,4)</x:f>
        <x:v>5</x:v>
      </x:c>
      <x:c r="H179" s="5" t="n">
        <x:f>3+MOD(2*B179+F179,4)</x:f>
        <x:v>3</x:v>
      </x:c>
      <x:c r="I179" s="5" t="n">
        <x:f>2+MOD(B179+2*F179,3)</x:f>
        <x:v>4</x:v>
      </x:c>
      <x:c r="J179" s="5" t="n">
        <x:f>2+MOD(2*B179+F179,3)</x:f>
        <x:v>3</x:v>
      </x:c>
      <x:c r="K179" s="5" t="n">
        <x:f>SUM(G179:J179)</x:f>
        <x:v>15</x:v>
      </x:c>
    </x:row>
    <x:row r="180">
      <x:c r="A180" s="5" t="str">
        <x:v>ML26-S030</x:v>
      </x:c>
      <x:c r="B180" s="5" t="n">
        <x:v>30</x:v>
      </x:c>
      <x:c r="C180" s="5" t="str">
        <x:v>B-202</x:v>
      </x:c>
      <x:c r="D180" s="5" t="str">
        <x:v>Model Test</x:v>
      </x:c>
      <x:c r="E180" s="5" t="str">
        <x:v>Course Beta 2026 Term 2</x:v>
      </x:c>
      <x:c r="F180" s="5" t="n">
        <x:v>5</x:v>
      </x:c>
      <x:c r="G180" s="5" t="n">
        <x:f>3+MOD(B180+F180,4)</x:f>
        <x:v>6</x:v>
      </x:c>
      <x:c r="H180" s="5" t="n">
        <x:f>3+MOD(2*B180+F180,4)</x:f>
        <x:v>4</x:v>
      </x:c>
      <x:c r="I180" s="5" t="n">
        <x:f>2+MOD(B180+2*F180,3)</x:f>
        <x:v>3</x:v>
      </x:c>
      <x:c r="J180" s="5" t="n">
        <x:f>2+MOD(2*B180+F180,3)</x:f>
        <x:v>4</x:v>
      </x:c>
      <x:c r="K180" s="5" t="n">
        <x:f>SUM(G180:J180)</x:f>
        <x:v>17</x:v>
      </x:c>
    </x:row>
    <x:row r="181">
      <x:c r="A181" s="5" t="str">
        <x:v>ML26-S030</x:v>
      </x:c>
      <x:c r="B181" s="5" t="n">
        <x:v>30</x:v>
      </x:c>
      <x:c r="C181" s="5" t="str">
        <x:v>B-203</x:v>
      </x:c>
      <x:c r="D181" s="5" t="str">
        <x:v>Design Critique</x:v>
      </x:c>
      <x:c r="E181" s="5" t="str">
        <x:v>Course Beta 2026 Term 2</x:v>
      </x:c>
      <x:c r="F181" s="5" t="n">
        <x:v>6</x:v>
      </x:c>
      <x:c r="G181" s="5" t="n">
        <x:f>3+MOD(B181+F181,4)</x:f>
        <x:v>3</x:v>
      </x:c>
      <x:c r="H181" s="5" t="n">
        <x:f>3+MOD(2*B181+F181,4)</x:f>
        <x:v>5</x:v>
      </x:c>
      <x:c r="I181" s="5" t="n">
        <x:f>2+MOD(B181+2*F181,3)</x:f>
        <x:v>2</x:v>
      </x:c>
      <x:c r="J181" s="5" t="n">
        <x:f>2+MOD(2*B181+F181,3)</x:f>
        <x:v>2</x:v>
      </x:c>
      <x:c r="K181" s="5" t="n">
        <x:f>SUM(G181:J181)</x:f>
        <x:v>12</x:v>
      </x:c>
    </x:row>
    <x:row r="182">
      <x:c r="A182" s="5" t="str">
        <x:v>ML26-S031</x:v>
      </x:c>
      <x:c r="B182" s="5" t="n">
        <x:v>31</x:v>
      </x:c>
      <x:c r="C182" s="5" t="str">
        <x:v>A-101</x:v>
      </x:c>
      <x:c r="D182" s="5" t="str">
        <x:v>Evidence Map</x:v>
      </x:c>
      <x:c r="E182" s="5" t="str">
        <x:v>Course Alpha 2026 Term 1</x:v>
      </x:c>
      <x:c r="F182" s="5" t="n">
        <x:v>1</x:v>
      </x:c>
      <x:c r="G182" s="5" t="n">
        <x:f>3+MOD(B182+F182,4)</x:f>
        <x:v>3</x:v>
      </x:c>
      <x:c r="H182" s="5" t="n">
        <x:f>3+MOD(2*B182+F182,4)</x:f>
        <x:v>6</x:v>
      </x:c>
      <x:c r="I182" s="5" t="n">
        <x:f>2+MOD(B182+2*F182,3)</x:f>
        <x:v>2</x:v>
      </x:c>
      <x:c r="J182" s="5" t="n">
        <x:f>2+MOD(2*B182+F182,3)</x:f>
        <x:v>2</x:v>
      </x:c>
      <x:c r="K182" s="5" t="n">
        <x:f>SUM(G182:J182)</x:f>
        <x:v>13</x:v>
      </x:c>
    </x:row>
    <x:row r="183">
      <x:c r="A183" s="5" t="str">
        <x:v>ML26-S031</x:v>
      </x:c>
      <x:c r="B183" s="5" t="n">
        <x:v>31</x:v>
      </x:c>
      <x:c r="C183" s="5" t="str">
        <x:v>A-102</x:v>
      </x:c>
      <x:c r="D183" s="5" t="str">
        <x:v>Source Comparison</x:v>
      </x:c>
      <x:c r="E183" s="5" t="str">
        <x:v>Course Alpha 2026 Term 1</x:v>
      </x:c>
      <x:c r="F183" s="5" t="n">
        <x:v>2</x:v>
      </x:c>
      <x:c r="G183" s="5" t="n">
        <x:f>3+MOD(B183+F183,4)</x:f>
        <x:v>4</x:v>
      </x:c>
      <x:c r="H183" s="5" t="n">
        <x:f>3+MOD(2*B183+F183,4)</x:f>
        <x:v>3</x:v>
      </x:c>
      <x:c r="I183" s="5" t="n">
        <x:f>2+MOD(B183+2*F183,3)</x:f>
        <x:v>4</x:v>
      </x:c>
      <x:c r="J183" s="5" t="n">
        <x:f>2+MOD(2*B183+F183,3)</x:f>
        <x:v>3</x:v>
      </x:c>
      <x:c r="K183" s="5" t="n">
        <x:f>SUM(G183:J183)</x:f>
        <x:v>14</x:v>
      </x:c>
    </x:row>
    <x:row r="184">
      <x:c r="A184" s="5" t="str">
        <x:v>ML26-S031</x:v>
      </x:c>
      <x:c r="B184" s="5" t="n">
        <x:v>31</x:v>
      </x:c>
      <x:c r="C184" s="5" t="str">
        <x:v>A-103</x:v>
      </x:c>
      <x:c r="D184" s="5" t="str">
        <x:v>Claim-Evidence-Reasoning Brief</x:v>
      </x:c>
      <x:c r="E184" s="5" t="str">
        <x:v>Course Alpha 2026 Term 1</x:v>
      </x:c>
      <x:c r="F184" s="5" t="n">
        <x:v>3</x:v>
      </x:c>
      <x:c r="G184" s="5" t="n">
        <x:f>3+MOD(B184+F184,4)</x:f>
        <x:v>5</x:v>
      </x:c>
      <x:c r="H184" s="5" t="n">
        <x:f>3+MOD(2*B184+F184,4)</x:f>
        <x:v>4</x:v>
      </x:c>
      <x:c r="I184" s="5" t="n">
        <x:f>2+MOD(B184+2*F184,3)</x:f>
        <x:v>3</x:v>
      </x:c>
      <x:c r="J184" s="5" t="n">
        <x:f>2+MOD(2*B184+F184,3)</x:f>
        <x:v>4</x:v>
      </x:c>
      <x:c r="K184" s="5" t="n">
        <x:f>SUM(G184:J184)</x:f>
        <x:v>16</x:v>
      </x:c>
    </x:row>
    <x:row r="185">
      <x:c r="A185" s="5" t="str">
        <x:v>ML26-S031</x:v>
      </x:c>
      <x:c r="B185" s="5" t="n">
        <x:v>31</x:v>
      </x:c>
      <x:c r="C185" s="5" t="str">
        <x:v>B-201</x:v>
      </x:c>
      <x:c r="D185" s="5" t="str">
        <x:v>Scenario Map</x:v>
      </x:c>
      <x:c r="E185" s="5" t="str">
        <x:v>Course Beta 2026 Term 2</x:v>
      </x:c>
      <x:c r="F185" s="5" t="n">
        <x:v>4</x:v>
      </x:c>
      <x:c r="G185" s="5" t="n">
        <x:f>3+MOD(B185+F185,4)</x:f>
        <x:v>6</x:v>
      </x:c>
      <x:c r="H185" s="5" t="n">
        <x:f>3+MOD(2*B185+F185,4)</x:f>
        <x:v>5</x:v>
      </x:c>
      <x:c r="I185" s="5" t="n">
        <x:f>2+MOD(B185+2*F185,3)</x:f>
        <x:v>2</x:v>
      </x:c>
      <x:c r="J185" s="5" t="n">
        <x:f>2+MOD(2*B185+F185,3)</x:f>
        <x:v>2</x:v>
      </x:c>
      <x:c r="K185" s="5" t="n">
        <x:f>SUM(G185:J185)</x:f>
        <x:v>15</x:v>
      </x:c>
    </x:row>
    <x:row r="186">
      <x:c r="A186" s="5" t="str">
        <x:v>ML26-S031</x:v>
      </x:c>
      <x:c r="B186" s="5" t="n">
        <x:v>31</x:v>
      </x:c>
      <x:c r="C186" s="5" t="str">
        <x:v>B-202</x:v>
      </x:c>
      <x:c r="D186" s="5" t="str">
        <x:v>Model Test</x:v>
      </x:c>
      <x:c r="E186" s="5" t="str">
        <x:v>Course Beta 2026 Term 2</x:v>
      </x:c>
      <x:c r="F186" s="5" t="n">
        <x:v>5</x:v>
      </x:c>
      <x:c r="G186" s="5" t="n">
        <x:f>3+MOD(B186+F186,4)</x:f>
        <x:v>3</x:v>
      </x:c>
      <x:c r="H186" s="5" t="n">
        <x:f>3+MOD(2*B186+F186,4)</x:f>
        <x:v>6</x:v>
      </x:c>
      <x:c r="I186" s="5" t="n">
        <x:f>2+MOD(B186+2*F186,3)</x:f>
        <x:v>4</x:v>
      </x:c>
      <x:c r="J186" s="5" t="n">
        <x:f>2+MOD(2*B186+F186,3)</x:f>
        <x:v>3</x:v>
      </x:c>
      <x:c r="K186" s="5" t="n">
        <x:f>SUM(G186:J186)</x:f>
        <x:v>16</x:v>
      </x:c>
    </x:row>
    <x:row r="187">
      <x:c r="A187" s="5" t="str">
        <x:v>ML26-S031</x:v>
      </x:c>
      <x:c r="B187" s="5" t="n">
        <x:v>31</x:v>
      </x:c>
      <x:c r="C187" s="5" t="str">
        <x:v>B-203</x:v>
      </x:c>
      <x:c r="D187" s="5" t="str">
        <x:v>Design Critique</x:v>
      </x:c>
      <x:c r="E187" s="5" t="str">
        <x:v>Course Beta 2026 Term 2</x:v>
      </x:c>
      <x:c r="F187" s="5" t="n">
        <x:v>6</x:v>
      </x:c>
      <x:c r="G187" s="5" t="n">
        <x:f>3+MOD(B187+F187,4)</x:f>
        <x:v>4</x:v>
      </x:c>
      <x:c r="H187" s="5" t="n">
        <x:f>3+MOD(2*B187+F187,4)</x:f>
        <x:v>3</x:v>
      </x:c>
      <x:c r="I187" s="5" t="n">
        <x:f>2+MOD(B187+2*F187,3)</x:f>
        <x:v>3</x:v>
      </x:c>
      <x:c r="J187" s="5" t="n">
        <x:f>2+MOD(2*B187+F187,3)</x:f>
        <x:v>4</x:v>
      </x:c>
      <x:c r="K187" s="5" t="n">
        <x:f>SUM(G187:J187)</x:f>
        <x:v>14</x:v>
      </x:c>
    </x:row>
    <x:row r="188">
      <x:c r="A188" s="5" t="str">
        <x:v>ML26-S032</x:v>
      </x:c>
      <x:c r="B188" s="5" t="n">
        <x:v>32</x:v>
      </x:c>
      <x:c r="C188" s="5" t="str">
        <x:v>A-101</x:v>
      </x:c>
      <x:c r="D188" s="5" t="str">
        <x:v>Evidence Map</x:v>
      </x:c>
      <x:c r="E188" s="5" t="str">
        <x:v>Course Alpha 2026 Term 1</x:v>
      </x:c>
      <x:c r="F188" s="5" t="n">
        <x:v>1</x:v>
      </x:c>
      <x:c r="G188" s="5" t="n">
        <x:f>3+MOD(B188+F188,4)</x:f>
        <x:v>4</x:v>
      </x:c>
      <x:c r="H188" s="5" t="n">
        <x:f>3+MOD(2*B188+F188,4)</x:f>
        <x:v>4</x:v>
      </x:c>
      <x:c r="I188" s="5" t="n">
        <x:f>2+MOD(B188+2*F188,3)</x:f>
        <x:v>3</x:v>
      </x:c>
      <x:c r="J188" s="5" t="n">
        <x:f>2+MOD(2*B188+F188,3)</x:f>
        <x:v>4</x:v>
      </x:c>
      <x:c r="K188" s="5" t="n">
        <x:f>SUM(G188:J188)</x:f>
        <x:v>15</x:v>
      </x:c>
    </x:row>
    <x:row r="189">
      <x:c r="A189" s="5" t="str">
        <x:v>ML26-S032</x:v>
      </x:c>
      <x:c r="B189" s="5" t="n">
        <x:v>32</x:v>
      </x:c>
      <x:c r="C189" s="5" t="str">
        <x:v>A-102</x:v>
      </x:c>
      <x:c r="D189" s="5" t="str">
        <x:v>Source Comparison</x:v>
      </x:c>
      <x:c r="E189" s="5" t="str">
        <x:v>Course Alpha 2026 Term 1</x:v>
      </x:c>
      <x:c r="F189" s="5" t="n">
        <x:v>2</x:v>
      </x:c>
      <x:c r="G189" s="5" t="n">
        <x:f>3+MOD(B189+F189,4)</x:f>
        <x:v>5</x:v>
      </x:c>
      <x:c r="H189" s="5" t="n">
        <x:f>3+MOD(2*B189+F189,4)</x:f>
        <x:v>5</x:v>
      </x:c>
      <x:c r="I189" s="5" t="n">
        <x:f>2+MOD(B189+2*F189,3)</x:f>
        <x:v>2</x:v>
      </x:c>
      <x:c r="J189" s="5" t="n">
        <x:f>2+MOD(2*B189+F189,3)</x:f>
        <x:v>2</x:v>
      </x:c>
      <x:c r="K189" s="5" t="n">
        <x:f>SUM(G189:J189)</x:f>
        <x:v>14</x:v>
      </x:c>
    </x:row>
    <x:row r="190">
      <x:c r="A190" s="5" t="str">
        <x:v>ML26-S032</x:v>
      </x:c>
      <x:c r="B190" s="5" t="n">
        <x:v>32</x:v>
      </x:c>
      <x:c r="C190" s="5" t="str">
        <x:v>A-103</x:v>
      </x:c>
      <x:c r="D190" s="5" t="str">
        <x:v>Claim-Evidence-Reasoning Brief</x:v>
      </x:c>
      <x:c r="E190" s="5" t="str">
        <x:v>Course Alpha 2026 Term 1</x:v>
      </x:c>
      <x:c r="F190" s="5" t="n">
        <x:v>3</x:v>
      </x:c>
      <x:c r="G190" s="5" t="n">
        <x:f>3+MOD(B190+F190,4)</x:f>
        <x:v>6</x:v>
      </x:c>
      <x:c r="H190" s="5" t="n">
        <x:f>3+MOD(2*B190+F190,4)</x:f>
        <x:v>6</x:v>
      </x:c>
      <x:c r="I190" s="5" t="n">
        <x:f>2+MOD(B190+2*F190,3)</x:f>
        <x:v>4</x:v>
      </x:c>
      <x:c r="J190" s="5" t="n">
        <x:f>2+MOD(2*B190+F190,3)</x:f>
        <x:v>3</x:v>
      </x:c>
      <x:c r="K190" s="5" t="n">
        <x:f>SUM(G190:J190)</x:f>
        <x:v>19</x:v>
      </x:c>
    </x:row>
    <x:row r="191">
      <x:c r="A191" s="5" t="str">
        <x:v>ML26-S032</x:v>
      </x:c>
      <x:c r="B191" s="5" t="n">
        <x:v>32</x:v>
      </x:c>
      <x:c r="C191" s="5" t="str">
        <x:v>B-201</x:v>
      </x:c>
      <x:c r="D191" s="5" t="str">
        <x:v>Scenario Map</x:v>
      </x:c>
      <x:c r="E191" s="5" t="str">
        <x:v>Course Beta 2026 Term 2</x:v>
      </x:c>
      <x:c r="F191" s="5" t="n">
        <x:v>4</x:v>
      </x:c>
      <x:c r="G191" s="5" t="n">
        <x:f>3+MOD(B191+F191,4)</x:f>
        <x:v>3</x:v>
      </x:c>
      <x:c r="H191" s="5" t="n">
        <x:f>3+MOD(2*B191+F191,4)</x:f>
        <x:v>3</x:v>
      </x:c>
      <x:c r="I191" s="5" t="n">
        <x:f>2+MOD(B191+2*F191,3)</x:f>
        <x:v>3</x:v>
      </x:c>
      <x:c r="J191" s="5" t="n">
        <x:f>2+MOD(2*B191+F191,3)</x:f>
        <x:v>4</x:v>
      </x:c>
      <x:c r="K191" s="5" t="n">
        <x:f>SUM(G191:J191)</x:f>
        <x:v>13</x:v>
      </x:c>
    </x:row>
    <x:row r="192">
      <x:c r="A192" s="5" t="str">
        <x:v>ML26-S032</x:v>
      </x:c>
      <x:c r="B192" s="5" t="n">
        <x:v>32</x:v>
      </x:c>
      <x:c r="C192" s="5" t="str">
        <x:v>B-202</x:v>
      </x:c>
      <x:c r="D192" s="5" t="str">
        <x:v>Model Test</x:v>
      </x:c>
      <x:c r="E192" s="5" t="str">
        <x:v>Course Beta 2026 Term 2</x:v>
      </x:c>
      <x:c r="F192" s="5" t="n">
        <x:v>5</x:v>
      </x:c>
      <x:c r="G192" s="5" t="n">
        <x:f>3+MOD(B192+F192,4)</x:f>
        <x:v>4</x:v>
      </x:c>
      <x:c r="H192" s="5" t="n">
        <x:f>3+MOD(2*B192+F192,4)</x:f>
        <x:v>4</x:v>
      </x:c>
      <x:c r="I192" s="5" t="n">
        <x:f>2+MOD(B192+2*F192,3)</x:f>
        <x:v>2</x:v>
      </x:c>
      <x:c r="J192" s="5" t="n">
        <x:f>2+MOD(2*B192+F192,3)</x:f>
        <x:v>2</x:v>
      </x:c>
      <x:c r="K192" s="5" t="n">
        <x:f>SUM(G192:J192)</x:f>
        <x:v>12</x:v>
      </x:c>
    </x:row>
    <x:row r="193">
      <x:c r="A193" s="5" t="str">
        <x:v>ML26-S032</x:v>
      </x:c>
      <x:c r="B193" s="5" t="n">
        <x:v>32</x:v>
      </x:c>
      <x:c r="C193" s="5" t="str">
        <x:v>B-203</x:v>
      </x:c>
      <x:c r="D193" s="5" t="str">
        <x:v>Design Critique</x:v>
      </x:c>
      <x:c r="E193" s="5" t="str">
        <x:v>Course Beta 2026 Term 2</x:v>
      </x:c>
      <x:c r="F193" s="5" t="n">
        <x:v>6</x:v>
      </x:c>
      <x:c r="G193" s="5" t="n">
        <x:f>3+MOD(B193+F193,4)</x:f>
        <x:v>5</x:v>
      </x:c>
      <x:c r="H193" s="5" t="n">
        <x:f>3+MOD(2*B193+F193,4)</x:f>
        <x:v>5</x:v>
      </x:c>
      <x:c r="I193" s="5" t="n">
        <x:f>2+MOD(B193+2*F193,3)</x:f>
        <x:v>4</x:v>
      </x:c>
      <x:c r="J193" s="5" t="n">
        <x:f>2+MOD(2*B193+F193,3)</x:f>
        <x:v>3</x:v>
      </x:c>
      <x:c r="K193" s="5" t="n">
        <x:f>SUM(G193:J193)</x:f>
        <x:v>17</x:v>
      </x:c>
    </x:row>
    <x:row r="194">
      <x:c r="A194" s="5" t="str">
        <x:v>ML26-S033</x:v>
      </x:c>
      <x:c r="B194" s="5" t="n">
        <x:v>33</x:v>
      </x:c>
      <x:c r="C194" s="5" t="str">
        <x:v>A-101</x:v>
      </x:c>
      <x:c r="D194" s="5" t="str">
        <x:v>Evidence Map</x:v>
      </x:c>
      <x:c r="E194" s="5" t="str">
        <x:v>Course Alpha 2026 Term 1</x:v>
      </x:c>
      <x:c r="F194" s="5" t="n">
        <x:v>1</x:v>
      </x:c>
      <x:c r="G194" s="5" t="n">
        <x:f>3+MOD(B194+F194,4)</x:f>
        <x:v>5</x:v>
      </x:c>
      <x:c r="H194" s="5" t="n">
        <x:f>3+MOD(2*B194+F194,4)</x:f>
        <x:v>6</x:v>
      </x:c>
      <x:c r="I194" s="5" t="n">
        <x:f>2+MOD(B194+2*F194,3)</x:f>
        <x:v>4</x:v>
      </x:c>
      <x:c r="J194" s="5" t="n">
        <x:f>2+MOD(2*B194+F194,3)</x:f>
        <x:v>3</x:v>
      </x:c>
      <x:c r="K194" s="5" t="n">
        <x:f>SUM(G194:J194)</x:f>
        <x:v>18</x:v>
      </x:c>
    </x:row>
    <x:row r="195">
      <x:c r="A195" s="5" t="str">
        <x:v>ML26-S033</x:v>
      </x:c>
      <x:c r="B195" s="5" t="n">
        <x:v>33</x:v>
      </x:c>
      <x:c r="C195" s="5" t="str">
        <x:v>A-102</x:v>
      </x:c>
      <x:c r="D195" s="5" t="str">
        <x:v>Source Comparison</x:v>
      </x:c>
      <x:c r="E195" s="5" t="str">
        <x:v>Course Alpha 2026 Term 1</x:v>
      </x:c>
      <x:c r="F195" s="5" t="n">
        <x:v>2</x:v>
      </x:c>
      <x:c r="G195" s="5" t="n">
        <x:f>3+MOD(B195+F195,4)</x:f>
        <x:v>6</x:v>
      </x:c>
      <x:c r="H195" s="5" t="n">
        <x:f>3+MOD(2*B195+F195,4)</x:f>
        <x:v>3</x:v>
      </x:c>
      <x:c r="I195" s="5" t="n">
        <x:f>2+MOD(B195+2*F195,3)</x:f>
        <x:v>3</x:v>
      </x:c>
      <x:c r="J195" s="5" t="n">
        <x:f>2+MOD(2*B195+F195,3)</x:f>
        <x:v>4</x:v>
      </x:c>
      <x:c r="K195" s="5" t="n">
        <x:f>SUM(G195:J195)</x:f>
        <x:v>16</x:v>
      </x:c>
    </x:row>
    <x:row r="196">
      <x:c r="A196" s="5" t="str">
        <x:v>ML26-S033</x:v>
      </x:c>
      <x:c r="B196" s="5" t="n">
        <x:v>33</x:v>
      </x:c>
      <x:c r="C196" s="5" t="str">
        <x:v>A-103</x:v>
      </x:c>
      <x:c r="D196" s="5" t="str">
        <x:v>Claim-Evidence-Reasoning Brief</x:v>
      </x:c>
      <x:c r="E196" s="5" t="str">
        <x:v>Course Alpha 2026 Term 1</x:v>
      </x:c>
      <x:c r="F196" s="5" t="n">
        <x:v>3</x:v>
      </x:c>
      <x:c r="G196" s="5" t="n">
        <x:f>3+MOD(B196+F196,4)</x:f>
        <x:v>3</x:v>
      </x:c>
      <x:c r="H196" s="5" t="n">
        <x:f>3+MOD(2*B196+F196,4)</x:f>
        <x:v>4</x:v>
      </x:c>
      <x:c r="I196" s="5" t="n">
        <x:f>2+MOD(B196+2*F196,3)</x:f>
        <x:v>2</x:v>
      </x:c>
      <x:c r="J196" s="5" t="n">
        <x:f>2+MOD(2*B196+F196,3)</x:f>
        <x:v>2</x:v>
      </x:c>
      <x:c r="K196" s="5" t="n">
        <x:f>SUM(G196:J196)</x:f>
        <x:v>11</x:v>
      </x:c>
    </x:row>
    <x:row r="197">
      <x:c r="A197" s="5" t="str">
        <x:v>ML26-S033</x:v>
      </x:c>
      <x:c r="B197" s="5" t="n">
        <x:v>33</x:v>
      </x:c>
      <x:c r="C197" s="5" t="str">
        <x:v>B-201</x:v>
      </x:c>
      <x:c r="D197" s="5" t="str">
        <x:v>Scenario Map</x:v>
      </x:c>
      <x:c r="E197" s="5" t="str">
        <x:v>Course Beta 2026 Term 2</x:v>
      </x:c>
      <x:c r="F197" s="5" t="n">
        <x:v>4</x:v>
      </x:c>
      <x:c r="G197" s="5" t="n">
        <x:f>3+MOD(B197+F197,4)</x:f>
        <x:v>4</x:v>
      </x:c>
      <x:c r="H197" s="5" t="n">
        <x:f>3+MOD(2*B197+F197,4)</x:f>
        <x:v>5</x:v>
      </x:c>
      <x:c r="I197" s="5" t="n">
        <x:f>2+MOD(B197+2*F197,3)</x:f>
        <x:v>4</x:v>
      </x:c>
      <x:c r="J197" s="5" t="n">
        <x:f>2+MOD(2*B197+F197,3)</x:f>
        <x:v>3</x:v>
      </x:c>
      <x:c r="K197" s="5" t="n">
        <x:f>SUM(G197:J197)</x:f>
        <x:v>16</x:v>
      </x:c>
    </x:row>
    <x:row r="198">
      <x:c r="A198" s="5" t="str">
        <x:v>ML26-S033</x:v>
      </x:c>
      <x:c r="B198" s="5" t="n">
        <x:v>33</x:v>
      </x:c>
      <x:c r="C198" s="5" t="str">
        <x:v>B-202</x:v>
      </x:c>
      <x:c r="D198" s="5" t="str">
        <x:v>Model Test</x:v>
      </x:c>
      <x:c r="E198" s="5" t="str">
        <x:v>Course Beta 2026 Term 2</x:v>
      </x:c>
      <x:c r="F198" s="5" t="n">
        <x:v>5</x:v>
      </x:c>
      <x:c r="G198" s="5" t="n">
        <x:f>3+MOD(B198+F198,4)</x:f>
        <x:v>5</x:v>
      </x:c>
      <x:c r="H198" s="5" t="n">
        <x:f>3+MOD(2*B198+F198,4)</x:f>
        <x:v>6</x:v>
      </x:c>
      <x:c r="I198" s="5" t="n">
        <x:f>2+MOD(B198+2*F198,3)</x:f>
        <x:v>3</x:v>
      </x:c>
      <x:c r="J198" s="5" t="n">
        <x:f>2+MOD(2*B198+F198,3)</x:f>
        <x:v>4</x:v>
      </x:c>
      <x:c r="K198" s="5" t="n">
        <x:f>SUM(G198:J198)</x:f>
        <x:v>18</x:v>
      </x:c>
    </x:row>
    <x:row r="199">
      <x:c r="A199" s="5" t="str">
        <x:v>ML26-S033</x:v>
      </x:c>
      <x:c r="B199" s="5" t="n">
        <x:v>33</x:v>
      </x:c>
      <x:c r="C199" s="5" t="str">
        <x:v>B-203</x:v>
      </x:c>
      <x:c r="D199" s="5" t="str">
        <x:v>Design Critique</x:v>
      </x:c>
      <x:c r="E199" s="5" t="str">
        <x:v>Course Beta 2026 Term 2</x:v>
      </x:c>
      <x:c r="F199" s="5" t="n">
        <x:v>6</x:v>
      </x:c>
      <x:c r="G199" s="5" t="n">
        <x:f>3+MOD(B199+F199,4)</x:f>
        <x:v>6</x:v>
      </x:c>
      <x:c r="H199" s="5" t="n">
        <x:f>3+MOD(2*B199+F199,4)</x:f>
        <x:v>3</x:v>
      </x:c>
      <x:c r="I199" s="5" t="n">
        <x:f>2+MOD(B199+2*F199,3)</x:f>
        <x:v>2</x:v>
      </x:c>
      <x:c r="J199" s="5" t="n">
        <x:f>2+MOD(2*B199+F199,3)</x:f>
        <x:v>2</x:v>
      </x:c>
      <x:c r="K199" s="5" t="n">
        <x:f>SUM(G199:J199)</x:f>
        <x:v>13</x:v>
      </x:c>
    </x:row>
    <x:row r="200">
      <x:c r="A200" s="5" t="str">
        <x:v>ML26-S034</x:v>
      </x:c>
      <x:c r="B200" s="5" t="n">
        <x:v>34</x:v>
      </x:c>
      <x:c r="C200" s="5" t="str">
        <x:v>A-101</x:v>
      </x:c>
      <x:c r="D200" s="5" t="str">
        <x:v>Evidence Map</x:v>
      </x:c>
      <x:c r="E200" s="5" t="str">
        <x:v>Course Alpha 2026 Term 1</x:v>
      </x:c>
      <x:c r="F200" s="5" t="n">
        <x:v>1</x:v>
      </x:c>
      <x:c r="G200" s="5" t="n">
        <x:f>3+MOD(B200+F200,4)</x:f>
        <x:v>6</x:v>
      </x:c>
      <x:c r="H200" s="5" t="n">
        <x:f>3+MOD(2*B200+F200,4)</x:f>
        <x:v>4</x:v>
      </x:c>
      <x:c r="I200" s="5" t="n">
        <x:f>2+MOD(B200+2*F200,3)</x:f>
        <x:v>2</x:v>
      </x:c>
      <x:c r="J200" s="5" t="n">
        <x:f>2+MOD(2*B200+F200,3)</x:f>
        <x:v>2</x:v>
      </x:c>
      <x:c r="K200" s="5" t="n">
        <x:f>SUM(G200:J200)</x:f>
        <x:v>14</x:v>
      </x:c>
    </x:row>
    <x:row r="201">
      <x:c r="A201" s="5" t="str">
        <x:v>ML26-S034</x:v>
      </x:c>
      <x:c r="B201" s="5" t="n">
        <x:v>34</x:v>
      </x:c>
      <x:c r="C201" s="5" t="str">
        <x:v>A-102</x:v>
      </x:c>
      <x:c r="D201" s="5" t="str">
        <x:v>Source Comparison</x:v>
      </x:c>
      <x:c r="E201" s="5" t="str">
        <x:v>Course Alpha 2026 Term 1</x:v>
      </x:c>
      <x:c r="F201" s="5" t="n">
        <x:v>2</x:v>
      </x:c>
      <x:c r="G201" s="5" t="n">
        <x:f>3+MOD(B201+F201,4)</x:f>
        <x:v>3</x:v>
      </x:c>
      <x:c r="H201" s="5" t="n">
        <x:f>3+MOD(2*B201+F201,4)</x:f>
        <x:v>5</x:v>
      </x:c>
      <x:c r="I201" s="5" t="n">
        <x:f>2+MOD(B201+2*F201,3)</x:f>
        <x:v>4</x:v>
      </x:c>
      <x:c r="J201" s="5" t="n">
        <x:f>2+MOD(2*B201+F201,3)</x:f>
        <x:v>3</x:v>
      </x:c>
      <x:c r="K201" s="5" t="n">
        <x:f>SUM(G201:J201)</x:f>
        <x:v>15</x:v>
      </x:c>
    </x:row>
    <x:row r="202">
      <x:c r="A202" s="5" t="str">
        <x:v>ML26-S034</x:v>
      </x:c>
      <x:c r="B202" s="5" t="n">
        <x:v>34</x:v>
      </x:c>
      <x:c r="C202" s="5" t="str">
        <x:v>A-103</x:v>
      </x:c>
      <x:c r="D202" s="5" t="str">
        <x:v>Claim-Evidence-Reasoning Brief</x:v>
      </x:c>
      <x:c r="E202" s="5" t="str">
        <x:v>Course Alpha 2026 Term 1</x:v>
      </x:c>
      <x:c r="F202" s="5" t="n">
        <x:v>3</x:v>
      </x:c>
      <x:c r="G202" s="5" t="n">
        <x:f>3+MOD(B202+F202,4)</x:f>
        <x:v>4</x:v>
      </x:c>
      <x:c r="H202" s="5" t="n">
        <x:f>3+MOD(2*B202+F202,4)</x:f>
        <x:v>6</x:v>
      </x:c>
      <x:c r="I202" s="5" t="n">
        <x:f>2+MOD(B202+2*F202,3)</x:f>
        <x:v>3</x:v>
      </x:c>
      <x:c r="J202" s="5" t="n">
        <x:f>2+MOD(2*B202+F202,3)</x:f>
        <x:v>4</x:v>
      </x:c>
      <x:c r="K202" s="5" t="n">
        <x:f>SUM(G202:J202)</x:f>
        <x:v>17</x:v>
      </x:c>
    </x:row>
    <x:row r="203">
      <x:c r="A203" s="5" t="str">
        <x:v>ML26-S034</x:v>
      </x:c>
      <x:c r="B203" s="5" t="n">
        <x:v>34</x:v>
      </x:c>
      <x:c r="C203" s="5" t="str">
        <x:v>B-201</x:v>
      </x:c>
      <x:c r="D203" s="5" t="str">
        <x:v>Scenario Map</x:v>
      </x:c>
      <x:c r="E203" s="5" t="str">
        <x:v>Course Beta 2026 Term 2</x:v>
      </x:c>
      <x:c r="F203" s="5" t="n">
        <x:v>4</x:v>
      </x:c>
      <x:c r="G203" s="5" t="n">
        <x:f>3+MOD(B203+F203,4)</x:f>
        <x:v>5</x:v>
      </x:c>
      <x:c r="H203" s="5" t="n">
        <x:f>3+MOD(2*B203+F203,4)</x:f>
        <x:v>3</x:v>
      </x:c>
      <x:c r="I203" s="5" t="n">
        <x:f>2+MOD(B203+2*F203,3)</x:f>
        <x:v>2</x:v>
      </x:c>
      <x:c r="J203" s="5" t="n">
        <x:f>2+MOD(2*B203+F203,3)</x:f>
        <x:v>2</x:v>
      </x:c>
      <x:c r="K203" s="5" t="n">
        <x:f>SUM(G203:J203)</x:f>
        <x:v>12</x:v>
      </x:c>
    </x:row>
    <x:row r="204">
      <x:c r="A204" s="5" t="str">
        <x:v>ML26-S034</x:v>
      </x:c>
      <x:c r="B204" s="5" t="n">
        <x:v>34</x:v>
      </x:c>
      <x:c r="C204" s="5" t="str">
        <x:v>B-202</x:v>
      </x:c>
      <x:c r="D204" s="5" t="str">
        <x:v>Model Test</x:v>
      </x:c>
      <x:c r="E204" s="5" t="str">
        <x:v>Course Beta 2026 Term 2</x:v>
      </x:c>
      <x:c r="F204" s="5" t="n">
        <x:v>5</x:v>
      </x:c>
      <x:c r="G204" s="5" t="n">
        <x:f>3+MOD(B204+F204,4)</x:f>
        <x:v>6</x:v>
      </x:c>
      <x:c r="H204" s="5" t="n">
        <x:f>3+MOD(2*B204+F204,4)</x:f>
        <x:v>4</x:v>
      </x:c>
      <x:c r="I204" s="5" t="n">
        <x:f>2+MOD(B204+2*F204,3)</x:f>
        <x:v>4</x:v>
      </x:c>
      <x:c r="J204" s="5" t="n">
        <x:f>2+MOD(2*B204+F204,3)</x:f>
        <x:v>3</x:v>
      </x:c>
      <x:c r="K204" s="5" t="n">
        <x:f>SUM(G204:J204)</x:f>
        <x:v>17</x:v>
      </x:c>
    </x:row>
    <x:row r="205">
      <x:c r="A205" s="5" t="str">
        <x:v>ML26-S034</x:v>
      </x:c>
      <x:c r="B205" s="5" t="n">
        <x:v>34</x:v>
      </x:c>
      <x:c r="C205" s="5" t="str">
        <x:v>B-203</x:v>
      </x:c>
      <x:c r="D205" s="5" t="str">
        <x:v>Design Critique</x:v>
      </x:c>
      <x:c r="E205" s="5" t="str">
        <x:v>Course Beta 2026 Term 2</x:v>
      </x:c>
      <x:c r="F205" s="5" t="n">
        <x:v>6</x:v>
      </x:c>
      <x:c r="G205" s="5" t="n">
        <x:f>3+MOD(B205+F205,4)</x:f>
        <x:v>3</x:v>
      </x:c>
      <x:c r="H205" s="5" t="n">
        <x:f>3+MOD(2*B205+F205,4)</x:f>
        <x:v>5</x:v>
      </x:c>
      <x:c r="I205" s="5" t="n">
        <x:f>2+MOD(B205+2*F205,3)</x:f>
        <x:v>3</x:v>
      </x:c>
      <x:c r="J205" s="5" t="n">
        <x:f>2+MOD(2*B205+F205,3)</x:f>
        <x:v>4</x:v>
      </x:c>
      <x:c r="K205" s="5" t="n">
        <x:f>SUM(G205:J205)</x:f>
        <x:v>15</x:v>
      </x:c>
    </x:row>
    <x:row r="206">
      <x:c r="A206" s="5" t="str">
        <x:v>ML26-S035</x:v>
      </x:c>
      <x:c r="B206" s="5" t="n">
        <x:v>35</x:v>
      </x:c>
      <x:c r="C206" s="5" t="str">
        <x:v>A-101</x:v>
      </x:c>
      <x:c r="D206" s="5" t="str">
        <x:v>Evidence Map</x:v>
      </x:c>
      <x:c r="E206" s="5" t="str">
        <x:v>Course Alpha 2026 Term 1</x:v>
      </x:c>
      <x:c r="F206" s="5" t="n">
        <x:v>1</x:v>
      </x:c>
      <x:c r="G206" s="5" t="n">
        <x:f>3+MOD(B206+F206,4)</x:f>
        <x:v>3</x:v>
      </x:c>
      <x:c r="H206" s="5" t="n">
        <x:f>3+MOD(2*B206+F206,4)</x:f>
        <x:v>6</x:v>
      </x:c>
      <x:c r="I206" s="5" t="n">
        <x:f>2+MOD(B206+2*F206,3)</x:f>
        <x:v>3</x:v>
      </x:c>
      <x:c r="J206" s="5" t="n">
        <x:f>2+MOD(2*B206+F206,3)</x:f>
        <x:v>4</x:v>
      </x:c>
      <x:c r="K206" s="5" t="n">
        <x:f>SUM(G206:J206)</x:f>
        <x:v>16</x:v>
      </x:c>
    </x:row>
    <x:row r="207">
      <x:c r="A207" s="5" t="str">
        <x:v>ML26-S035</x:v>
      </x:c>
      <x:c r="B207" s="5" t="n">
        <x:v>35</x:v>
      </x:c>
      <x:c r="C207" s="5" t="str">
        <x:v>A-102</x:v>
      </x:c>
      <x:c r="D207" s="5" t="str">
        <x:v>Source Comparison</x:v>
      </x:c>
      <x:c r="E207" s="5" t="str">
        <x:v>Course Alpha 2026 Term 1</x:v>
      </x:c>
      <x:c r="F207" s="5" t="n">
        <x:v>2</x:v>
      </x:c>
      <x:c r="G207" s="5" t="n">
        <x:f>3+MOD(B207+F207,4)</x:f>
        <x:v>4</x:v>
      </x:c>
      <x:c r="H207" s="5" t="n">
        <x:f>3+MOD(2*B207+F207,4)</x:f>
        <x:v>3</x:v>
      </x:c>
      <x:c r="I207" s="5" t="n">
        <x:f>2+MOD(B207+2*F207,3)</x:f>
        <x:v>2</x:v>
      </x:c>
      <x:c r="J207" s="5" t="n">
        <x:f>2+MOD(2*B207+F207,3)</x:f>
        <x:v>2</x:v>
      </x:c>
      <x:c r="K207" s="5" t="n">
        <x:f>SUM(G207:J207)</x:f>
        <x:v>11</x:v>
      </x:c>
    </x:row>
    <x:row r="208">
      <x:c r="A208" s="5" t="str">
        <x:v>ML26-S035</x:v>
      </x:c>
      <x:c r="B208" s="5" t="n">
        <x:v>35</x:v>
      </x:c>
      <x:c r="C208" s="5" t="str">
        <x:v>A-103</x:v>
      </x:c>
      <x:c r="D208" s="5" t="str">
        <x:v>Claim-Evidence-Reasoning Brief</x:v>
      </x:c>
      <x:c r="E208" s="5" t="str">
        <x:v>Course Alpha 2026 Term 1</x:v>
      </x:c>
      <x:c r="F208" s="5" t="n">
        <x:v>3</x:v>
      </x:c>
      <x:c r="G208" s="5" t="n">
        <x:f>3+MOD(B208+F208,4)</x:f>
        <x:v>5</x:v>
      </x:c>
      <x:c r="H208" s="5" t="n">
        <x:f>3+MOD(2*B208+F208,4)</x:f>
        <x:v>4</x:v>
      </x:c>
      <x:c r="I208" s="5" t="n">
        <x:f>2+MOD(B208+2*F208,3)</x:f>
        <x:v>4</x:v>
      </x:c>
      <x:c r="J208" s="5" t="n">
        <x:f>2+MOD(2*B208+F208,3)</x:f>
        <x:v>3</x:v>
      </x:c>
      <x:c r="K208" s="5" t="n">
        <x:f>SUM(G208:J208)</x:f>
        <x:v>16</x:v>
      </x:c>
    </x:row>
    <x:row r="209">
      <x:c r="A209" s="5" t="str">
        <x:v>ML26-S035</x:v>
      </x:c>
      <x:c r="B209" s="5" t="n">
        <x:v>35</x:v>
      </x:c>
      <x:c r="C209" s="5" t="str">
        <x:v>B-201</x:v>
      </x:c>
      <x:c r="D209" s="5" t="str">
        <x:v>Scenario Map</x:v>
      </x:c>
      <x:c r="E209" s="5" t="str">
        <x:v>Course Beta 2026 Term 2</x:v>
      </x:c>
      <x:c r="F209" s="5" t="n">
        <x:v>4</x:v>
      </x:c>
      <x:c r="G209" s="5" t="n">
        <x:f>3+MOD(B209+F209,4)</x:f>
        <x:v>6</x:v>
      </x:c>
      <x:c r="H209" s="5" t="n">
        <x:f>3+MOD(2*B209+F209,4)</x:f>
        <x:v>5</x:v>
      </x:c>
      <x:c r="I209" s="5" t="n">
        <x:f>2+MOD(B209+2*F209,3)</x:f>
        <x:v>3</x:v>
      </x:c>
      <x:c r="J209" s="5" t="n">
        <x:f>2+MOD(2*B209+F209,3)</x:f>
        <x:v>4</x:v>
      </x:c>
      <x:c r="K209" s="5" t="n">
        <x:f>SUM(G209:J209)</x:f>
        <x:v>18</x:v>
      </x:c>
    </x:row>
    <x:row r="210">
      <x:c r="A210" s="5" t="str">
        <x:v>ML26-S035</x:v>
      </x:c>
      <x:c r="B210" s="5" t="n">
        <x:v>35</x:v>
      </x:c>
      <x:c r="C210" s="5" t="str">
        <x:v>B-202</x:v>
      </x:c>
      <x:c r="D210" s="5" t="str">
        <x:v>Model Test</x:v>
      </x:c>
      <x:c r="E210" s="5" t="str">
        <x:v>Course Beta 2026 Term 2</x:v>
      </x:c>
      <x:c r="F210" s="5" t="n">
        <x:v>5</x:v>
      </x:c>
      <x:c r="G210" s="5" t="n">
        <x:f>3+MOD(B210+F210,4)</x:f>
        <x:v>3</x:v>
      </x:c>
      <x:c r="H210" s="5" t="n">
        <x:f>3+MOD(2*B210+F210,4)</x:f>
        <x:v>6</x:v>
      </x:c>
      <x:c r="I210" s="5" t="n">
        <x:f>2+MOD(B210+2*F210,3)</x:f>
        <x:v>2</x:v>
      </x:c>
      <x:c r="J210" s="5" t="n">
        <x:f>2+MOD(2*B210+F210,3)</x:f>
        <x:v>2</x:v>
      </x:c>
      <x:c r="K210" s="5" t="n">
        <x:f>SUM(G210:J210)</x:f>
        <x:v>13</x:v>
      </x:c>
    </x:row>
    <x:row r="211">
      <x:c r="A211" s="5" t="str">
        <x:v>ML26-S035</x:v>
      </x:c>
      <x:c r="B211" s="5" t="n">
        <x:v>35</x:v>
      </x:c>
      <x:c r="C211" s="5" t="str">
        <x:v>B-203</x:v>
      </x:c>
      <x:c r="D211" s="5" t="str">
        <x:v>Design Critique</x:v>
      </x:c>
      <x:c r="E211" s="5" t="str">
        <x:v>Course Beta 2026 Term 2</x:v>
      </x:c>
      <x:c r="F211" s="5" t="n">
        <x:v>6</x:v>
      </x:c>
      <x:c r="G211" s="5" t="n">
        <x:f>3+MOD(B211+F211,4)</x:f>
        <x:v>4</x:v>
      </x:c>
      <x:c r="H211" s="5" t="n">
        <x:f>3+MOD(2*B211+F211,4)</x:f>
        <x:v>3</x:v>
      </x:c>
      <x:c r="I211" s="5" t="n">
        <x:f>2+MOD(B211+2*F211,3)</x:f>
        <x:v>4</x:v>
      </x:c>
      <x:c r="J211" s="5" t="n">
        <x:f>2+MOD(2*B211+F211,3)</x:f>
        <x:v>3</x:v>
      </x:c>
      <x:c r="K211" s="5" t="n">
        <x:f>SUM(G211:J211)</x:f>
        <x:v>14</x:v>
      </x:c>
    </x:row>
    <x:row r="212">
      <x:c r="A212" s="5" t="str">
        <x:v>ML26-S036</x:v>
      </x:c>
      <x:c r="B212" s="5" t="n">
        <x:v>36</x:v>
      </x:c>
      <x:c r="C212" s="5" t="str">
        <x:v>A-101</x:v>
      </x:c>
      <x:c r="D212" s="5" t="str">
        <x:v>Evidence Map</x:v>
      </x:c>
      <x:c r="E212" s="5" t="str">
        <x:v>Course Alpha 2026 Term 1</x:v>
      </x:c>
      <x:c r="F212" s="5" t="n">
        <x:v>1</x:v>
      </x:c>
      <x:c r="G212" s="5" t="n">
        <x:f>3+MOD(B212+F212,4)</x:f>
        <x:v>4</x:v>
      </x:c>
      <x:c r="H212" s="5" t="n">
        <x:f>3+MOD(2*B212+F212,4)</x:f>
        <x:v>4</x:v>
      </x:c>
      <x:c r="I212" s="5" t="n">
        <x:f>2+MOD(B212+2*F212,3)</x:f>
        <x:v>4</x:v>
      </x:c>
      <x:c r="J212" s="5" t="n">
        <x:f>2+MOD(2*B212+F212,3)</x:f>
        <x:v>3</x:v>
      </x:c>
      <x:c r="K212" s="5" t="n">
        <x:f>SUM(G212:J212)</x:f>
        <x:v>15</x:v>
      </x:c>
    </x:row>
    <x:row r="213">
      <x:c r="A213" s="5" t="str">
        <x:v>ML26-S036</x:v>
      </x:c>
      <x:c r="B213" s="5" t="n">
        <x:v>36</x:v>
      </x:c>
      <x:c r="C213" s="5" t="str">
        <x:v>A-102</x:v>
      </x:c>
      <x:c r="D213" s="5" t="str">
        <x:v>Source Comparison</x:v>
      </x:c>
      <x:c r="E213" s="5" t="str">
        <x:v>Course Alpha 2026 Term 1</x:v>
      </x:c>
      <x:c r="F213" s="5" t="n">
        <x:v>2</x:v>
      </x:c>
      <x:c r="G213" s="5" t="n">
        <x:f>3+MOD(B213+F213,4)</x:f>
        <x:v>5</x:v>
      </x:c>
      <x:c r="H213" s="5" t="n">
        <x:f>3+MOD(2*B213+F213,4)</x:f>
        <x:v>5</x:v>
      </x:c>
      <x:c r="I213" s="5" t="n">
        <x:f>2+MOD(B213+2*F213,3)</x:f>
        <x:v>3</x:v>
      </x:c>
      <x:c r="J213" s="5" t="n">
        <x:f>2+MOD(2*B213+F213,3)</x:f>
        <x:v>4</x:v>
      </x:c>
      <x:c r="K213" s="5" t="n">
        <x:f>SUM(G213:J213)</x:f>
        <x:v>17</x:v>
      </x:c>
    </x:row>
    <x:row r="214">
      <x:c r="A214" s="5" t="str">
        <x:v>ML26-S036</x:v>
      </x:c>
      <x:c r="B214" s="5" t="n">
        <x:v>36</x:v>
      </x:c>
      <x:c r="C214" s="5" t="str">
        <x:v>A-103</x:v>
      </x:c>
      <x:c r="D214" s="5" t="str">
        <x:v>Claim-Evidence-Reasoning Brief</x:v>
      </x:c>
      <x:c r="E214" s="5" t="str">
        <x:v>Course Alpha 2026 Term 1</x:v>
      </x:c>
      <x:c r="F214" s="5" t="n">
        <x:v>3</x:v>
      </x:c>
      <x:c r="G214" s="5" t="n">
        <x:f>3+MOD(B214+F214,4)</x:f>
        <x:v>6</x:v>
      </x:c>
      <x:c r="H214" s="5" t="n">
        <x:f>3+MOD(2*B214+F214,4)</x:f>
        <x:v>6</x:v>
      </x:c>
      <x:c r="I214" s="5" t="n">
        <x:f>2+MOD(B214+2*F214,3)</x:f>
        <x:v>2</x:v>
      </x:c>
      <x:c r="J214" s="5" t="n">
        <x:f>2+MOD(2*B214+F214,3)</x:f>
        <x:v>2</x:v>
      </x:c>
      <x:c r="K214" s="5" t="n">
        <x:f>SUM(G214:J214)</x:f>
        <x:v>16</x:v>
      </x:c>
    </x:row>
    <x:row r="215">
      <x:c r="A215" s="5" t="str">
        <x:v>ML26-S036</x:v>
      </x:c>
      <x:c r="B215" s="5" t="n">
        <x:v>36</x:v>
      </x:c>
      <x:c r="C215" s="5" t="str">
        <x:v>B-201</x:v>
      </x:c>
      <x:c r="D215" s="5" t="str">
        <x:v>Scenario Map</x:v>
      </x:c>
      <x:c r="E215" s="5" t="str">
        <x:v>Course Beta 2026 Term 2</x:v>
      </x:c>
      <x:c r="F215" s="5" t="n">
        <x:v>4</x:v>
      </x:c>
      <x:c r="G215" s="5" t="n">
        <x:f>3+MOD(B215+F215,4)</x:f>
        <x:v>3</x:v>
      </x:c>
      <x:c r="H215" s="5" t="n">
        <x:f>3+MOD(2*B215+F215,4)</x:f>
        <x:v>3</x:v>
      </x:c>
      <x:c r="I215" s="5" t="n">
        <x:f>2+MOD(B215+2*F215,3)</x:f>
        <x:v>4</x:v>
      </x:c>
      <x:c r="J215" s="5" t="n">
        <x:f>2+MOD(2*B215+F215,3)</x:f>
        <x:v>3</x:v>
      </x:c>
      <x:c r="K215" s="5" t="n">
        <x:f>SUM(G215:J215)</x:f>
        <x:v>13</x:v>
      </x:c>
    </x:row>
    <x:row r="216">
      <x:c r="A216" s="5" t="str">
        <x:v>ML26-S036</x:v>
      </x:c>
      <x:c r="B216" s="5" t="n">
        <x:v>36</x:v>
      </x:c>
      <x:c r="C216" s="5" t="str">
        <x:v>B-202</x:v>
      </x:c>
      <x:c r="D216" s="5" t="str">
        <x:v>Model Test</x:v>
      </x:c>
      <x:c r="E216" s="5" t="str">
        <x:v>Course Beta 2026 Term 2</x:v>
      </x:c>
      <x:c r="F216" s="5" t="n">
        <x:v>5</x:v>
      </x:c>
      <x:c r="G216" s="5" t="n">
        <x:f>3+MOD(B216+F216,4)</x:f>
        <x:v>4</x:v>
      </x:c>
      <x:c r="H216" s="5" t="n">
        <x:f>3+MOD(2*B216+F216,4)</x:f>
        <x:v>4</x:v>
      </x:c>
      <x:c r="I216" s="5" t="n">
        <x:f>2+MOD(B216+2*F216,3)</x:f>
        <x:v>3</x:v>
      </x:c>
      <x:c r="J216" s="5" t="n">
        <x:f>2+MOD(2*B216+F216,3)</x:f>
        <x:v>4</x:v>
      </x:c>
      <x:c r="K216" s="5" t="n">
        <x:f>SUM(G216:J216)</x:f>
        <x:v>15</x:v>
      </x:c>
    </x:row>
    <x:row r="217">
      <x:c r="A217" s="5" t="str">
        <x:v>ML26-S036</x:v>
      </x:c>
      <x:c r="B217" s="5" t="n">
        <x:v>36</x:v>
      </x:c>
      <x:c r="C217" s="5" t="str">
        <x:v>B-203</x:v>
      </x:c>
      <x:c r="D217" s="5" t="str">
        <x:v>Design Critique</x:v>
      </x:c>
      <x:c r="E217" s="5" t="str">
        <x:v>Course Beta 2026 Term 2</x:v>
      </x:c>
      <x:c r="F217" s="5" t="n">
        <x:v>6</x:v>
      </x:c>
      <x:c r="G217" s="5" t="n">
        <x:f>3+MOD(B217+F217,4)</x:f>
        <x:v>5</x:v>
      </x:c>
      <x:c r="H217" s="5" t="n">
        <x:f>3+MOD(2*B217+F217,4)</x:f>
        <x:v>5</x:v>
      </x:c>
      <x:c r="I217" s="5" t="n">
        <x:f>2+MOD(B217+2*F217,3)</x:f>
        <x:v>2</x:v>
      </x:c>
      <x:c r="J217" s="5" t="n">
        <x:f>2+MOD(2*B217+F217,3)</x:f>
        <x:v>2</x:v>
      </x:c>
      <x:c r="K217" s="5" t="n">
        <x:f>SUM(G217:J217)</x:f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Learner ID</x:v>
      </x:c>
      <x:c r="B1" s="4" t="str">
        <x:v>Assignments</x:v>
      </x:c>
      <x:c r="C1" s="4" t="str">
        <x:v>Total Points</x:v>
      </x:c>
      <x:c r="D1" s="4" t="str">
        <x:v>Average / 20</x:v>
      </x:c>
      <x:c r="E1" s="4" t="str">
        <x:v>Alpha Points</x:v>
      </x:c>
      <x:c r="F1" s="4" t="str">
        <x:v>Beta Points</x:v>
      </x:c>
    </x:row>
    <x:row r="2">
      <x:c r="A2" s="5" t="str">
        <x:v>ML26-S001</x:v>
      </x:c>
      <x:c r="B2" s="5" t="n">
        <x:f>COUNTIF('Scores'!$A$2:$A$217,A2)</x:f>
        <x:v>6</x:v>
      </x:c>
      <x:c r="C2" s="5" t="n">
        <x:f>SUMIF('Scores'!$A$2:$A$217,A2,'Scores'!$K$2:$K$217)</x:f>
        <x:v>92</x:v>
      </x:c>
      <x:c r="D2" s="7" t="n">
        <x:f>C2/B2</x:f>
        <x:v>15.333333333333334</x:v>
      </x:c>
      <x:c r="E2" s="5" t="n">
        <x:f>SUMIFS('Scores'!$K$2:$K$217,'Scores'!$A$2:$A$217,A2,'Scores'!$E$2:$E$217,"Course Alpha 2026 Term 1")</x:f>
        <x:v>45</x:v>
      </x:c>
      <x:c r="F2" s="5" t="n">
        <x:f>SUMIFS('Scores'!$K$2:$K$217,'Scores'!$A$2:$A$217,A2,'Scores'!$E$2:$E$217,"Course Beta 2026 Term 2")</x:f>
        <x:v>47</x:v>
      </x:c>
    </x:row>
    <x:row r="3">
      <x:c r="A3" s="5" t="str">
        <x:v>ML26-S002</x:v>
      </x:c>
      <x:c r="B3" s="5" t="n">
        <x:f>COUNTIF('Scores'!$A$2:$A$217,A3)</x:f>
        <x:v>6</x:v>
      </x:c>
      <x:c r="C3" s="5" t="n">
        <x:f>SUMIF('Scores'!$A$2:$A$217,A3,'Scores'!$K$2:$K$217)</x:f>
        <x:v>90</x:v>
      </x:c>
      <x:c r="D3" s="7" t="n">
        <x:f>C3/B3</x:f>
        <x:v>15</x:v>
      </x:c>
      <x:c r="E3" s="5" t="n">
        <x:f>SUMIFS('Scores'!$K$2:$K$217,'Scores'!$A$2:$A$217,A3,'Scores'!$E$2:$E$217,"Course Alpha 2026 Term 1")</x:f>
        <x:v>46</x:v>
      </x:c>
      <x:c r="F3" s="5" t="n">
        <x:f>SUMIFS('Scores'!$K$2:$K$217,'Scores'!$A$2:$A$217,A3,'Scores'!$E$2:$E$217,"Course Beta 2026 Term 2")</x:f>
        <x:v>44</x:v>
      </x:c>
    </x:row>
    <x:row r="4">
      <x:c r="A4" s="5" t="str">
        <x:v>ML26-S003</x:v>
      </x:c>
      <x:c r="B4" s="5" t="n">
        <x:f>COUNTIF('Scores'!$A$2:$A$217,A4)</x:f>
        <x:v>6</x:v>
      </x:c>
      <x:c r="C4" s="5" t="n">
        <x:f>SUMIF('Scores'!$A$2:$A$217,A4,'Scores'!$K$2:$K$217)</x:f>
        <x:v>88</x:v>
      </x:c>
      <x:c r="D4" s="7" t="n">
        <x:f>C4/B4</x:f>
        <x:v>14.666666666666666</x:v>
      </x:c>
      <x:c r="E4" s="5" t="n">
        <x:f>SUMIFS('Scores'!$K$2:$K$217,'Scores'!$A$2:$A$217,A4,'Scores'!$E$2:$E$217,"Course Alpha 2026 Term 1")</x:f>
        <x:v>43</x:v>
      </x:c>
      <x:c r="F4" s="5" t="n">
        <x:f>SUMIFS('Scores'!$K$2:$K$217,'Scores'!$A$2:$A$217,A4,'Scores'!$E$2:$E$217,"Course Beta 2026 Term 2")</x:f>
        <x:v>45</x:v>
      </x:c>
    </x:row>
    <x:row r="5">
      <x:c r="A5" s="5" t="str">
        <x:v>ML26-S004</x:v>
      </x:c>
      <x:c r="B5" s="5" t="n">
        <x:f>COUNTIF('Scores'!$A$2:$A$217,A5)</x:f>
        <x:v>6</x:v>
      </x:c>
      <x:c r="C5" s="5" t="n">
        <x:f>SUMIF('Scores'!$A$2:$A$217,A5,'Scores'!$K$2:$K$217)</x:f>
        <x:v>90</x:v>
      </x:c>
      <x:c r="D5" s="7" t="n">
        <x:f>C5/B5</x:f>
        <x:v>15</x:v>
      </x:c>
      <x:c r="E5" s="5" t="n">
        <x:f>SUMIFS('Scores'!$K$2:$K$217,'Scores'!$A$2:$A$217,A5,'Scores'!$E$2:$E$217,"Course Alpha 2026 Term 1")</x:f>
        <x:v>48</x:v>
      </x:c>
      <x:c r="F5" s="5" t="n">
        <x:f>SUMIFS('Scores'!$K$2:$K$217,'Scores'!$A$2:$A$217,A5,'Scores'!$E$2:$E$217,"Course Beta 2026 Term 2")</x:f>
        <x:v>42</x:v>
      </x:c>
    </x:row>
    <x:row r="6">
      <x:c r="A6" s="5" t="str">
        <x:v>ML26-S005</x:v>
      </x:c>
      <x:c r="B6" s="5" t="n">
        <x:f>COUNTIF('Scores'!$A$2:$A$217,A6)</x:f>
        <x:v>6</x:v>
      </x:c>
      <x:c r="C6" s="5" t="n">
        <x:f>SUMIF('Scores'!$A$2:$A$217,A6,'Scores'!$K$2:$K$217)</x:f>
        <x:v>92</x:v>
      </x:c>
      <x:c r="D6" s="7" t="n">
        <x:f>C6/B6</x:f>
        <x:v>15.333333333333334</x:v>
      </x:c>
      <x:c r="E6" s="5" t="n">
        <x:f>SUMIFS('Scores'!$K$2:$K$217,'Scores'!$A$2:$A$217,A6,'Scores'!$E$2:$E$217,"Course Alpha 2026 Term 1")</x:f>
        <x:v>45</x:v>
      </x:c>
      <x:c r="F6" s="5" t="n">
        <x:f>SUMIFS('Scores'!$K$2:$K$217,'Scores'!$A$2:$A$217,A6,'Scores'!$E$2:$E$217,"Course Beta 2026 Term 2")</x:f>
        <x:v>47</x:v>
      </x:c>
    </x:row>
    <x:row r="7">
      <x:c r="A7" s="5" t="str">
        <x:v>ML26-S006</x:v>
      </x:c>
      <x:c r="B7" s="5" t="n">
        <x:f>COUNTIF('Scores'!$A$2:$A$217,A7)</x:f>
        <x:v>6</x:v>
      </x:c>
      <x:c r="C7" s="5" t="n">
        <x:f>SUMIF('Scores'!$A$2:$A$217,A7,'Scores'!$K$2:$K$217)</x:f>
        <x:v>90</x:v>
      </x:c>
      <x:c r="D7" s="7" t="n">
        <x:f>C7/B7</x:f>
        <x:v>15</x:v>
      </x:c>
      <x:c r="E7" s="5" t="n">
        <x:f>SUMIFS('Scores'!$K$2:$K$217,'Scores'!$A$2:$A$217,A7,'Scores'!$E$2:$E$217,"Course Alpha 2026 Term 1")</x:f>
        <x:v>46</x:v>
      </x:c>
      <x:c r="F7" s="5" t="n">
        <x:f>SUMIFS('Scores'!$K$2:$K$217,'Scores'!$A$2:$A$217,A7,'Scores'!$E$2:$E$217,"Course Beta 2026 Term 2")</x:f>
        <x:v>44</x:v>
      </x:c>
    </x:row>
    <x:row r="8">
      <x:c r="A8" s="5" t="str">
        <x:v>ML26-S007</x:v>
      </x:c>
      <x:c r="B8" s="5" t="n">
        <x:f>COUNTIF('Scores'!$A$2:$A$217,A8)</x:f>
        <x:v>6</x:v>
      </x:c>
      <x:c r="C8" s="5" t="n">
        <x:f>SUMIF('Scores'!$A$2:$A$217,A8,'Scores'!$K$2:$K$217)</x:f>
        <x:v>88</x:v>
      </x:c>
      <x:c r="D8" s="7" t="n">
        <x:f>C8/B8</x:f>
        <x:v>14.666666666666666</x:v>
      </x:c>
      <x:c r="E8" s="5" t="n">
        <x:f>SUMIFS('Scores'!$K$2:$K$217,'Scores'!$A$2:$A$217,A8,'Scores'!$E$2:$E$217,"Course Alpha 2026 Term 1")</x:f>
        <x:v>43</x:v>
      </x:c>
      <x:c r="F8" s="5" t="n">
        <x:f>SUMIFS('Scores'!$K$2:$K$217,'Scores'!$A$2:$A$217,A8,'Scores'!$E$2:$E$217,"Course Beta 2026 Term 2")</x:f>
        <x:v>45</x:v>
      </x:c>
    </x:row>
    <x:row r="9">
      <x:c r="A9" s="5" t="str">
        <x:v>ML26-S008</x:v>
      </x:c>
      <x:c r="B9" s="5" t="n">
        <x:f>COUNTIF('Scores'!$A$2:$A$217,A9)</x:f>
        <x:v>6</x:v>
      </x:c>
      <x:c r="C9" s="5" t="n">
        <x:f>SUMIF('Scores'!$A$2:$A$217,A9,'Scores'!$K$2:$K$217)</x:f>
        <x:v>90</x:v>
      </x:c>
      <x:c r="D9" s="7" t="n">
        <x:f>C9/B9</x:f>
        <x:v>15</x:v>
      </x:c>
      <x:c r="E9" s="5" t="n">
        <x:f>SUMIFS('Scores'!$K$2:$K$217,'Scores'!$A$2:$A$217,A9,'Scores'!$E$2:$E$217,"Course Alpha 2026 Term 1")</x:f>
        <x:v>48</x:v>
      </x:c>
      <x:c r="F9" s="5" t="n">
        <x:f>SUMIFS('Scores'!$K$2:$K$217,'Scores'!$A$2:$A$217,A9,'Scores'!$E$2:$E$217,"Course Beta 2026 Term 2")</x:f>
        <x:v>42</x:v>
      </x:c>
    </x:row>
    <x:row r="10">
      <x:c r="A10" s="5" t="str">
        <x:v>ML26-S009</x:v>
      </x:c>
      <x:c r="B10" s="5" t="n">
        <x:f>COUNTIF('Scores'!$A$2:$A$217,A10)</x:f>
        <x:v>6</x:v>
      </x:c>
      <x:c r="C10" s="5" t="n">
        <x:f>SUMIF('Scores'!$A$2:$A$217,A10,'Scores'!$K$2:$K$217)</x:f>
        <x:v>92</x:v>
      </x:c>
      <x:c r="D10" s="7" t="n">
        <x:f>C10/B10</x:f>
        <x:v>15.333333333333334</x:v>
      </x:c>
      <x:c r="E10" s="5" t="n">
        <x:f>SUMIFS('Scores'!$K$2:$K$217,'Scores'!$A$2:$A$217,A10,'Scores'!$E$2:$E$217,"Course Alpha 2026 Term 1")</x:f>
        <x:v>45</x:v>
      </x:c>
      <x:c r="F10" s="5" t="n">
        <x:f>SUMIFS('Scores'!$K$2:$K$217,'Scores'!$A$2:$A$217,A10,'Scores'!$E$2:$E$217,"Course Beta 2026 Term 2")</x:f>
        <x:v>47</x:v>
      </x:c>
    </x:row>
    <x:row r="11">
      <x:c r="A11" s="5" t="str">
        <x:v>ML26-S010</x:v>
      </x:c>
      <x:c r="B11" s="5" t="n">
        <x:f>COUNTIF('Scores'!$A$2:$A$217,A11)</x:f>
        <x:v>6</x:v>
      </x:c>
      <x:c r="C11" s="5" t="n">
        <x:f>SUMIF('Scores'!$A$2:$A$217,A11,'Scores'!$K$2:$K$217)</x:f>
        <x:v>90</x:v>
      </x:c>
      <x:c r="D11" s="7" t="n">
        <x:f>C11/B11</x:f>
        <x:v>15</x:v>
      </x:c>
      <x:c r="E11" s="5" t="n">
        <x:f>SUMIFS('Scores'!$K$2:$K$217,'Scores'!$A$2:$A$217,A11,'Scores'!$E$2:$E$217,"Course Alpha 2026 Term 1")</x:f>
        <x:v>46</x:v>
      </x:c>
      <x:c r="F11" s="5" t="n">
        <x:f>SUMIFS('Scores'!$K$2:$K$217,'Scores'!$A$2:$A$217,A11,'Scores'!$E$2:$E$217,"Course Beta 2026 Term 2")</x:f>
        <x:v>44</x:v>
      </x:c>
    </x:row>
    <x:row r="12">
      <x:c r="A12" s="5" t="str">
        <x:v>ML26-S011</x:v>
      </x:c>
      <x:c r="B12" s="5" t="n">
        <x:f>COUNTIF('Scores'!$A$2:$A$217,A12)</x:f>
        <x:v>6</x:v>
      </x:c>
      <x:c r="C12" s="5" t="n">
        <x:f>SUMIF('Scores'!$A$2:$A$217,A12,'Scores'!$K$2:$K$217)</x:f>
        <x:v>88</x:v>
      </x:c>
      <x:c r="D12" s="7" t="n">
        <x:f>C12/B12</x:f>
        <x:v>14.666666666666666</x:v>
      </x:c>
      <x:c r="E12" s="5" t="n">
        <x:f>SUMIFS('Scores'!$K$2:$K$217,'Scores'!$A$2:$A$217,A12,'Scores'!$E$2:$E$217,"Course Alpha 2026 Term 1")</x:f>
        <x:v>43</x:v>
      </x:c>
      <x:c r="F12" s="5" t="n">
        <x:f>SUMIFS('Scores'!$K$2:$K$217,'Scores'!$A$2:$A$217,A12,'Scores'!$E$2:$E$217,"Course Beta 2026 Term 2")</x:f>
        <x:v>45</x:v>
      </x:c>
    </x:row>
    <x:row r="13">
      <x:c r="A13" s="5" t="str">
        <x:v>ML26-S012</x:v>
      </x:c>
      <x:c r="B13" s="5" t="n">
        <x:f>COUNTIF('Scores'!$A$2:$A$217,A13)</x:f>
        <x:v>6</x:v>
      </x:c>
      <x:c r="C13" s="5" t="n">
        <x:f>SUMIF('Scores'!$A$2:$A$217,A13,'Scores'!$K$2:$K$217)</x:f>
        <x:v>90</x:v>
      </x:c>
      <x:c r="D13" s="7" t="n">
        <x:f>C13/B13</x:f>
        <x:v>15</x:v>
      </x:c>
      <x:c r="E13" s="5" t="n">
        <x:f>SUMIFS('Scores'!$K$2:$K$217,'Scores'!$A$2:$A$217,A13,'Scores'!$E$2:$E$217,"Course Alpha 2026 Term 1")</x:f>
        <x:v>48</x:v>
      </x:c>
      <x:c r="F13" s="5" t="n">
        <x:f>SUMIFS('Scores'!$K$2:$K$217,'Scores'!$A$2:$A$217,A13,'Scores'!$E$2:$E$217,"Course Beta 2026 Term 2")</x:f>
        <x:v>42</x:v>
      </x:c>
    </x:row>
    <x:row r="14">
      <x:c r="A14" s="5" t="str">
        <x:v>ML26-S013</x:v>
      </x:c>
      <x:c r="B14" s="5" t="n">
        <x:f>COUNTIF('Scores'!$A$2:$A$217,A14)</x:f>
        <x:v>6</x:v>
      </x:c>
      <x:c r="C14" s="5" t="n">
        <x:f>SUMIF('Scores'!$A$2:$A$217,A14,'Scores'!$K$2:$K$217)</x:f>
        <x:v>92</x:v>
      </x:c>
      <x:c r="D14" s="7" t="n">
        <x:f>C14/B14</x:f>
        <x:v>15.333333333333334</x:v>
      </x:c>
      <x:c r="E14" s="5" t="n">
        <x:f>SUMIFS('Scores'!$K$2:$K$217,'Scores'!$A$2:$A$217,A14,'Scores'!$E$2:$E$217,"Course Alpha 2026 Term 1")</x:f>
        <x:v>45</x:v>
      </x:c>
      <x:c r="F14" s="5" t="n">
        <x:f>SUMIFS('Scores'!$K$2:$K$217,'Scores'!$A$2:$A$217,A14,'Scores'!$E$2:$E$217,"Course Beta 2026 Term 2")</x:f>
        <x:v>47</x:v>
      </x:c>
    </x:row>
    <x:row r="15">
      <x:c r="A15" s="5" t="str">
        <x:v>ML26-S014</x:v>
      </x:c>
      <x:c r="B15" s="5" t="n">
        <x:f>COUNTIF('Scores'!$A$2:$A$217,A15)</x:f>
        <x:v>6</x:v>
      </x:c>
      <x:c r="C15" s="5" t="n">
        <x:f>SUMIF('Scores'!$A$2:$A$217,A15,'Scores'!$K$2:$K$217)</x:f>
        <x:v>90</x:v>
      </x:c>
      <x:c r="D15" s="7" t="n">
        <x:f>C15/B15</x:f>
        <x:v>15</x:v>
      </x:c>
      <x:c r="E15" s="5" t="n">
        <x:f>SUMIFS('Scores'!$K$2:$K$217,'Scores'!$A$2:$A$217,A15,'Scores'!$E$2:$E$217,"Course Alpha 2026 Term 1")</x:f>
        <x:v>46</x:v>
      </x:c>
      <x:c r="F15" s="5" t="n">
        <x:f>SUMIFS('Scores'!$K$2:$K$217,'Scores'!$A$2:$A$217,A15,'Scores'!$E$2:$E$217,"Course Beta 2026 Term 2")</x:f>
        <x:v>44</x:v>
      </x:c>
    </x:row>
    <x:row r="16">
      <x:c r="A16" s="5" t="str">
        <x:v>ML26-S015</x:v>
      </x:c>
      <x:c r="B16" s="5" t="n">
        <x:f>COUNTIF('Scores'!$A$2:$A$217,A16)</x:f>
        <x:v>6</x:v>
      </x:c>
      <x:c r="C16" s="5" t="n">
        <x:f>SUMIF('Scores'!$A$2:$A$217,A16,'Scores'!$K$2:$K$217)</x:f>
        <x:v>88</x:v>
      </x:c>
      <x:c r="D16" s="7" t="n">
        <x:f>C16/B16</x:f>
        <x:v>14.666666666666666</x:v>
      </x:c>
      <x:c r="E16" s="5" t="n">
        <x:f>SUMIFS('Scores'!$K$2:$K$217,'Scores'!$A$2:$A$217,A16,'Scores'!$E$2:$E$217,"Course Alpha 2026 Term 1")</x:f>
        <x:v>43</x:v>
      </x:c>
      <x:c r="F16" s="5" t="n">
        <x:f>SUMIFS('Scores'!$K$2:$K$217,'Scores'!$A$2:$A$217,A16,'Scores'!$E$2:$E$217,"Course Beta 2026 Term 2")</x:f>
        <x:v>45</x:v>
      </x:c>
    </x:row>
    <x:row r="17">
      <x:c r="A17" s="5" t="str">
        <x:v>ML26-S016</x:v>
      </x:c>
      <x:c r="B17" s="5" t="n">
        <x:f>COUNTIF('Scores'!$A$2:$A$217,A17)</x:f>
        <x:v>6</x:v>
      </x:c>
      <x:c r="C17" s="5" t="n">
        <x:f>SUMIF('Scores'!$A$2:$A$217,A17,'Scores'!$K$2:$K$217)</x:f>
        <x:v>90</x:v>
      </x:c>
      <x:c r="D17" s="7" t="n">
        <x:f>C17/B17</x:f>
        <x:v>15</x:v>
      </x:c>
      <x:c r="E17" s="5" t="n">
        <x:f>SUMIFS('Scores'!$K$2:$K$217,'Scores'!$A$2:$A$217,A17,'Scores'!$E$2:$E$217,"Course Alpha 2026 Term 1")</x:f>
        <x:v>48</x:v>
      </x:c>
      <x:c r="F17" s="5" t="n">
        <x:f>SUMIFS('Scores'!$K$2:$K$217,'Scores'!$A$2:$A$217,A17,'Scores'!$E$2:$E$217,"Course Beta 2026 Term 2")</x:f>
        <x:v>42</x:v>
      </x:c>
    </x:row>
    <x:row r="18">
      <x:c r="A18" s="5" t="str">
        <x:v>ML26-S017</x:v>
      </x:c>
      <x:c r="B18" s="5" t="n">
        <x:f>COUNTIF('Scores'!$A$2:$A$217,A18)</x:f>
        <x:v>6</x:v>
      </x:c>
      <x:c r="C18" s="5" t="n">
        <x:f>SUMIF('Scores'!$A$2:$A$217,A18,'Scores'!$K$2:$K$217)</x:f>
        <x:v>92</x:v>
      </x:c>
      <x:c r="D18" s="7" t="n">
        <x:f>C18/B18</x:f>
        <x:v>15.333333333333334</x:v>
      </x:c>
      <x:c r="E18" s="5" t="n">
        <x:f>SUMIFS('Scores'!$K$2:$K$217,'Scores'!$A$2:$A$217,A18,'Scores'!$E$2:$E$217,"Course Alpha 2026 Term 1")</x:f>
        <x:v>45</x:v>
      </x:c>
      <x:c r="F18" s="5" t="n">
        <x:f>SUMIFS('Scores'!$K$2:$K$217,'Scores'!$A$2:$A$217,A18,'Scores'!$E$2:$E$217,"Course Beta 2026 Term 2")</x:f>
        <x:v>47</x:v>
      </x:c>
    </x:row>
    <x:row r="19">
      <x:c r="A19" s="5" t="str">
        <x:v>ML26-S018</x:v>
      </x:c>
      <x:c r="B19" s="5" t="n">
        <x:f>COUNTIF('Scores'!$A$2:$A$217,A19)</x:f>
        <x:v>6</x:v>
      </x:c>
      <x:c r="C19" s="5" t="n">
        <x:f>SUMIF('Scores'!$A$2:$A$217,A19,'Scores'!$K$2:$K$217)</x:f>
        <x:v>90</x:v>
      </x:c>
      <x:c r="D19" s="7" t="n">
        <x:f>C19/B19</x:f>
        <x:v>15</x:v>
      </x:c>
      <x:c r="E19" s="5" t="n">
        <x:f>SUMIFS('Scores'!$K$2:$K$217,'Scores'!$A$2:$A$217,A19,'Scores'!$E$2:$E$217,"Course Alpha 2026 Term 1")</x:f>
        <x:v>46</x:v>
      </x:c>
      <x:c r="F19" s="5" t="n">
        <x:f>SUMIFS('Scores'!$K$2:$K$217,'Scores'!$A$2:$A$217,A19,'Scores'!$E$2:$E$217,"Course Beta 2026 Term 2")</x:f>
        <x:v>44</x:v>
      </x:c>
    </x:row>
    <x:row r="20">
      <x:c r="A20" s="5" t="str">
        <x:v>ML26-S019</x:v>
      </x:c>
      <x:c r="B20" s="5" t="n">
        <x:f>COUNTIF('Scores'!$A$2:$A$217,A20)</x:f>
        <x:v>6</x:v>
      </x:c>
      <x:c r="C20" s="5" t="n">
        <x:f>SUMIF('Scores'!$A$2:$A$217,A20,'Scores'!$K$2:$K$217)</x:f>
        <x:v>88</x:v>
      </x:c>
      <x:c r="D20" s="7" t="n">
        <x:f>C20/B20</x:f>
        <x:v>14.666666666666666</x:v>
      </x:c>
      <x:c r="E20" s="5" t="n">
        <x:f>SUMIFS('Scores'!$K$2:$K$217,'Scores'!$A$2:$A$217,A20,'Scores'!$E$2:$E$217,"Course Alpha 2026 Term 1")</x:f>
        <x:v>43</x:v>
      </x:c>
      <x:c r="F20" s="5" t="n">
        <x:f>SUMIFS('Scores'!$K$2:$K$217,'Scores'!$A$2:$A$217,A20,'Scores'!$E$2:$E$217,"Course Beta 2026 Term 2")</x:f>
        <x:v>45</x:v>
      </x:c>
    </x:row>
    <x:row r="21">
      <x:c r="A21" s="5" t="str">
        <x:v>ML26-S020</x:v>
      </x:c>
      <x:c r="B21" s="5" t="n">
        <x:f>COUNTIF('Scores'!$A$2:$A$217,A21)</x:f>
        <x:v>6</x:v>
      </x:c>
      <x:c r="C21" s="5" t="n">
        <x:f>SUMIF('Scores'!$A$2:$A$217,A21,'Scores'!$K$2:$K$217)</x:f>
        <x:v>90</x:v>
      </x:c>
      <x:c r="D21" s="7" t="n">
        <x:f>C21/B21</x:f>
        <x:v>15</x:v>
      </x:c>
      <x:c r="E21" s="5" t="n">
        <x:f>SUMIFS('Scores'!$K$2:$K$217,'Scores'!$A$2:$A$217,A21,'Scores'!$E$2:$E$217,"Course Alpha 2026 Term 1")</x:f>
        <x:v>48</x:v>
      </x:c>
      <x:c r="F21" s="5" t="n">
        <x:f>SUMIFS('Scores'!$K$2:$K$217,'Scores'!$A$2:$A$217,A21,'Scores'!$E$2:$E$217,"Course Beta 2026 Term 2")</x:f>
        <x:v>42</x:v>
      </x:c>
    </x:row>
    <x:row r="22">
      <x:c r="A22" s="5" t="str">
        <x:v>ML26-S021</x:v>
      </x:c>
      <x:c r="B22" s="5" t="n">
        <x:f>COUNTIF('Scores'!$A$2:$A$217,A22)</x:f>
        <x:v>6</x:v>
      </x:c>
      <x:c r="C22" s="5" t="n">
        <x:f>SUMIF('Scores'!$A$2:$A$217,A22,'Scores'!$K$2:$K$217)</x:f>
        <x:v>92</x:v>
      </x:c>
      <x:c r="D22" s="7" t="n">
        <x:f>C22/B22</x:f>
        <x:v>15.333333333333334</x:v>
      </x:c>
      <x:c r="E22" s="5" t="n">
        <x:f>SUMIFS('Scores'!$K$2:$K$217,'Scores'!$A$2:$A$217,A22,'Scores'!$E$2:$E$217,"Course Alpha 2026 Term 1")</x:f>
        <x:v>45</x:v>
      </x:c>
      <x:c r="F22" s="5" t="n">
        <x:f>SUMIFS('Scores'!$K$2:$K$217,'Scores'!$A$2:$A$217,A22,'Scores'!$E$2:$E$217,"Course Beta 2026 Term 2")</x:f>
        <x:v>47</x:v>
      </x:c>
    </x:row>
    <x:row r="23">
      <x:c r="A23" s="5" t="str">
        <x:v>ML26-S022</x:v>
      </x:c>
      <x:c r="B23" s="5" t="n">
        <x:f>COUNTIF('Scores'!$A$2:$A$217,A23)</x:f>
        <x:v>6</x:v>
      </x:c>
      <x:c r="C23" s="5" t="n">
        <x:f>SUMIF('Scores'!$A$2:$A$217,A23,'Scores'!$K$2:$K$217)</x:f>
        <x:v>90</x:v>
      </x:c>
      <x:c r="D23" s="7" t="n">
        <x:f>C23/B23</x:f>
        <x:v>15</x:v>
      </x:c>
      <x:c r="E23" s="5" t="n">
        <x:f>SUMIFS('Scores'!$K$2:$K$217,'Scores'!$A$2:$A$217,A23,'Scores'!$E$2:$E$217,"Course Alpha 2026 Term 1")</x:f>
        <x:v>46</x:v>
      </x:c>
      <x:c r="F23" s="5" t="n">
        <x:f>SUMIFS('Scores'!$K$2:$K$217,'Scores'!$A$2:$A$217,A23,'Scores'!$E$2:$E$217,"Course Beta 2026 Term 2")</x:f>
        <x:v>44</x:v>
      </x:c>
    </x:row>
    <x:row r="24">
      <x:c r="A24" s="5" t="str">
        <x:v>ML26-S023</x:v>
      </x:c>
      <x:c r="B24" s="5" t="n">
        <x:f>COUNTIF('Scores'!$A$2:$A$217,A24)</x:f>
        <x:v>6</x:v>
      </x:c>
      <x:c r="C24" s="5" t="n">
        <x:f>SUMIF('Scores'!$A$2:$A$217,A24,'Scores'!$K$2:$K$217)</x:f>
        <x:v>88</x:v>
      </x:c>
      <x:c r="D24" s="7" t="n">
        <x:f>C24/B24</x:f>
        <x:v>14.666666666666666</x:v>
      </x:c>
      <x:c r="E24" s="5" t="n">
        <x:f>SUMIFS('Scores'!$K$2:$K$217,'Scores'!$A$2:$A$217,A24,'Scores'!$E$2:$E$217,"Course Alpha 2026 Term 1")</x:f>
        <x:v>43</x:v>
      </x:c>
      <x:c r="F24" s="5" t="n">
        <x:f>SUMIFS('Scores'!$K$2:$K$217,'Scores'!$A$2:$A$217,A24,'Scores'!$E$2:$E$217,"Course Beta 2026 Term 2")</x:f>
        <x:v>45</x:v>
      </x:c>
    </x:row>
    <x:row r="25">
      <x:c r="A25" s="5" t="str">
        <x:v>ML26-S024</x:v>
      </x:c>
      <x:c r="B25" s="5" t="n">
        <x:f>COUNTIF('Scores'!$A$2:$A$217,A25)</x:f>
        <x:v>6</x:v>
      </x:c>
      <x:c r="C25" s="5" t="n">
        <x:f>SUMIF('Scores'!$A$2:$A$217,A25,'Scores'!$K$2:$K$217)</x:f>
        <x:v>90</x:v>
      </x:c>
      <x:c r="D25" s="7" t="n">
        <x:f>C25/B25</x:f>
        <x:v>15</x:v>
      </x:c>
      <x:c r="E25" s="5" t="n">
        <x:f>SUMIFS('Scores'!$K$2:$K$217,'Scores'!$A$2:$A$217,A25,'Scores'!$E$2:$E$217,"Course Alpha 2026 Term 1")</x:f>
        <x:v>48</x:v>
      </x:c>
      <x:c r="F25" s="5" t="n">
        <x:f>SUMIFS('Scores'!$K$2:$K$217,'Scores'!$A$2:$A$217,A25,'Scores'!$E$2:$E$217,"Course Beta 2026 Term 2")</x:f>
        <x:v>42</x:v>
      </x:c>
    </x:row>
    <x:row r="26">
      <x:c r="A26" s="5" t="str">
        <x:v>ML26-S025</x:v>
      </x:c>
      <x:c r="B26" s="5" t="n">
        <x:f>COUNTIF('Scores'!$A$2:$A$217,A26)</x:f>
        <x:v>6</x:v>
      </x:c>
      <x:c r="C26" s="5" t="n">
        <x:f>SUMIF('Scores'!$A$2:$A$217,A26,'Scores'!$K$2:$K$217)</x:f>
        <x:v>92</x:v>
      </x:c>
      <x:c r="D26" s="7" t="n">
        <x:f>C26/B26</x:f>
        <x:v>15.333333333333334</x:v>
      </x:c>
      <x:c r="E26" s="5" t="n">
        <x:f>SUMIFS('Scores'!$K$2:$K$217,'Scores'!$A$2:$A$217,A26,'Scores'!$E$2:$E$217,"Course Alpha 2026 Term 1")</x:f>
        <x:v>45</x:v>
      </x:c>
      <x:c r="F26" s="5" t="n">
        <x:f>SUMIFS('Scores'!$K$2:$K$217,'Scores'!$A$2:$A$217,A26,'Scores'!$E$2:$E$217,"Course Beta 2026 Term 2")</x:f>
        <x:v>47</x:v>
      </x:c>
    </x:row>
    <x:row r="27">
      <x:c r="A27" s="5" t="str">
        <x:v>ML26-S026</x:v>
      </x:c>
      <x:c r="B27" s="5" t="n">
        <x:f>COUNTIF('Scores'!$A$2:$A$217,A27)</x:f>
        <x:v>6</x:v>
      </x:c>
      <x:c r="C27" s="5" t="n">
        <x:f>SUMIF('Scores'!$A$2:$A$217,A27,'Scores'!$K$2:$K$217)</x:f>
        <x:v>90</x:v>
      </x:c>
      <x:c r="D27" s="7" t="n">
        <x:f>C27/B27</x:f>
        <x:v>15</x:v>
      </x:c>
      <x:c r="E27" s="5" t="n">
        <x:f>SUMIFS('Scores'!$K$2:$K$217,'Scores'!$A$2:$A$217,A27,'Scores'!$E$2:$E$217,"Course Alpha 2026 Term 1")</x:f>
        <x:v>46</x:v>
      </x:c>
      <x:c r="F27" s="5" t="n">
        <x:f>SUMIFS('Scores'!$K$2:$K$217,'Scores'!$A$2:$A$217,A27,'Scores'!$E$2:$E$217,"Course Beta 2026 Term 2")</x:f>
        <x:v>44</x:v>
      </x:c>
    </x:row>
    <x:row r="28">
      <x:c r="A28" s="5" t="str">
        <x:v>ML26-S027</x:v>
      </x:c>
      <x:c r="B28" s="5" t="n">
        <x:f>COUNTIF('Scores'!$A$2:$A$217,A28)</x:f>
        <x:v>6</x:v>
      </x:c>
      <x:c r="C28" s="5" t="n">
        <x:f>SUMIF('Scores'!$A$2:$A$217,A28,'Scores'!$K$2:$K$217)</x:f>
        <x:v>88</x:v>
      </x:c>
      <x:c r="D28" s="7" t="n">
        <x:f>C28/B28</x:f>
        <x:v>14.666666666666666</x:v>
      </x:c>
      <x:c r="E28" s="5" t="n">
        <x:f>SUMIFS('Scores'!$K$2:$K$217,'Scores'!$A$2:$A$217,A28,'Scores'!$E$2:$E$217,"Course Alpha 2026 Term 1")</x:f>
        <x:v>43</x:v>
      </x:c>
      <x:c r="F28" s="5" t="n">
        <x:f>SUMIFS('Scores'!$K$2:$K$217,'Scores'!$A$2:$A$217,A28,'Scores'!$E$2:$E$217,"Course Beta 2026 Term 2")</x:f>
        <x:v>45</x:v>
      </x:c>
    </x:row>
    <x:row r="29">
      <x:c r="A29" s="5" t="str">
        <x:v>ML26-S028</x:v>
      </x:c>
      <x:c r="B29" s="5" t="n">
        <x:f>COUNTIF('Scores'!$A$2:$A$217,A29)</x:f>
        <x:v>6</x:v>
      </x:c>
      <x:c r="C29" s="5" t="n">
        <x:f>SUMIF('Scores'!$A$2:$A$217,A29,'Scores'!$K$2:$K$217)</x:f>
        <x:v>90</x:v>
      </x:c>
      <x:c r="D29" s="7" t="n">
        <x:f>C29/B29</x:f>
        <x:v>15</x:v>
      </x:c>
      <x:c r="E29" s="5" t="n">
        <x:f>SUMIFS('Scores'!$K$2:$K$217,'Scores'!$A$2:$A$217,A29,'Scores'!$E$2:$E$217,"Course Alpha 2026 Term 1")</x:f>
        <x:v>48</x:v>
      </x:c>
      <x:c r="F29" s="5" t="n">
        <x:f>SUMIFS('Scores'!$K$2:$K$217,'Scores'!$A$2:$A$217,A29,'Scores'!$E$2:$E$217,"Course Beta 2026 Term 2")</x:f>
        <x:v>42</x:v>
      </x:c>
    </x:row>
    <x:row r="30">
      <x:c r="A30" s="5" t="str">
        <x:v>ML26-S029</x:v>
      </x:c>
      <x:c r="B30" s="5" t="n">
        <x:f>COUNTIF('Scores'!$A$2:$A$217,A30)</x:f>
        <x:v>6</x:v>
      </x:c>
      <x:c r="C30" s="5" t="n">
        <x:f>SUMIF('Scores'!$A$2:$A$217,A30,'Scores'!$K$2:$K$217)</x:f>
        <x:v>92</x:v>
      </x:c>
      <x:c r="D30" s="7" t="n">
        <x:f>C30/B30</x:f>
        <x:v>15.333333333333334</x:v>
      </x:c>
      <x:c r="E30" s="5" t="n">
        <x:f>SUMIFS('Scores'!$K$2:$K$217,'Scores'!$A$2:$A$217,A30,'Scores'!$E$2:$E$217,"Course Alpha 2026 Term 1")</x:f>
        <x:v>45</x:v>
      </x:c>
      <x:c r="F30" s="5" t="n">
        <x:f>SUMIFS('Scores'!$K$2:$K$217,'Scores'!$A$2:$A$217,A30,'Scores'!$E$2:$E$217,"Course Beta 2026 Term 2")</x:f>
        <x:v>47</x:v>
      </x:c>
    </x:row>
    <x:row r="31">
      <x:c r="A31" s="5" t="str">
        <x:v>ML26-S030</x:v>
      </x:c>
      <x:c r="B31" s="5" t="n">
        <x:f>COUNTIF('Scores'!$A$2:$A$217,A31)</x:f>
        <x:v>6</x:v>
      </x:c>
      <x:c r="C31" s="5" t="n">
        <x:f>SUMIF('Scores'!$A$2:$A$217,A31,'Scores'!$K$2:$K$217)</x:f>
        <x:v>90</x:v>
      </x:c>
      <x:c r="D31" s="7" t="n">
        <x:f>C31/B31</x:f>
        <x:v>15</x:v>
      </x:c>
      <x:c r="E31" s="5" t="n">
        <x:f>SUMIFS('Scores'!$K$2:$K$217,'Scores'!$A$2:$A$217,A31,'Scores'!$E$2:$E$217,"Course Alpha 2026 Term 1")</x:f>
        <x:v>46</x:v>
      </x:c>
      <x:c r="F31" s="5" t="n">
        <x:f>SUMIFS('Scores'!$K$2:$K$217,'Scores'!$A$2:$A$217,A31,'Scores'!$E$2:$E$217,"Course Beta 2026 Term 2")</x:f>
        <x:v>44</x:v>
      </x:c>
    </x:row>
    <x:row r="32">
      <x:c r="A32" s="5" t="str">
        <x:v>ML26-S031</x:v>
      </x:c>
      <x:c r="B32" s="5" t="n">
        <x:f>COUNTIF('Scores'!$A$2:$A$217,A32)</x:f>
        <x:v>6</x:v>
      </x:c>
      <x:c r="C32" s="5" t="n">
        <x:f>SUMIF('Scores'!$A$2:$A$217,A32,'Scores'!$K$2:$K$217)</x:f>
        <x:v>88</x:v>
      </x:c>
      <x:c r="D32" s="7" t="n">
        <x:f>C32/B32</x:f>
        <x:v>14.666666666666666</x:v>
      </x:c>
      <x:c r="E32" s="5" t="n">
        <x:f>SUMIFS('Scores'!$K$2:$K$217,'Scores'!$A$2:$A$217,A32,'Scores'!$E$2:$E$217,"Course Alpha 2026 Term 1")</x:f>
        <x:v>43</x:v>
      </x:c>
      <x:c r="F32" s="5" t="n">
        <x:f>SUMIFS('Scores'!$K$2:$K$217,'Scores'!$A$2:$A$217,A32,'Scores'!$E$2:$E$217,"Course Beta 2026 Term 2")</x:f>
        <x:v>45</x:v>
      </x:c>
    </x:row>
    <x:row r="33">
      <x:c r="A33" s="5" t="str">
        <x:v>ML26-S032</x:v>
      </x:c>
      <x:c r="B33" s="5" t="n">
        <x:f>COUNTIF('Scores'!$A$2:$A$217,A33)</x:f>
        <x:v>6</x:v>
      </x:c>
      <x:c r="C33" s="5" t="n">
        <x:f>SUMIF('Scores'!$A$2:$A$217,A33,'Scores'!$K$2:$K$217)</x:f>
        <x:v>90</x:v>
      </x:c>
      <x:c r="D33" s="7" t="n">
        <x:f>C33/B33</x:f>
        <x:v>15</x:v>
      </x:c>
      <x:c r="E33" s="5" t="n">
        <x:f>SUMIFS('Scores'!$K$2:$K$217,'Scores'!$A$2:$A$217,A33,'Scores'!$E$2:$E$217,"Course Alpha 2026 Term 1")</x:f>
        <x:v>48</x:v>
      </x:c>
      <x:c r="F33" s="5" t="n">
        <x:f>SUMIFS('Scores'!$K$2:$K$217,'Scores'!$A$2:$A$217,A33,'Scores'!$E$2:$E$217,"Course Beta 2026 Term 2")</x:f>
        <x:v>42</x:v>
      </x:c>
    </x:row>
    <x:row r="34">
      <x:c r="A34" s="5" t="str">
        <x:v>ML26-S033</x:v>
      </x:c>
      <x:c r="B34" s="5" t="n">
        <x:f>COUNTIF('Scores'!$A$2:$A$217,A34)</x:f>
        <x:v>6</x:v>
      </x:c>
      <x:c r="C34" s="5" t="n">
        <x:f>SUMIF('Scores'!$A$2:$A$217,A34,'Scores'!$K$2:$K$217)</x:f>
        <x:v>92</x:v>
      </x:c>
      <x:c r="D34" s="7" t="n">
        <x:f>C34/B34</x:f>
        <x:v>15.333333333333334</x:v>
      </x:c>
      <x:c r="E34" s="5" t="n">
        <x:f>SUMIFS('Scores'!$K$2:$K$217,'Scores'!$A$2:$A$217,A34,'Scores'!$E$2:$E$217,"Course Alpha 2026 Term 1")</x:f>
        <x:v>45</x:v>
      </x:c>
      <x:c r="F34" s="5" t="n">
        <x:f>SUMIFS('Scores'!$K$2:$K$217,'Scores'!$A$2:$A$217,A34,'Scores'!$E$2:$E$217,"Course Beta 2026 Term 2")</x:f>
        <x:v>47</x:v>
      </x:c>
    </x:row>
    <x:row r="35">
      <x:c r="A35" s="5" t="str">
        <x:v>ML26-S034</x:v>
      </x:c>
      <x:c r="B35" s="5" t="n">
        <x:f>COUNTIF('Scores'!$A$2:$A$217,A35)</x:f>
        <x:v>6</x:v>
      </x:c>
      <x:c r="C35" s="5" t="n">
        <x:f>SUMIF('Scores'!$A$2:$A$217,A35,'Scores'!$K$2:$K$217)</x:f>
        <x:v>90</x:v>
      </x:c>
      <x:c r="D35" s="7" t="n">
        <x:f>C35/B35</x:f>
        <x:v>15</x:v>
      </x:c>
      <x:c r="E35" s="5" t="n">
        <x:f>SUMIFS('Scores'!$K$2:$K$217,'Scores'!$A$2:$A$217,A35,'Scores'!$E$2:$E$217,"Course Alpha 2026 Term 1")</x:f>
        <x:v>46</x:v>
      </x:c>
      <x:c r="F35" s="5" t="n">
        <x:f>SUMIFS('Scores'!$K$2:$K$217,'Scores'!$A$2:$A$217,A35,'Scores'!$E$2:$E$217,"Course Beta 2026 Term 2")</x:f>
        <x:v>44</x:v>
      </x:c>
    </x:row>
    <x:row r="36">
      <x:c r="A36" s="5" t="str">
        <x:v>ML26-S035</x:v>
      </x:c>
      <x:c r="B36" s="5" t="n">
        <x:f>COUNTIF('Scores'!$A$2:$A$217,A36)</x:f>
        <x:v>6</x:v>
      </x:c>
      <x:c r="C36" s="5" t="n">
        <x:f>SUMIF('Scores'!$A$2:$A$217,A36,'Scores'!$K$2:$K$217)</x:f>
        <x:v>88</x:v>
      </x:c>
      <x:c r="D36" s="7" t="n">
        <x:f>C36/B36</x:f>
        <x:v>14.666666666666666</x:v>
      </x:c>
      <x:c r="E36" s="5" t="n">
        <x:f>SUMIFS('Scores'!$K$2:$K$217,'Scores'!$A$2:$A$217,A36,'Scores'!$E$2:$E$217,"Course Alpha 2026 Term 1")</x:f>
        <x:v>43</x:v>
      </x:c>
      <x:c r="F36" s="5" t="n">
        <x:f>SUMIFS('Scores'!$K$2:$K$217,'Scores'!$A$2:$A$217,A36,'Scores'!$E$2:$E$217,"Course Beta 2026 Term 2")</x:f>
        <x:v>45</x:v>
      </x:c>
    </x:row>
    <x:row r="37">
      <x:c r="A37" s="5" t="str">
        <x:v>ML26-S036</x:v>
      </x:c>
      <x:c r="B37" s="5" t="n">
        <x:f>COUNTIF('Scores'!$A$2:$A$217,A37)</x:f>
        <x:v>6</x:v>
      </x:c>
      <x:c r="C37" s="5" t="n">
        <x:f>SUMIF('Scores'!$A$2:$A$217,A37,'Scores'!$K$2:$K$217)</x:f>
        <x:v>90</x:v>
      </x:c>
      <x:c r="D37" s="7" t="n">
        <x:f>C37/B37</x:f>
        <x:v>15</x:v>
      </x:c>
      <x:c r="E37" s="5" t="n">
        <x:f>SUMIFS('Scores'!$K$2:$K$217,'Scores'!$A$2:$A$217,A37,'Scores'!$E$2:$E$217,"Course Alpha 2026 Term 1")</x:f>
        <x:v>48</x:v>
      </x:c>
      <x:c r="F37" s="5" t="n">
        <x:f>SUMIFS('Scores'!$K$2:$K$217,'Scores'!$A$2:$A$217,A37,'Scores'!$E$2:$E$217,"Course Beta 2026 Term 2")</x:f>
        <x:v>42</x:v>
      </x:c>
    </x:row>
  </x:sheetData>
  <x:pageMargins left="0.7" right="0.7" top="0.75" bottom="0.75" header="0.3" footer="0.3"/>
</x:worksheet>
</file>