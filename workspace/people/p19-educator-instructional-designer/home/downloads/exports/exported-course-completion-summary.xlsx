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6fb0de417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f509940b434113"/>
    <x:sheet xmlns:r="http://schemas.openxmlformats.org/officeDocument/2006/relationships" name="Learners" sheetId="2" r:id="R24a59c4fd768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917b748c3438e" /><Relationship Type="http://schemas.openxmlformats.org/officeDocument/2006/relationships/theme" Target="/xl/theme/theme1.xml" Id="Rb7dd2c225d6345d9" /><Relationship Type="http://schemas.openxmlformats.org/officeDocument/2006/relationships/sharedStrings" Target="/xl/sharedStrings.xml" Id="Rc42e7bd567644503" /><Relationship Type="http://schemas.openxmlformats.org/officeDocument/2006/relationships/worksheet" Target="/xl/worksheets/sheet1.xml" Id="R8ef509940b434113" /><Relationship Type="http://schemas.openxmlformats.org/officeDocument/2006/relationships/worksheet" Target="/xl/worksheets/sheet2.xml" Id="R24a59c4fd76844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0" t="str">
        <x:v>Maple Learning | Completion Summary</x:v>
      </x:c>
      <x:c r="B1" s="10"/>
      <x:c r="C1" s="10"/>
      <x:c r="D1" s="10"/>
      <x:c r="E1" s="10"/>
      <x:c r="F1" s="10"/>
      <x:c r="G1" s="11"/>
    </x:row>
    <x:row r="2">
      <x:c r="A2" s="12" t="str">
        <x:v>Snapshot 2026-09-14 | 36 synthetic learners | rubric total 20</x:v>
      </x:c>
      <x:c r="B2" s="12"/>
      <x:c r="C2" s="12"/>
      <x:c r="D2" s="12"/>
      <x:c r="E2" s="12"/>
      <x:c r="F2" s="12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>
      <x:c r="A4" s="13" t="str">
        <x:v>Measure</x:v>
      </x:c>
      <x:c r="B4" s="13" t="str">
        <x:v>Value</x:v>
      </x:c>
      <x:c r="C4" s="11"/>
      <x:c r="D4" s="13" t="str">
        <x:v>Assignment</x:v>
      </x:c>
      <x:c r="E4" s="13" t="str">
        <x:v>Rubric</x:v>
      </x:c>
      <x:c r="F4" s="13" t="str">
        <x:v>Status</x:v>
      </x:c>
      <x:c r="G4" s="13" t="str">
        <x:v>Learners</x:v>
      </x:c>
    </x:row>
    <x:row r="5">
      <x:c r="A5" s="11" t="str">
        <x:v>Course Alpha 2026 Term 1</x:v>
      </x:c>
      <x:c r="B5" s="11" t="n">
        <x:f>COUNTIF(Learners!B4:B39,"Course Alpha 2026 Term 1")</x:f>
        <x:v>18</x:v>
      </x:c>
      <x:c r="C5" s="11"/>
      <x:c r="D5" s="11" t="str">
        <x:v>A-101 Evidence Map</x:v>
      </x:c>
      <x:c r="E5" s="11" t="n">
        <x:v>20</x:v>
      </x:c>
      <x:c r="F5" s="11" t="str">
        <x:v>Published</x:v>
      </x:c>
      <x:c r="G5" s="11" t="n">
        <x:f>COUNTIF(Learners!C4:C39,D5)</x:f>
        <x:v>6</x:v>
      </x:c>
    </x:row>
    <x:row r="6">
      <x:c r="A6" s="11" t="str">
        <x:v>Course Beta 2026 Term 2</x:v>
      </x:c>
      <x:c r="B6" s="11" t="n">
        <x:f>COUNTIF(Learners!B4:B39,"Course Beta 2026 Term 2")</x:f>
        <x:v>18</x:v>
      </x:c>
      <x:c r="C6" s="11"/>
      <x:c r="D6" s="11" t="str">
        <x:v>A-102 Source Comparison</x:v>
      </x:c>
      <x:c r="E6" s="11" t="n">
        <x:v>20</x:v>
      </x:c>
      <x:c r="F6" s="11" t="str">
        <x:v>Published</x:v>
      </x:c>
      <x:c r="G6" s="11" t="n">
        <x:f>COUNTIF(Learners!C4:C39,D6)</x:f>
        <x:v>6</x:v>
      </x:c>
    </x:row>
    <x:row r="7">
      <x:c r="A7" s="11" t="str">
        <x:v>Complete</x:v>
      </x:c>
      <x:c r="B7" s="11" t="n">
        <x:f>COUNTIF(Learners!E4:E39,"Complete")</x:f>
        <x:v>36</x:v>
      </x:c>
      <x:c r="C7" s="11"/>
      <x:c r="D7" s="11" t="str">
        <x:v>A-103 Claim-Evidence-Reasoning Brief</x:v>
      </x:c>
      <x:c r="E7" s="11" t="n">
        <x:v>20</x:v>
      </x:c>
      <x:c r="F7" s="11" t="str">
        <x:v>Published</x:v>
      </x:c>
      <x:c r="G7" s="11" t="n">
        <x:f>COUNTIF(Learners!C4:C39,D7)</x:f>
        <x:v>6</x:v>
      </x:c>
    </x:row>
    <x:row r="8">
      <x:c r="A8" s="11" t="str">
        <x:v>Completion rate</x:v>
      </x:c>
      <x:c r="B8" s="14" t="n">
        <x:f>B7/COUNTA(Learners!A4:A39)</x:f>
        <x:v>1</x:v>
      </x:c>
      <x:c r="C8" s="11"/>
      <x:c r="D8" s="11" t="str">
        <x:v>B-201 Scenario Map</x:v>
      </x:c>
      <x:c r="E8" s="11" t="n">
        <x:v>20</x:v>
      </x:c>
      <x:c r="F8" s="11" t="str">
        <x:v>Published</x:v>
      </x:c>
      <x:c r="G8" s="11" t="n">
        <x:f>COUNTIF(Learners!C4:C39,D8)</x:f>
        <x:v>6</x:v>
      </x:c>
    </x:row>
    <x:row r="9">
      <x:c r="A9" s="11"/>
      <x:c r="B9" s="11"/>
      <x:c r="C9" s="11"/>
      <x:c r="D9" s="11" t="str">
        <x:v>B-202 Model Test</x:v>
      </x:c>
      <x:c r="E9" s="11" t="n">
        <x:v>20</x:v>
      </x:c>
      <x:c r="F9" s="11" t="str">
        <x:v>Published</x:v>
      </x:c>
      <x:c r="G9" s="11" t="n">
        <x:f>COUNTIF(Learners!C4:C39,D9)</x:f>
        <x:v>6</x:v>
      </x:c>
    </x:row>
    <x:row r="10">
      <x:c r="A10" s="11"/>
      <x:c r="B10" s="11"/>
      <x:c r="C10" s="11"/>
      <x:c r="D10" s="11" t="str">
        <x:v>B-203 Design Critique</x:v>
      </x:c>
      <x:c r="E10" s="11" t="n">
        <x:v>20</x:v>
      </x:c>
      <x:c r="F10" s="11" t="str">
        <x:v>Published</x:v>
      </x:c>
      <x:c r="G10" s="11" t="n">
        <x:f>COUNTIF(Learners!C4:C39,D10)</x:f>
        <x:v>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6" t="str">
        <x:v>Synthetic learner completion export - Maple Learning</x:v>
      </x:c>
      <x:c r="B1" s="16"/>
      <x:c r="C1" s="16"/>
      <x:c r="D1" s="16"/>
      <x:c r="E1" s="16"/>
      <x:c r="F1" s="16"/>
    </x:row>
    <x:row r="3">
      <x:c r="A3" s="13" t="str">
        <x:v>Learner ID</x:v>
      </x:c>
      <x:c r="B3" s="13" t="str">
        <x:v>Course</x:v>
      </x:c>
      <x:c r="C3" s="13" t="str">
        <x:v>Assignment</x:v>
      </x:c>
      <x:c r="D3" s="13" t="str">
        <x:v>Rubric total</x:v>
      </x:c>
      <x:c r="E3" s="13" t="str">
        <x:v>Completion</x:v>
      </x:c>
      <x:c r="F3" s="13" t="str">
        <x:v>Snapshot</x:v>
      </x:c>
    </x:row>
    <x:row r="4">
      <x:c r="A4" s="11" t="str">
        <x:v>ML26-S001</x:v>
      </x:c>
      <x:c r="B4" s="11" t="str">
        <x:v>Course Alpha 2026 Term 1</x:v>
      </x:c>
      <x:c r="C4" s="11" t="str">
        <x:v>A-101 Evidence Map</x:v>
      </x:c>
      <x:c r="D4" s="11" t="n">
        <x:v>20</x:v>
      </x:c>
      <x:c r="E4" s="11" t="str">
        <x:v>Complete</x:v>
      </x:c>
      <x:c r="F4" s="11" t="str">
        <x:v>2026-09-14</x:v>
      </x:c>
    </x:row>
    <x:row r="5">
      <x:c r="A5" s="11" t="str">
        <x:v>ML26-S002</x:v>
      </x:c>
      <x:c r="B5" s="11" t="str">
        <x:v>Course Alpha 2026 Term 1</x:v>
      </x:c>
      <x:c r="C5" s="11" t="str">
        <x:v>A-102 Source Comparison</x:v>
      </x:c>
      <x:c r="D5" s="11" t="n">
        <x:v>20</x:v>
      </x:c>
      <x:c r="E5" s="11" t="str">
        <x:v>Complete</x:v>
      </x:c>
      <x:c r="F5" s="11" t="str">
        <x:v>2026-09-14</x:v>
      </x:c>
    </x:row>
    <x:row r="6">
      <x:c r="A6" s="11" t="str">
        <x:v>ML26-S003</x:v>
      </x:c>
      <x:c r="B6" s="11" t="str">
        <x:v>Course Alpha 2026 Term 1</x:v>
      </x:c>
      <x:c r="C6" s="11" t="str">
        <x:v>A-103 Claim-Evidence-Reasoning Brief</x:v>
      </x:c>
      <x:c r="D6" s="11" t="n">
        <x:v>20</x:v>
      </x:c>
      <x:c r="E6" s="11" t="str">
        <x:v>Complete</x:v>
      </x:c>
      <x:c r="F6" s="11" t="str">
        <x:v>2026-09-14</x:v>
      </x:c>
    </x:row>
    <x:row r="7">
      <x:c r="A7" s="11" t="str">
        <x:v>ML26-S004</x:v>
      </x:c>
      <x:c r="B7" s="11" t="str">
        <x:v>Course Alpha 2026 Term 1</x:v>
      </x:c>
      <x:c r="C7" s="11" t="str">
        <x:v>A-101 Evidence Map</x:v>
      </x:c>
      <x:c r="D7" s="11" t="n">
        <x:v>20</x:v>
      </x:c>
      <x:c r="E7" s="11" t="str">
        <x:v>Complete</x:v>
      </x:c>
      <x:c r="F7" s="11" t="str">
        <x:v>2026-09-14</x:v>
      </x:c>
    </x:row>
    <x:row r="8">
      <x:c r="A8" s="11" t="str">
        <x:v>ML26-S005</x:v>
      </x:c>
      <x:c r="B8" s="11" t="str">
        <x:v>Course Alpha 2026 Term 1</x:v>
      </x:c>
      <x:c r="C8" s="11" t="str">
        <x:v>A-102 Source Comparison</x:v>
      </x:c>
      <x:c r="D8" s="11" t="n">
        <x:v>20</x:v>
      </x:c>
      <x:c r="E8" s="11" t="str">
        <x:v>Complete</x:v>
      </x:c>
      <x:c r="F8" s="11" t="str">
        <x:v>2026-09-14</x:v>
      </x:c>
    </x:row>
    <x:row r="9">
      <x:c r="A9" s="11" t="str">
        <x:v>ML26-S006</x:v>
      </x:c>
      <x:c r="B9" s="11" t="str">
        <x:v>Course Alpha 2026 Term 1</x:v>
      </x:c>
      <x:c r="C9" s="11" t="str">
        <x:v>A-103 Claim-Evidence-Reasoning Brief</x:v>
      </x:c>
      <x:c r="D9" s="11" t="n">
        <x:v>20</x:v>
      </x:c>
      <x:c r="E9" s="11" t="str">
        <x:v>Complete</x:v>
      </x:c>
      <x:c r="F9" s="11" t="str">
        <x:v>2026-09-14</x:v>
      </x:c>
    </x:row>
    <x:row r="10">
      <x:c r="A10" s="11" t="str">
        <x:v>ML26-S007</x:v>
      </x:c>
      <x:c r="B10" s="11" t="str">
        <x:v>Course Alpha 2026 Term 1</x:v>
      </x:c>
      <x:c r="C10" s="11" t="str">
        <x:v>A-101 Evidence Map</x:v>
      </x:c>
      <x:c r="D10" s="11" t="n">
        <x:v>20</x:v>
      </x:c>
      <x:c r="E10" s="11" t="str">
        <x:v>Complete</x:v>
      </x:c>
      <x:c r="F10" s="11" t="str">
        <x:v>2026-09-14</x:v>
      </x:c>
    </x:row>
    <x:row r="11">
      <x:c r="A11" s="11" t="str">
        <x:v>ML26-S008</x:v>
      </x:c>
      <x:c r="B11" s="11" t="str">
        <x:v>Course Alpha 2026 Term 1</x:v>
      </x:c>
      <x:c r="C11" s="11" t="str">
        <x:v>A-102 Source Comparison</x:v>
      </x:c>
      <x:c r="D11" s="11" t="n">
        <x:v>20</x:v>
      </x:c>
      <x:c r="E11" s="11" t="str">
        <x:v>Complete</x:v>
      </x:c>
      <x:c r="F11" s="11" t="str">
        <x:v>2026-09-14</x:v>
      </x:c>
    </x:row>
    <x:row r="12">
      <x:c r="A12" s="11" t="str">
        <x:v>ML26-S009</x:v>
      </x:c>
      <x:c r="B12" s="11" t="str">
        <x:v>Course Alpha 2026 Term 1</x:v>
      </x:c>
      <x:c r="C12" s="11" t="str">
        <x:v>A-103 Claim-Evidence-Reasoning Brief</x:v>
      </x:c>
      <x:c r="D12" s="11" t="n">
        <x:v>20</x:v>
      </x:c>
      <x:c r="E12" s="11" t="str">
        <x:v>Complete</x:v>
      </x:c>
      <x:c r="F12" s="11" t="str">
        <x:v>2026-09-14</x:v>
      </x:c>
    </x:row>
    <x:row r="13">
      <x:c r="A13" s="11" t="str">
        <x:v>ML26-S010</x:v>
      </x:c>
      <x:c r="B13" s="11" t="str">
        <x:v>Course Alpha 2026 Term 1</x:v>
      </x:c>
      <x:c r="C13" s="11" t="str">
        <x:v>A-101 Evidence Map</x:v>
      </x:c>
      <x:c r="D13" s="11" t="n">
        <x:v>20</x:v>
      </x:c>
      <x:c r="E13" s="11" t="str">
        <x:v>Complete</x:v>
      </x:c>
      <x:c r="F13" s="11" t="str">
        <x:v>2026-09-14</x:v>
      </x:c>
    </x:row>
    <x:row r="14">
      <x:c r="A14" s="11" t="str">
        <x:v>ML26-S011</x:v>
      </x:c>
      <x:c r="B14" s="11" t="str">
        <x:v>Course Alpha 2026 Term 1</x:v>
      </x:c>
      <x:c r="C14" s="11" t="str">
        <x:v>A-102 Source Comparison</x:v>
      </x:c>
      <x:c r="D14" s="11" t="n">
        <x:v>20</x:v>
      </x:c>
      <x:c r="E14" s="11" t="str">
        <x:v>Complete</x:v>
      </x:c>
      <x:c r="F14" s="11" t="str">
        <x:v>2026-09-14</x:v>
      </x:c>
    </x:row>
    <x:row r="15">
      <x:c r="A15" s="11" t="str">
        <x:v>ML26-S012</x:v>
      </x:c>
      <x:c r="B15" s="11" t="str">
        <x:v>Course Alpha 2026 Term 1</x:v>
      </x:c>
      <x:c r="C15" s="11" t="str">
        <x:v>A-103 Claim-Evidence-Reasoning Brief</x:v>
      </x:c>
      <x:c r="D15" s="11" t="n">
        <x:v>20</x:v>
      </x:c>
      <x:c r="E15" s="11" t="str">
        <x:v>Complete</x:v>
      </x:c>
      <x:c r="F15" s="11" t="str">
        <x:v>2026-09-14</x:v>
      </x:c>
    </x:row>
    <x:row r="16">
      <x:c r="A16" s="11" t="str">
        <x:v>ML26-S013</x:v>
      </x:c>
      <x:c r="B16" s="11" t="str">
        <x:v>Course Alpha 2026 Term 1</x:v>
      </x:c>
      <x:c r="C16" s="11" t="str">
        <x:v>A-101 Evidence Map</x:v>
      </x:c>
      <x:c r="D16" s="11" t="n">
        <x:v>20</x:v>
      </x:c>
      <x:c r="E16" s="11" t="str">
        <x:v>Complete</x:v>
      </x:c>
      <x:c r="F16" s="11" t="str">
        <x:v>2026-09-14</x:v>
      </x:c>
    </x:row>
    <x:row r="17">
      <x:c r="A17" s="11" t="str">
        <x:v>ML26-S014</x:v>
      </x:c>
      <x:c r="B17" s="11" t="str">
        <x:v>Course Alpha 2026 Term 1</x:v>
      </x:c>
      <x:c r="C17" s="11" t="str">
        <x:v>A-102 Source Comparison</x:v>
      </x:c>
      <x:c r="D17" s="11" t="n">
        <x:v>20</x:v>
      </x:c>
      <x:c r="E17" s="11" t="str">
        <x:v>Complete</x:v>
      </x:c>
      <x:c r="F17" s="11" t="str">
        <x:v>2026-09-14</x:v>
      </x:c>
    </x:row>
    <x:row r="18">
      <x:c r="A18" s="11" t="str">
        <x:v>ML26-S015</x:v>
      </x:c>
      <x:c r="B18" s="11" t="str">
        <x:v>Course Alpha 2026 Term 1</x:v>
      </x:c>
      <x:c r="C18" s="11" t="str">
        <x:v>A-103 Claim-Evidence-Reasoning Brief</x:v>
      </x:c>
      <x:c r="D18" s="11" t="n">
        <x:v>20</x:v>
      </x:c>
      <x:c r="E18" s="11" t="str">
        <x:v>Complete</x:v>
      </x:c>
      <x:c r="F18" s="11" t="str">
        <x:v>2026-09-14</x:v>
      </x:c>
    </x:row>
    <x:row r="19">
      <x:c r="A19" s="11" t="str">
        <x:v>ML26-S016</x:v>
      </x:c>
      <x:c r="B19" s="11" t="str">
        <x:v>Course Alpha 2026 Term 1</x:v>
      </x:c>
      <x:c r="C19" s="11" t="str">
        <x:v>A-101 Evidence Map</x:v>
      </x:c>
      <x:c r="D19" s="11" t="n">
        <x:v>20</x:v>
      </x:c>
      <x:c r="E19" s="11" t="str">
        <x:v>Complete</x:v>
      </x:c>
      <x:c r="F19" s="11" t="str">
        <x:v>2026-09-14</x:v>
      </x:c>
    </x:row>
    <x:row r="20">
      <x:c r="A20" s="11" t="str">
        <x:v>ML26-S017</x:v>
      </x:c>
      <x:c r="B20" s="11" t="str">
        <x:v>Course Alpha 2026 Term 1</x:v>
      </x:c>
      <x:c r="C20" s="11" t="str">
        <x:v>A-102 Source Comparison</x:v>
      </x:c>
      <x:c r="D20" s="11" t="n">
        <x:v>20</x:v>
      </x:c>
      <x:c r="E20" s="11" t="str">
        <x:v>Complete</x:v>
      </x:c>
      <x:c r="F20" s="11" t="str">
        <x:v>2026-09-14</x:v>
      </x:c>
    </x:row>
    <x:row r="21">
      <x:c r="A21" s="11" t="str">
        <x:v>ML26-S018</x:v>
      </x:c>
      <x:c r="B21" s="11" t="str">
        <x:v>Course Alpha 2026 Term 1</x:v>
      </x:c>
      <x:c r="C21" s="11" t="str">
        <x:v>A-103 Claim-Evidence-Reasoning Brief</x:v>
      </x:c>
      <x:c r="D21" s="11" t="n">
        <x:v>20</x:v>
      </x:c>
      <x:c r="E21" s="11" t="str">
        <x:v>Complete</x:v>
      </x:c>
      <x:c r="F21" s="11" t="str">
        <x:v>2026-09-14</x:v>
      </x:c>
    </x:row>
    <x:row r="22">
      <x:c r="A22" s="11" t="str">
        <x:v>ML26-S019</x:v>
      </x:c>
      <x:c r="B22" s="11" t="str">
        <x:v>Course Beta 2026 Term 2</x:v>
      </x:c>
      <x:c r="C22" s="11" t="str">
        <x:v>B-201 Scenario Map</x:v>
      </x:c>
      <x:c r="D22" s="11" t="n">
        <x:v>20</x:v>
      </x:c>
      <x:c r="E22" s="11" t="str">
        <x:v>Complete</x:v>
      </x:c>
      <x:c r="F22" s="11" t="str">
        <x:v>2026-09-14</x:v>
      </x:c>
    </x:row>
    <x:row r="23">
      <x:c r="A23" s="11" t="str">
        <x:v>ML26-S020</x:v>
      </x:c>
      <x:c r="B23" s="11" t="str">
        <x:v>Course Beta 2026 Term 2</x:v>
      </x:c>
      <x:c r="C23" s="11" t="str">
        <x:v>B-202 Model Test</x:v>
      </x:c>
      <x:c r="D23" s="11" t="n">
        <x:v>20</x:v>
      </x:c>
      <x:c r="E23" s="11" t="str">
        <x:v>Complete</x:v>
      </x:c>
      <x:c r="F23" s="11" t="str">
        <x:v>2026-09-14</x:v>
      </x:c>
    </x:row>
    <x:row r="24">
      <x:c r="A24" s="11" t="str">
        <x:v>ML26-S021</x:v>
      </x:c>
      <x:c r="B24" s="11" t="str">
        <x:v>Course Beta 2026 Term 2</x:v>
      </x:c>
      <x:c r="C24" s="11" t="str">
        <x:v>B-203 Design Critique</x:v>
      </x:c>
      <x:c r="D24" s="11" t="n">
        <x:v>20</x:v>
      </x:c>
      <x:c r="E24" s="11" t="str">
        <x:v>Complete</x:v>
      </x:c>
      <x:c r="F24" s="11" t="str">
        <x:v>2026-09-14</x:v>
      </x:c>
    </x:row>
    <x:row r="25">
      <x:c r="A25" s="11" t="str">
        <x:v>ML26-S022</x:v>
      </x:c>
      <x:c r="B25" s="11" t="str">
        <x:v>Course Beta 2026 Term 2</x:v>
      </x:c>
      <x:c r="C25" s="11" t="str">
        <x:v>B-201 Scenario Map</x:v>
      </x:c>
      <x:c r="D25" s="11" t="n">
        <x:v>20</x:v>
      </x:c>
      <x:c r="E25" s="11" t="str">
        <x:v>Complete</x:v>
      </x:c>
      <x:c r="F25" s="11" t="str">
        <x:v>2026-09-14</x:v>
      </x:c>
    </x:row>
    <x:row r="26">
      <x:c r="A26" s="11" t="str">
        <x:v>ML26-S023</x:v>
      </x:c>
      <x:c r="B26" s="11" t="str">
        <x:v>Course Beta 2026 Term 2</x:v>
      </x:c>
      <x:c r="C26" s="11" t="str">
        <x:v>B-202 Model Test</x:v>
      </x:c>
      <x:c r="D26" s="11" t="n">
        <x:v>20</x:v>
      </x:c>
      <x:c r="E26" s="11" t="str">
        <x:v>Complete</x:v>
      </x:c>
      <x:c r="F26" s="11" t="str">
        <x:v>2026-09-14</x:v>
      </x:c>
    </x:row>
    <x:row r="27">
      <x:c r="A27" s="11" t="str">
        <x:v>ML26-S024</x:v>
      </x:c>
      <x:c r="B27" s="11" t="str">
        <x:v>Course Beta 2026 Term 2</x:v>
      </x:c>
      <x:c r="C27" s="11" t="str">
        <x:v>B-203 Design Critique</x:v>
      </x:c>
      <x:c r="D27" s="11" t="n">
        <x:v>20</x:v>
      </x:c>
      <x:c r="E27" s="11" t="str">
        <x:v>Complete</x:v>
      </x:c>
      <x:c r="F27" s="11" t="str">
        <x:v>2026-09-14</x:v>
      </x:c>
    </x:row>
    <x:row r="28">
      <x:c r="A28" s="11" t="str">
        <x:v>ML26-S025</x:v>
      </x:c>
      <x:c r="B28" s="11" t="str">
        <x:v>Course Beta 2026 Term 2</x:v>
      </x:c>
      <x:c r="C28" s="11" t="str">
        <x:v>B-201 Scenario Map</x:v>
      </x:c>
      <x:c r="D28" s="11" t="n">
        <x:v>20</x:v>
      </x:c>
      <x:c r="E28" s="11" t="str">
        <x:v>Complete</x:v>
      </x:c>
      <x:c r="F28" s="11" t="str">
        <x:v>2026-09-14</x:v>
      </x:c>
    </x:row>
    <x:row r="29">
      <x:c r="A29" s="11" t="str">
        <x:v>ML26-S026</x:v>
      </x:c>
      <x:c r="B29" s="11" t="str">
        <x:v>Course Beta 2026 Term 2</x:v>
      </x:c>
      <x:c r="C29" s="11" t="str">
        <x:v>B-202 Model Test</x:v>
      </x:c>
      <x:c r="D29" s="11" t="n">
        <x:v>20</x:v>
      </x:c>
      <x:c r="E29" s="11" t="str">
        <x:v>Complete</x:v>
      </x:c>
      <x:c r="F29" s="11" t="str">
        <x:v>2026-09-14</x:v>
      </x:c>
    </x:row>
    <x:row r="30">
      <x:c r="A30" s="11" t="str">
        <x:v>ML26-S027</x:v>
      </x:c>
      <x:c r="B30" s="11" t="str">
        <x:v>Course Beta 2026 Term 2</x:v>
      </x:c>
      <x:c r="C30" s="11" t="str">
        <x:v>B-203 Design Critique</x:v>
      </x:c>
      <x:c r="D30" s="11" t="n">
        <x:v>20</x:v>
      </x:c>
      <x:c r="E30" s="11" t="str">
        <x:v>Complete</x:v>
      </x:c>
      <x:c r="F30" s="11" t="str">
        <x:v>2026-09-14</x:v>
      </x:c>
    </x:row>
    <x:row r="31">
      <x:c r="A31" s="11" t="str">
        <x:v>ML26-S028</x:v>
      </x:c>
      <x:c r="B31" s="11" t="str">
        <x:v>Course Beta 2026 Term 2</x:v>
      </x:c>
      <x:c r="C31" s="11" t="str">
        <x:v>B-201 Scenario Map</x:v>
      </x:c>
      <x:c r="D31" s="11" t="n">
        <x:v>20</x:v>
      </x:c>
      <x:c r="E31" s="11" t="str">
        <x:v>Complete</x:v>
      </x:c>
      <x:c r="F31" s="11" t="str">
        <x:v>2026-09-14</x:v>
      </x:c>
    </x:row>
    <x:row r="32">
      <x:c r="A32" s="11" t="str">
        <x:v>ML26-S029</x:v>
      </x:c>
      <x:c r="B32" s="11" t="str">
        <x:v>Course Beta 2026 Term 2</x:v>
      </x:c>
      <x:c r="C32" s="11" t="str">
        <x:v>B-202 Model Test</x:v>
      </x:c>
      <x:c r="D32" s="11" t="n">
        <x:v>20</x:v>
      </x:c>
      <x:c r="E32" s="11" t="str">
        <x:v>Complete</x:v>
      </x:c>
      <x:c r="F32" s="11" t="str">
        <x:v>2026-09-14</x:v>
      </x:c>
    </x:row>
    <x:row r="33">
      <x:c r="A33" s="11" t="str">
        <x:v>ML26-S030</x:v>
      </x:c>
      <x:c r="B33" s="11" t="str">
        <x:v>Course Beta 2026 Term 2</x:v>
      </x:c>
      <x:c r="C33" s="11" t="str">
        <x:v>B-203 Design Critique</x:v>
      </x:c>
      <x:c r="D33" s="11" t="n">
        <x:v>20</x:v>
      </x:c>
      <x:c r="E33" s="11" t="str">
        <x:v>Complete</x:v>
      </x:c>
      <x:c r="F33" s="11" t="str">
        <x:v>2026-09-14</x:v>
      </x:c>
    </x:row>
    <x:row r="34">
      <x:c r="A34" s="11" t="str">
        <x:v>ML26-S031</x:v>
      </x:c>
      <x:c r="B34" s="11" t="str">
        <x:v>Course Beta 2026 Term 2</x:v>
      </x:c>
      <x:c r="C34" s="11" t="str">
        <x:v>B-201 Scenario Map</x:v>
      </x:c>
      <x:c r="D34" s="11" t="n">
        <x:v>20</x:v>
      </x:c>
      <x:c r="E34" s="11" t="str">
        <x:v>Complete</x:v>
      </x:c>
      <x:c r="F34" s="11" t="str">
        <x:v>2026-09-14</x:v>
      </x:c>
    </x:row>
    <x:row r="35">
      <x:c r="A35" s="11" t="str">
        <x:v>ML26-S032</x:v>
      </x:c>
      <x:c r="B35" s="11" t="str">
        <x:v>Course Beta 2026 Term 2</x:v>
      </x:c>
      <x:c r="C35" s="11" t="str">
        <x:v>B-202 Model Test</x:v>
      </x:c>
      <x:c r="D35" s="11" t="n">
        <x:v>20</x:v>
      </x:c>
      <x:c r="E35" s="11" t="str">
        <x:v>Complete</x:v>
      </x:c>
      <x:c r="F35" s="11" t="str">
        <x:v>2026-09-14</x:v>
      </x:c>
    </x:row>
    <x:row r="36">
      <x:c r="A36" s="11" t="str">
        <x:v>ML26-S033</x:v>
      </x:c>
      <x:c r="B36" s="11" t="str">
        <x:v>Course Beta 2026 Term 2</x:v>
      </x:c>
      <x:c r="C36" s="11" t="str">
        <x:v>B-203 Design Critique</x:v>
      </x:c>
      <x:c r="D36" s="11" t="n">
        <x:v>20</x:v>
      </x:c>
      <x:c r="E36" s="11" t="str">
        <x:v>Complete</x:v>
      </x:c>
      <x:c r="F36" s="11" t="str">
        <x:v>2026-09-14</x:v>
      </x:c>
    </x:row>
    <x:row r="37">
      <x:c r="A37" s="11" t="str">
        <x:v>ML26-S034</x:v>
      </x:c>
      <x:c r="B37" s="11" t="str">
        <x:v>Course Beta 2026 Term 2</x:v>
      </x:c>
      <x:c r="C37" s="11" t="str">
        <x:v>B-201 Scenario Map</x:v>
      </x:c>
      <x:c r="D37" s="11" t="n">
        <x:v>20</x:v>
      </x:c>
      <x:c r="E37" s="11" t="str">
        <x:v>Complete</x:v>
      </x:c>
      <x:c r="F37" s="11" t="str">
        <x:v>2026-09-14</x:v>
      </x:c>
    </x:row>
    <x:row r="38">
      <x:c r="A38" s="11" t="str">
        <x:v>ML26-S035</x:v>
      </x:c>
      <x:c r="B38" s="11" t="str">
        <x:v>Course Beta 2026 Term 2</x:v>
      </x:c>
      <x:c r="C38" s="11" t="str">
        <x:v>B-202 Model Test</x:v>
      </x:c>
      <x:c r="D38" s="11" t="n">
        <x:v>20</x:v>
      </x:c>
      <x:c r="E38" s="11" t="str">
        <x:v>Complete</x:v>
      </x:c>
      <x:c r="F38" s="11" t="str">
        <x:v>2026-09-14</x:v>
      </x:c>
    </x:row>
    <x:row r="39">
      <x:c r="A39" s="11" t="str">
        <x:v>ML26-S036</x:v>
      </x:c>
      <x:c r="B39" s="11" t="str">
        <x:v>Course Beta 2026 Term 2</x:v>
      </x:c>
      <x:c r="C39" s="11" t="str">
        <x:v>B-203 Design Critique</x:v>
      </x:c>
      <x:c r="D39" s="11" t="n">
        <x:v>20</x:v>
      </x:c>
      <x:c r="E39" s="11" t="str">
        <x:v>Complete</x:v>
      </x:c>
      <x:c r="F39" s="11" t="str">
        <x:v>2026-09-14</x:v>
      </x:c>
    </x:row>
  </x:sheetData>
  <x:mergeCells>
    <x:mergeCell ref="A1:F1"/>
  </x:mergeCells>
  <x:pageMargins left="0.7" right="0.7" top="0.75" bottom="0.75" header="0.3" footer="0.3"/>
</x:worksheet>
</file>