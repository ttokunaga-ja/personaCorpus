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1d5b776e4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book" sheetId="1" r:id="Rdda170f9c79f4d07"/>
    <x:sheet xmlns:r="http://schemas.openxmlformats.org/officeDocument/2006/relationships" name="Rubric Audit" sheetId="2" r:id="Rc2fa31435855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6dece2b49421d" /><Relationship Type="http://schemas.openxmlformats.org/officeDocument/2006/relationships/theme" Target="/xl/theme/theme1.xml" Id="Rb3e30e7527f34bb3" /><Relationship Type="http://schemas.openxmlformats.org/officeDocument/2006/relationships/sharedStrings" Target="/xl/sharedStrings.xml" Id="R496e528f316f475b" /><Relationship Type="http://schemas.openxmlformats.org/officeDocument/2006/relationships/worksheet" Target="/xl/worksheets/sheet1.xml" Id="Rdda170f9c79f4d07" /><Relationship Type="http://schemas.openxmlformats.org/officeDocument/2006/relationships/worksheet" Target="/xl/worksheets/sheet2.xml" Id="Rc2fa314358554e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 t="str">
        <x:v>Maple Learning | Course Beta 2026 Term 2 | 2026-09-14</x:v>
      </x:c>
      <x:c r="B1" s="3"/>
      <x:c r="C1" s="3"/>
      <x:c r="D1" s="3"/>
      <x:c r="E1" s="3"/>
      <x:c r="F1" s="3"/>
      <x:c r="G1" s="3"/>
      <x:c r="H1" s="3"/>
      <x:c r="I1" s="3"/>
    </x:row>
    <x:row r="3" ht="15" hidden="0" customHeight="1">
      <x:c r="A3" s="8" t="str">
        <x:v>Learner ID</x:v>
      </x:c>
      <x:c r="B3" s="8" t="str">
        <x:v>Assignment</x:v>
      </x:c>
      <x:c r="C3" s="8" t="str">
        <x:v>k</x:v>
      </x:c>
      <x:c r="D3" s="8" t="str">
        <x:v>Evidence E/6</x:v>
      </x:c>
      <x:c r="E3" s="8" t="str">
        <x:v>Reasoning R/6</x:v>
      </x:c>
      <x:c r="F3" s="8" t="str">
        <x:v>Organization O/4</x:v>
      </x:c>
      <x:c r="G3" s="8" t="str">
        <x:v>Format F/4</x:v>
      </x:c>
      <x:c r="H3" s="8" t="str">
        <x:v>Total /20</x:v>
      </x:c>
      <x:c r="I3" s="8" t="str">
        <x:v>Check</x:v>
      </x:c>
    </x:row>
    <x:row r="4" ht="15" hidden="0" customHeight="1">
      <x:c r="A4" s="9" t="str">
        <x:v>ML26-S001</x:v>
      </x:c>
      <x:c r="B4" s="9" t="str">
        <x:v>B-201 Scenario Map</x:v>
      </x:c>
      <x:c r="C4" s="9" t="n">
        <x:v>4</x:v>
      </x:c>
      <x:c r="D4" s="9" t="n">
        <x:f>3+MOD(VALUE(RIGHT(A4,3))+C4,4)</x:f>
        <x:v>4</x:v>
      </x:c>
      <x:c r="E4" s="9" t="n">
        <x:f>3+MOD(2*VALUE(RIGHT(A4,3))+C4,4)</x:f>
        <x:v>5</x:v>
      </x:c>
      <x:c r="F4" s="9" t="n">
        <x:f>2+MOD(VALUE(RIGHT(A4,3))+2*C4,3)</x:f>
        <x:v>2</x:v>
      </x:c>
      <x:c r="G4" s="9" t="n">
        <x:f>2+MOD(2*VALUE(RIGHT(A4,3))+C4,3)</x:f>
        <x:v>2</x:v>
      </x:c>
      <x:c r="H4" s="9" t="n">
        <x:f>SUM(D4:G4)</x:f>
        <x:v>13</x:v>
      </x:c>
      <x:c r="I4" s="9" t="str">
        <x:f>IF(AND(D4&lt;=6,E4&lt;=6,F4&lt;=4,G4&lt;=4,H4=SUM(D4:G4)),"OK","CHECK")</x:f>
        <x:v>OK</x:v>
      </x:c>
    </x:row>
    <x:row r="5" ht="15" hidden="0" customHeight="1">
      <x:c r="A5" s="9" t="str">
        <x:v>ML26-S002</x:v>
      </x:c>
      <x:c r="B5" s="9" t="str">
        <x:v>B-201 Scenario Map</x:v>
      </x:c>
      <x:c r="C5" s="9" t="n">
        <x:v>4</x:v>
      </x:c>
      <x:c r="D5" s="9" t="n">
        <x:f>3+MOD(VALUE(RIGHT(A5,3))+C5,4)</x:f>
        <x:v>5</x:v>
      </x:c>
      <x:c r="E5" s="9" t="n">
        <x:f>3+MOD(2*VALUE(RIGHT(A5,3))+C5,4)</x:f>
        <x:v>3</x:v>
      </x:c>
      <x:c r="F5" s="9" t="n">
        <x:f>2+MOD(VALUE(RIGHT(A5,3))+2*C5,3)</x:f>
        <x:v>3</x:v>
      </x:c>
      <x:c r="G5" s="9" t="n">
        <x:f>2+MOD(2*VALUE(RIGHT(A5,3))+C5,3)</x:f>
        <x:v>4</x:v>
      </x:c>
      <x:c r="H5" s="9" t="n">
        <x:f>SUM(D5:G5)</x:f>
        <x:v>15</x:v>
      </x:c>
      <x:c r="I5" s="9" t="str">
        <x:f>IF(AND(D5&lt;=6,E5&lt;=6,F5&lt;=4,G5&lt;=4,H5=SUM(D5:G5)),"OK","CHECK")</x:f>
        <x:v>OK</x:v>
      </x:c>
    </x:row>
    <x:row r="6" ht="15" hidden="0" customHeight="1">
      <x:c r="A6" s="9" t="str">
        <x:v>ML26-S003</x:v>
      </x:c>
      <x:c r="B6" s="9" t="str">
        <x:v>B-201 Scenario Map</x:v>
      </x:c>
      <x:c r="C6" s="9" t="n">
        <x:v>4</x:v>
      </x:c>
      <x:c r="D6" s="9" t="n">
        <x:f>3+MOD(VALUE(RIGHT(A6,3))+C6,4)</x:f>
        <x:v>6</x:v>
      </x:c>
      <x:c r="E6" s="9" t="n">
        <x:f>3+MOD(2*VALUE(RIGHT(A6,3))+C6,4)</x:f>
        <x:v>5</x:v>
      </x:c>
      <x:c r="F6" s="9" t="n">
        <x:f>2+MOD(VALUE(RIGHT(A6,3))+2*C6,3)</x:f>
        <x:v>4</x:v>
      </x:c>
      <x:c r="G6" s="9" t="n">
        <x:f>2+MOD(2*VALUE(RIGHT(A6,3))+C6,3)</x:f>
        <x:v>3</x:v>
      </x:c>
      <x:c r="H6" s="9" t="n">
        <x:f>SUM(D6:G6)</x:f>
        <x:v>18</x:v>
      </x:c>
      <x:c r="I6" s="9" t="str">
        <x:f>IF(AND(D6&lt;=6,E6&lt;=6,F6&lt;=4,G6&lt;=4,H6=SUM(D6:G6)),"OK","CHECK")</x:f>
        <x:v>OK</x:v>
      </x:c>
    </x:row>
    <x:row r="7" ht="15" hidden="0" customHeight="1">
      <x:c r="A7" s="9" t="str">
        <x:v>ML26-S004</x:v>
      </x:c>
      <x:c r="B7" s="9" t="str">
        <x:v>B-201 Scenario Map</x:v>
      </x:c>
      <x:c r="C7" s="9" t="n">
        <x:v>4</x:v>
      </x:c>
      <x:c r="D7" s="9" t="n">
        <x:f>3+MOD(VALUE(RIGHT(A7,3))+C7,4)</x:f>
        <x:v>3</x:v>
      </x:c>
      <x:c r="E7" s="9" t="n">
        <x:f>3+MOD(2*VALUE(RIGHT(A7,3))+C7,4)</x:f>
        <x:v>3</x:v>
      </x:c>
      <x:c r="F7" s="9" t="n">
        <x:f>2+MOD(VALUE(RIGHT(A7,3))+2*C7,3)</x:f>
        <x:v>2</x:v>
      </x:c>
      <x:c r="G7" s="9" t="n">
        <x:f>2+MOD(2*VALUE(RIGHT(A7,3))+C7,3)</x:f>
        <x:v>2</x:v>
      </x:c>
      <x:c r="H7" s="9" t="n">
        <x:f>SUM(D7:G7)</x:f>
        <x:v>10</x:v>
      </x:c>
      <x:c r="I7" s="9" t="str">
        <x:f>IF(AND(D7&lt;=6,E7&lt;=6,F7&lt;=4,G7&lt;=4,H7=SUM(D7:G7)),"OK","CHECK")</x:f>
        <x:v>OK</x:v>
      </x:c>
    </x:row>
    <x:row r="8" ht="15" hidden="0" customHeight="1">
      <x:c r="A8" s="9" t="str">
        <x:v>ML26-S005</x:v>
      </x:c>
      <x:c r="B8" s="9" t="str">
        <x:v>B-201 Scenario Map</x:v>
      </x:c>
      <x:c r="C8" s="9" t="n">
        <x:v>4</x:v>
      </x:c>
      <x:c r="D8" s="9" t="n">
        <x:f>3+MOD(VALUE(RIGHT(A8,3))+C8,4)</x:f>
        <x:v>4</x:v>
      </x:c>
      <x:c r="E8" s="9" t="n">
        <x:f>3+MOD(2*VALUE(RIGHT(A8,3))+C8,4)</x:f>
        <x:v>5</x:v>
      </x:c>
      <x:c r="F8" s="9" t="n">
        <x:f>2+MOD(VALUE(RIGHT(A8,3))+2*C8,3)</x:f>
        <x:v>3</x:v>
      </x:c>
      <x:c r="G8" s="9" t="n">
        <x:f>2+MOD(2*VALUE(RIGHT(A8,3))+C8,3)</x:f>
        <x:v>4</x:v>
      </x:c>
      <x:c r="H8" s="9" t="n">
        <x:f>SUM(D8:G8)</x:f>
        <x:v>16</x:v>
      </x:c>
      <x:c r="I8" s="9" t="str">
        <x:f>IF(AND(D8&lt;=6,E8&lt;=6,F8&lt;=4,G8&lt;=4,H8=SUM(D8:G8)),"OK","CHECK")</x:f>
        <x:v>OK</x:v>
      </x:c>
    </x:row>
    <x:row r="9" ht="15" hidden="0" customHeight="1">
      <x:c r="A9" s="9" t="str">
        <x:v>ML26-S006</x:v>
      </x:c>
      <x:c r="B9" s="9" t="str">
        <x:v>B-201 Scenario Map</x:v>
      </x:c>
      <x:c r="C9" s="9" t="n">
        <x:v>4</x:v>
      </x:c>
      <x:c r="D9" s="9" t="n">
        <x:f>3+MOD(VALUE(RIGHT(A9,3))+C9,4)</x:f>
        <x:v>5</x:v>
      </x:c>
      <x:c r="E9" s="9" t="n">
        <x:f>3+MOD(2*VALUE(RIGHT(A9,3))+C9,4)</x:f>
        <x:v>3</x:v>
      </x:c>
      <x:c r="F9" s="9" t="n">
        <x:f>2+MOD(VALUE(RIGHT(A9,3))+2*C9,3)</x:f>
        <x:v>4</x:v>
      </x:c>
      <x:c r="G9" s="9" t="n">
        <x:f>2+MOD(2*VALUE(RIGHT(A9,3))+C9,3)</x:f>
        <x:v>3</x:v>
      </x:c>
      <x:c r="H9" s="9" t="n">
        <x:f>SUM(D9:G9)</x:f>
        <x:v>15</x:v>
      </x:c>
      <x:c r="I9" s="9" t="str">
        <x:f>IF(AND(D9&lt;=6,E9&lt;=6,F9&lt;=4,G9&lt;=4,H9=SUM(D9:G9)),"OK","CHECK")</x:f>
        <x:v>OK</x:v>
      </x:c>
    </x:row>
    <x:row r="10" ht="15" hidden="0" customHeight="1">
      <x:c r="A10" s="9" t="str">
        <x:v>ML26-S007</x:v>
      </x:c>
      <x:c r="B10" s="9" t="str">
        <x:v>B-201 Scenario Map</x:v>
      </x:c>
      <x:c r="C10" s="9" t="n">
        <x:v>4</x:v>
      </x:c>
      <x:c r="D10" s="9" t="n">
        <x:f>3+MOD(VALUE(RIGHT(A10,3))+C10,4)</x:f>
        <x:v>6</x:v>
      </x:c>
      <x:c r="E10" s="9" t="n">
        <x:f>3+MOD(2*VALUE(RIGHT(A10,3))+C10,4)</x:f>
        <x:v>5</x:v>
      </x:c>
      <x:c r="F10" s="9" t="n">
        <x:f>2+MOD(VALUE(RIGHT(A10,3))+2*C10,3)</x:f>
        <x:v>2</x:v>
      </x:c>
      <x:c r="G10" s="9" t="n">
        <x:f>2+MOD(2*VALUE(RIGHT(A10,3))+C10,3)</x:f>
        <x:v>2</x:v>
      </x:c>
      <x:c r="H10" s="9" t="n">
        <x:f>SUM(D10:G10)</x:f>
        <x:v>15</x:v>
      </x:c>
      <x:c r="I10" s="9" t="str">
        <x:f>IF(AND(D10&lt;=6,E10&lt;=6,F10&lt;=4,G10&lt;=4,H10=SUM(D10:G10)),"OK","CHECK")</x:f>
        <x:v>OK</x:v>
      </x:c>
    </x:row>
    <x:row r="11" ht="15" hidden="0" customHeight="1">
      <x:c r="A11" s="9" t="str">
        <x:v>ML26-S008</x:v>
      </x:c>
      <x:c r="B11" s="9" t="str">
        <x:v>B-201 Scenario Map</x:v>
      </x:c>
      <x:c r="C11" s="9" t="n">
        <x:v>4</x:v>
      </x:c>
      <x:c r="D11" s="9" t="n">
        <x:f>3+MOD(VALUE(RIGHT(A11,3))+C11,4)</x:f>
        <x:v>3</x:v>
      </x:c>
      <x:c r="E11" s="9" t="n">
        <x:f>3+MOD(2*VALUE(RIGHT(A11,3))+C11,4)</x:f>
        <x:v>3</x:v>
      </x:c>
      <x:c r="F11" s="9" t="n">
        <x:f>2+MOD(VALUE(RIGHT(A11,3))+2*C11,3)</x:f>
        <x:v>3</x:v>
      </x:c>
      <x:c r="G11" s="9" t="n">
        <x:f>2+MOD(2*VALUE(RIGHT(A11,3))+C11,3)</x:f>
        <x:v>4</x:v>
      </x:c>
      <x:c r="H11" s="9" t="n">
        <x:f>SUM(D11:G11)</x:f>
        <x:v>13</x:v>
      </x:c>
      <x:c r="I11" s="9" t="str">
        <x:f>IF(AND(D11&lt;=6,E11&lt;=6,F11&lt;=4,G11&lt;=4,H11=SUM(D11:G11)),"OK","CHECK")</x:f>
        <x:v>OK</x:v>
      </x:c>
    </x:row>
    <x:row r="12" ht="15" hidden="0" customHeight="1">
      <x:c r="A12" s="9" t="str">
        <x:v>ML26-S009</x:v>
      </x:c>
      <x:c r="B12" s="9" t="str">
        <x:v>B-201 Scenario Map</x:v>
      </x:c>
      <x:c r="C12" s="9" t="n">
        <x:v>4</x:v>
      </x:c>
      <x:c r="D12" s="9" t="n">
        <x:f>3+MOD(VALUE(RIGHT(A12,3))+C12,4)</x:f>
        <x:v>4</x:v>
      </x:c>
      <x:c r="E12" s="9" t="n">
        <x:f>3+MOD(2*VALUE(RIGHT(A12,3))+C12,4)</x:f>
        <x:v>5</x:v>
      </x:c>
      <x:c r="F12" s="9" t="n">
        <x:f>2+MOD(VALUE(RIGHT(A12,3))+2*C12,3)</x:f>
        <x:v>4</x:v>
      </x:c>
      <x:c r="G12" s="9" t="n">
        <x:f>2+MOD(2*VALUE(RIGHT(A12,3))+C12,3)</x:f>
        <x:v>3</x:v>
      </x:c>
      <x:c r="H12" s="9" t="n">
        <x:f>SUM(D12:G12)</x:f>
        <x:v>16</x:v>
      </x:c>
      <x:c r="I12" s="9" t="str">
        <x:f>IF(AND(D12&lt;=6,E12&lt;=6,F12&lt;=4,G12&lt;=4,H12=SUM(D12:G12)),"OK","CHECK")</x:f>
        <x:v>OK</x:v>
      </x:c>
    </x:row>
    <x:row r="13" ht="15" hidden="0" customHeight="1">
      <x:c r="A13" s="9" t="str">
        <x:v>ML26-S010</x:v>
      </x:c>
      <x:c r="B13" s="9" t="str">
        <x:v>B-201 Scenario Map</x:v>
      </x:c>
      <x:c r="C13" s="9" t="n">
        <x:v>4</x:v>
      </x:c>
      <x:c r="D13" s="9" t="n">
        <x:f>3+MOD(VALUE(RIGHT(A13,3))+C13,4)</x:f>
        <x:v>5</x:v>
      </x:c>
      <x:c r="E13" s="9" t="n">
        <x:f>3+MOD(2*VALUE(RIGHT(A13,3))+C13,4)</x:f>
        <x:v>3</x:v>
      </x:c>
      <x:c r="F13" s="9" t="n">
        <x:f>2+MOD(VALUE(RIGHT(A13,3))+2*C13,3)</x:f>
        <x:v>2</x:v>
      </x:c>
      <x:c r="G13" s="9" t="n">
        <x:f>2+MOD(2*VALUE(RIGHT(A13,3))+C13,3)</x:f>
        <x:v>2</x:v>
      </x:c>
      <x:c r="H13" s="9" t="n">
        <x:f>SUM(D13:G13)</x:f>
        <x:v>12</x:v>
      </x:c>
      <x:c r="I13" s="9" t="str">
        <x:f>IF(AND(D13&lt;=6,E13&lt;=6,F13&lt;=4,G13&lt;=4,H13=SUM(D13:G13)),"OK","CHECK")</x:f>
        <x:v>OK</x:v>
      </x:c>
    </x:row>
    <x:row r="14" ht="15" hidden="0" customHeight="1">
      <x:c r="A14" s="9" t="str">
        <x:v>ML26-S011</x:v>
      </x:c>
      <x:c r="B14" s="9" t="str">
        <x:v>B-201 Scenario Map</x:v>
      </x:c>
      <x:c r="C14" s="9" t="n">
        <x:v>4</x:v>
      </x:c>
      <x:c r="D14" s="9" t="n">
        <x:f>3+MOD(VALUE(RIGHT(A14,3))+C14,4)</x:f>
        <x:v>6</x:v>
      </x:c>
      <x:c r="E14" s="9" t="n">
        <x:f>3+MOD(2*VALUE(RIGHT(A14,3))+C14,4)</x:f>
        <x:v>5</x:v>
      </x:c>
      <x:c r="F14" s="9" t="n">
        <x:f>2+MOD(VALUE(RIGHT(A14,3))+2*C14,3)</x:f>
        <x:v>3</x:v>
      </x:c>
      <x:c r="G14" s="9" t="n">
        <x:f>2+MOD(2*VALUE(RIGHT(A14,3))+C14,3)</x:f>
        <x:v>4</x:v>
      </x:c>
      <x:c r="H14" s="9" t="n">
        <x:f>SUM(D14:G14)</x:f>
        <x:v>18</x:v>
      </x:c>
      <x:c r="I14" s="9" t="str">
        <x:f>IF(AND(D14&lt;=6,E14&lt;=6,F14&lt;=4,G14&lt;=4,H14=SUM(D14:G14)),"OK","CHECK")</x:f>
        <x:v>OK</x:v>
      </x:c>
    </x:row>
    <x:row r="15" ht="15" hidden="0" customHeight="1">
      <x:c r="A15" s="9" t="str">
        <x:v>ML26-S012</x:v>
      </x:c>
      <x:c r="B15" s="9" t="str">
        <x:v>B-201 Scenario Map</x:v>
      </x:c>
      <x:c r="C15" s="9" t="n">
        <x:v>4</x:v>
      </x:c>
      <x:c r="D15" s="9" t="n">
        <x:f>3+MOD(VALUE(RIGHT(A15,3))+C15,4)</x:f>
        <x:v>3</x:v>
      </x:c>
      <x:c r="E15" s="9" t="n">
        <x:f>3+MOD(2*VALUE(RIGHT(A15,3))+C15,4)</x:f>
        <x:v>3</x:v>
      </x:c>
      <x:c r="F15" s="9" t="n">
        <x:f>2+MOD(VALUE(RIGHT(A15,3))+2*C15,3)</x:f>
        <x:v>4</x:v>
      </x:c>
      <x:c r="G15" s="9" t="n">
        <x:f>2+MOD(2*VALUE(RIGHT(A15,3))+C15,3)</x:f>
        <x:v>3</x:v>
      </x:c>
      <x:c r="H15" s="9" t="n">
        <x:f>SUM(D15:G15)</x:f>
        <x:v>13</x:v>
      </x:c>
      <x:c r="I15" s="9" t="str">
        <x:f>IF(AND(D15&lt;=6,E15&lt;=6,F15&lt;=4,G15&lt;=4,H15=SUM(D15:G15)),"OK","CHECK")</x:f>
        <x:v>OK</x:v>
      </x:c>
    </x:row>
    <x:row r="16" ht="15" hidden="0" customHeight="1">
      <x:c r="A16" s="9" t="str">
        <x:v>ML26-S013</x:v>
      </x:c>
      <x:c r="B16" s="9" t="str">
        <x:v>B-201 Scenario Map</x:v>
      </x:c>
      <x:c r="C16" s="9" t="n">
        <x:v>4</x:v>
      </x:c>
      <x:c r="D16" s="9" t="n">
        <x:f>3+MOD(VALUE(RIGHT(A16,3))+C16,4)</x:f>
        <x:v>4</x:v>
      </x:c>
      <x:c r="E16" s="9" t="n">
        <x:f>3+MOD(2*VALUE(RIGHT(A16,3))+C16,4)</x:f>
        <x:v>5</x:v>
      </x:c>
      <x:c r="F16" s="9" t="n">
        <x:f>2+MOD(VALUE(RIGHT(A16,3))+2*C16,3)</x:f>
        <x:v>2</x:v>
      </x:c>
      <x:c r="G16" s="9" t="n">
        <x:f>2+MOD(2*VALUE(RIGHT(A16,3))+C16,3)</x:f>
        <x:v>2</x:v>
      </x:c>
      <x:c r="H16" s="9" t="n">
        <x:f>SUM(D16:G16)</x:f>
        <x:v>13</x:v>
      </x:c>
      <x:c r="I16" s="9" t="str">
        <x:f>IF(AND(D16&lt;=6,E16&lt;=6,F16&lt;=4,G16&lt;=4,H16=SUM(D16:G16)),"OK","CHECK")</x:f>
        <x:v>OK</x:v>
      </x:c>
    </x:row>
    <x:row r="17" ht="15" hidden="0" customHeight="1">
      <x:c r="A17" s="9" t="str">
        <x:v>ML26-S014</x:v>
      </x:c>
      <x:c r="B17" s="9" t="str">
        <x:v>B-202 Model Test</x:v>
      </x:c>
      <x:c r="C17" s="9" t="n">
        <x:v>5</x:v>
      </x:c>
      <x:c r="D17" s="9" t="n">
        <x:f>3+MOD(VALUE(RIGHT(A17,3))+C17,4)</x:f>
        <x:v>6</x:v>
      </x:c>
      <x:c r="E17" s="9" t="n">
        <x:f>3+MOD(2*VALUE(RIGHT(A17,3))+C17,4)</x:f>
        <x:v>4</x:v>
      </x:c>
      <x:c r="F17" s="9" t="n">
        <x:f>2+MOD(VALUE(RIGHT(A17,3))+2*C17,3)</x:f>
        <x:v>2</x:v>
      </x:c>
      <x:c r="G17" s="9" t="n">
        <x:f>2+MOD(2*VALUE(RIGHT(A17,3))+C17,3)</x:f>
        <x:v>2</x:v>
      </x:c>
      <x:c r="H17" s="9" t="n">
        <x:f>SUM(D17:G17)</x:f>
        <x:v>14</x:v>
      </x:c>
      <x:c r="I17" s="9" t="str">
        <x:f>IF(AND(D17&lt;=6,E17&lt;=6,F17&lt;=4,G17&lt;=4,H17=SUM(D17:G17)),"OK","CHECK")</x:f>
        <x:v>OK</x:v>
      </x:c>
    </x:row>
    <x:row r="18" ht="15" hidden="0" customHeight="1">
      <x:c r="A18" s="9" t="str">
        <x:v>ML26-S015</x:v>
      </x:c>
      <x:c r="B18" s="9" t="str">
        <x:v>B-202 Model Test</x:v>
      </x:c>
      <x:c r="C18" s="9" t="n">
        <x:v>5</x:v>
      </x:c>
      <x:c r="D18" s="9" t="n">
        <x:f>3+MOD(VALUE(RIGHT(A18,3))+C18,4)</x:f>
        <x:v>3</x:v>
      </x:c>
      <x:c r="E18" s="9" t="n">
        <x:f>3+MOD(2*VALUE(RIGHT(A18,3))+C18,4)</x:f>
        <x:v>6</x:v>
      </x:c>
      <x:c r="F18" s="9" t="n">
        <x:f>2+MOD(VALUE(RIGHT(A18,3))+2*C18,3)</x:f>
        <x:v>3</x:v>
      </x:c>
      <x:c r="G18" s="9" t="n">
        <x:f>2+MOD(2*VALUE(RIGHT(A18,3))+C18,3)</x:f>
        <x:v>4</x:v>
      </x:c>
      <x:c r="H18" s="9" t="n">
        <x:f>SUM(D18:G18)</x:f>
        <x:v>16</x:v>
      </x:c>
      <x:c r="I18" s="9" t="str">
        <x:f>IF(AND(D18&lt;=6,E18&lt;=6,F18&lt;=4,G18&lt;=4,H18=SUM(D18:G18)),"OK","CHECK")</x:f>
        <x:v>OK</x:v>
      </x:c>
    </x:row>
    <x:row r="19" ht="15" hidden="0" customHeight="1">
      <x:c r="A19" s="9" t="str">
        <x:v>ML26-S016</x:v>
      </x:c>
      <x:c r="B19" s="9" t="str">
        <x:v>B-202 Model Test</x:v>
      </x:c>
      <x:c r="C19" s="9" t="n">
        <x:v>5</x:v>
      </x:c>
      <x:c r="D19" s="9" t="n">
        <x:f>3+MOD(VALUE(RIGHT(A19,3))+C19,4)</x:f>
        <x:v>4</x:v>
      </x:c>
      <x:c r="E19" s="9" t="n">
        <x:f>3+MOD(2*VALUE(RIGHT(A19,3))+C19,4)</x:f>
        <x:v>4</x:v>
      </x:c>
      <x:c r="F19" s="9" t="n">
        <x:f>2+MOD(VALUE(RIGHT(A19,3))+2*C19,3)</x:f>
        <x:v>4</x:v>
      </x:c>
      <x:c r="G19" s="9" t="n">
        <x:f>2+MOD(2*VALUE(RIGHT(A19,3))+C19,3)</x:f>
        <x:v>3</x:v>
      </x:c>
      <x:c r="H19" s="9" t="n">
        <x:f>SUM(D19:G19)</x:f>
        <x:v>15</x:v>
      </x:c>
      <x:c r="I19" s="9" t="str">
        <x:f>IF(AND(D19&lt;=6,E19&lt;=6,F19&lt;=4,G19&lt;=4,H19=SUM(D19:G19)),"OK","CHECK")</x:f>
        <x:v>OK</x:v>
      </x:c>
    </x:row>
    <x:row r="20" ht="15" hidden="0" customHeight="1">
      <x:c r="A20" s="9" t="str">
        <x:v>ML26-S017</x:v>
      </x:c>
      <x:c r="B20" s="9" t="str">
        <x:v>B-202 Model Test</x:v>
      </x:c>
      <x:c r="C20" s="9" t="n">
        <x:v>5</x:v>
      </x:c>
      <x:c r="D20" s="9" t="n">
        <x:f>3+MOD(VALUE(RIGHT(A20,3))+C20,4)</x:f>
        <x:v>5</x:v>
      </x:c>
      <x:c r="E20" s="9" t="n">
        <x:f>3+MOD(2*VALUE(RIGHT(A20,3))+C20,4)</x:f>
        <x:v>6</x:v>
      </x:c>
      <x:c r="F20" s="9" t="n">
        <x:f>2+MOD(VALUE(RIGHT(A20,3))+2*C20,3)</x:f>
        <x:v>2</x:v>
      </x:c>
      <x:c r="G20" s="9" t="n">
        <x:f>2+MOD(2*VALUE(RIGHT(A20,3))+C20,3)</x:f>
        <x:v>2</x:v>
      </x:c>
      <x:c r="H20" s="9" t="n">
        <x:f>SUM(D20:G20)</x:f>
        <x:v>15</x:v>
      </x:c>
      <x:c r="I20" s="9" t="str">
        <x:f>IF(AND(D20&lt;=6,E20&lt;=6,F20&lt;=4,G20&lt;=4,H20=SUM(D20:G20)),"OK","CHECK")</x:f>
        <x:v>OK</x:v>
      </x:c>
    </x:row>
    <x:row r="21" ht="15" hidden="0" customHeight="1">
      <x:c r="A21" s="9" t="str">
        <x:v>ML26-S018</x:v>
      </x:c>
      <x:c r="B21" s="9" t="str">
        <x:v>B-202 Model Test</x:v>
      </x:c>
      <x:c r="C21" s="9" t="n">
        <x:v>5</x:v>
      </x:c>
      <x:c r="D21" s="9" t="n">
        <x:f>3+MOD(VALUE(RIGHT(A21,3))+C21,4)</x:f>
        <x:v>6</x:v>
      </x:c>
      <x:c r="E21" s="9" t="n">
        <x:f>3+MOD(2*VALUE(RIGHT(A21,3))+C21,4)</x:f>
        <x:v>4</x:v>
      </x:c>
      <x:c r="F21" s="9" t="n">
        <x:f>2+MOD(VALUE(RIGHT(A21,3))+2*C21,3)</x:f>
        <x:v>3</x:v>
      </x:c>
      <x:c r="G21" s="9" t="n">
        <x:f>2+MOD(2*VALUE(RIGHT(A21,3))+C21,3)</x:f>
        <x:v>4</x:v>
      </x:c>
      <x:c r="H21" s="9" t="n">
        <x:f>SUM(D21:G21)</x:f>
        <x:v>17</x:v>
      </x:c>
      <x:c r="I21" s="9" t="str">
        <x:f>IF(AND(D21&lt;=6,E21&lt;=6,F21&lt;=4,G21&lt;=4,H21=SUM(D21:G21)),"OK","CHECK")</x:f>
        <x:v>OK</x:v>
      </x:c>
    </x:row>
    <x:row r="22" ht="15" hidden="0" customHeight="1">
      <x:c r="A22" s="9" t="str">
        <x:v>ML26-S019</x:v>
      </x:c>
      <x:c r="B22" s="9" t="str">
        <x:v>B-202 Model Test</x:v>
      </x:c>
      <x:c r="C22" s="9" t="n">
        <x:v>5</x:v>
      </x:c>
      <x:c r="D22" s="9" t="n">
        <x:f>3+MOD(VALUE(RIGHT(A22,3))+C22,4)</x:f>
        <x:v>3</x:v>
      </x:c>
      <x:c r="E22" s="9" t="n">
        <x:f>3+MOD(2*VALUE(RIGHT(A22,3))+C22,4)</x:f>
        <x:v>6</x:v>
      </x:c>
      <x:c r="F22" s="9" t="n">
        <x:f>2+MOD(VALUE(RIGHT(A22,3))+2*C22,3)</x:f>
        <x:v>4</x:v>
      </x:c>
      <x:c r="G22" s="9" t="n">
        <x:f>2+MOD(2*VALUE(RIGHT(A22,3))+C22,3)</x:f>
        <x:v>3</x:v>
      </x:c>
      <x:c r="H22" s="9" t="n">
        <x:f>SUM(D22:G22)</x:f>
        <x:v>16</x:v>
      </x:c>
      <x:c r="I22" s="9" t="str">
        <x:f>IF(AND(D22&lt;=6,E22&lt;=6,F22&lt;=4,G22&lt;=4,H22=SUM(D22:G22)),"OK","CHECK")</x:f>
        <x:v>OK</x:v>
      </x:c>
    </x:row>
    <x:row r="23" ht="15" hidden="0" customHeight="1">
      <x:c r="A23" s="9" t="str">
        <x:v>ML26-S020</x:v>
      </x:c>
      <x:c r="B23" s="9" t="str">
        <x:v>B-202 Model Test</x:v>
      </x:c>
      <x:c r="C23" s="9" t="n">
        <x:v>5</x:v>
      </x:c>
      <x:c r="D23" s="9" t="n">
        <x:f>3+MOD(VALUE(RIGHT(A23,3))+C23,4)</x:f>
        <x:v>4</x:v>
      </x:c>
      <x:c r="E23" s="9" t="n">
        <x:f>3+MOD(2*VALUE(RIGHT(A23,3))+C23,4)</x:f>
        <x:v>4</x:v>
      </x:c>
      <x:c r="F23" s="9" t="n">
        <x:f>2+MOD(VALUE(RIGHT(A23,3))+2*C23,3)</x:f>
        <x:v>2</x:v>
      </x:c>
      <x:c r="G23" s="9" t="n">
        <x:f>2+MOD(2*VALUE(RIGHT(A23,3))+C23,3)</x:f>
        <x:v>2</x:v>
      </x:c>
      <x:c r="H23" s="9" t="n">
        <x:f>SUM(D23:G23)</x:f>
        <x:v>12</x:v>
      </x:c>
      <x:c r="I23" s="9" t="str">
        <x:f>IF(AND(D23&lt;=6,E23&lt;=6,F23&lt;=4,G23&lt;=4,H23=SUM(D23:G23)),"OK","CHECK")</x:f>
        <x:v>OK</x:v>
      </x:c>
    </x:row>
    <x:row r="24" ht="15" hidden="0" customHeight="1">
      <x:c r="A24" s="9" t="str">
        <x:v>ML26-S021</x:v>
      </x:c>
      <x:c r="B24" s="9" t="str">
        <x:v>B-202 Model Test</x:v>
      </x:c>
      <x:c r="C24" s="9" t="n">
        <x:v>5</x:v>
      </x:c>
      <x:c r="D24" s="9" t="n">
        <x:f>3+MOD(VALUE(RIGHT(A24,3))+C24,4)</x:f>
        <x:v>5</x:v>
      </x:c>
      <x:c r="E24" s="9" t="n">
        <x:f>3+MOD(2*VALUE(RIGHT(A24,3))+C24,4)</x:f>
        <x:v>6</x:v>
      </x:c>
      <x:c r="F24" s="9" t="n">
        <x:f>2+MOD(VALUE(RIGHT(A24,3))+2*C24,3)</x:f>
        <x:v>3</x:v>
      </x:c>
      <x:c r="G24" s="9" t="n">
        <x:f>2+MOD(2*VALUE(RIGHT(A24,3))+C24,3)</x:f>
        <x:v>4</x:v>
      </x:c>
      <x:c r="H24" s="9" t="n">
        <x:f>SUM(D24:G24)</x:f>
        <x:v>18</x:v>
      </x:c>
      <x:c r="I24" s="9" t="str">
        <x:f>IF(AND(D24&lt;=6,E24&lt;=6,F24&lt;=4,G24&lt;=4,H24=SUM(D24:G24)),"OK","CHECK")</x:f>
        <x:v>OK</x:v>
      </x:c>
    </x:row>
    <x:row r="25" ht="15" hidden="0" customHeight="1">
      <x:c r="A25" s="9" t="str">
        <x:v>ML26-S022</x:v>
      </x:c>
      <x:c r="B25" s="9" t="str">
        <x:v>B-202 Model Test</x:v>
      </x:c>
      <x:c r="C25" s="9" t="n">
        <x:v>5</x:v>
      </x:c>
      <x:c r="D25" s="9" t="n">
        <x:f>3+MOD(VALUE(RIGHT(A25,3))+C25,4)</x:f>
        <x:v>6</x:v>
      </x:c>
      <x:c r="E25" s="9" t="n">
        <x:f>3+MOD(2*VALUE(RIGHT(A25,3))+C25,4)</x:f>
        <x:v>4</x:v>
      </x:c>
      <x:c r="F25" s="9" t="n">
        <x:f>2+MOD(VALUE(RIGHT(A25,3))+2*C25,3)</x:f>
        <x:v>4</x:v>
      </x:c>
      <x:c r="G25" s="9" t="n">
        <x:f>2+MOD(2*VALUE(RIGHT(A25,3))+C25,3)</x:f>
        <x:v>3</x:v>
      </x:c>
      <x:c r="H25" s="9" t="n">
        <x:f>SUM(D25:G25)</x:f>
        <x:v>17</x:v>
      </x:c>
      <x:c r="I25" s="9" t="str">
        <x:f>IF(AND(D25&lt;=6,E25&lt;=6,F25&lt;=4,G25&lt;=4,H25=SUM(D25:G25)),"OK","CHECK")</x:f>
        <x:v>OK</x:v>
      </x:c>
    </x:row>
    <x:row r="26" ht="15" hidden="0" customHeight="1">
      <x:c r="A26" s="9" t="str">
        <x:v>ML26-S023</x:v>
      </x:c>
      <x:c r="B26" s="9" t="str">
        <x:v>B-202 Model Test</x:v>
      </x:c>
      <x:c r="C26" s="9" t="n">
        <x:v>5</x:v>
      </x:c>
      <x:c r="D26" s="9" t="n">
        <x:f>3+MOD(VALUE(RIGHT(A26,3))+C26,4)</x:f>
        <x:v>3</x:v>
      </x:c>
      <x:c r="E26" s="9" t="n">
        <x:f>3+MOD(2*VALUE(RIGHT(A26,3))+C26,4)</x:f>
        <x:v>6</x:v>
      </x:c>
      <x:c r="F26" s="9" t="n">
        <x:f>2+MOD(VALUE(RIGHT(A26,3))+2*C26,3)</x:f>
        <x:v>2</x:v>
      </x:c>
      <x:c r="G26" s="9" t="n">
        <x:f>2+MOD(2*VALUE(RIGHT(A26,3))+C26,3)</x:f>
        <x:v>2</x:v>
      </x:c>
      <x:c r="H26" s="9" t="n">
        <x:f>SUM(D26:G26)</x:f>
        <x:v>13</x:v>
      </x:c>
      <x:c r="I26" s="9" t="str">
        <x:f>IF(AND(D26&lt;=6,E26&lt;=6,F26&lt;=4,G26&lt;=4,H26=SUM(D26:G26)),"OK","CHECK")</x:f>
        <x:v>OK</x:v>
      </x:c>
    </x:row>
    <x:row r="27" ht="15" hidden="0" customHeight="1">
      <x:c r="A27" s="9" t="str">
        <x:v>ML26-S024</x:v>
      </x:c>
      <x:c r="B27" s="9" t="str">
        <x:v>B-202 Model Test</x:v>
      </x:c>
      <x:c r="C27" s="9" t="n">
        <x:v>5</x:v>
      </x:c>
      <x:c r="D27" s="9" t="n">
        <x:f>3+MOD(VALUE(RIGHT(A27,3))+C27,4)</x:f>
        <x:v>4</x:v>
      </x:c>
      <x:c r="E27" s="9" t="n">
        <x:f>3+MOD(2*VALUE(RIGHT(A27,3))+C27,4)</x:f>
        <x:v>4</x:v>
      </x:c>
      <x:c r="F27" s="9" t="n">
        <x:f>2+MOD(VALUE(RIGHT(A27,3))+2*C27,3)</x:f>
        <x:v>3</x:v>
      </x:c>
      <x:c r="G27" s="9" t="n">
        <x:f>2+MOD(2*VALUE(RIGHT(A27,3))+C27,3)</x:f>
        <x:v>4</x:v>
      </x:c>
      <x:c r="H27" s="9" t="n">
        <x:f>SUM(D27:G27)</x:f>
        <x:v>15</x:v>
      </x:c>
      <x:c r="I27" s="9" t="str">
        <x:f>IF(AND(D27&lt;=6,E27&lt;=6,F27&lt;=4,G27&lt;=4,H27=SUM(D27:G27)),"OK","CHECK")</x:f>
        <x:v>OK</x:v>
      </x:c>
    </x:row>
    <x:row r="28" ht="15" hidden="0" customHeight="1">
      <x:c r="A28" s="9" t="str">
        <x:v>ML26-S025</x:v>
      </x:c>
      <x:c r="B28" s="9" t="str">
        <x:v>B-203 Design Critique</x:v>
      </x:c>
      <x:c r="C28" s="9" t="n">
        <x:v>6</x:v>
      </x:c>
      <x:c r="D28" s="9" t="n">
        <x:f>3+MOD(VALUE(RIGHT(A28,3))+C28,4)</x:f>
        <x:v>6</x:v>
      </x:c>
      <x:c r="E28" s="9" t="n">
        <x:f>3+MOD(2*VALUE(RIGHT(A28,3))+C28,4)</x:f>
        <x:v>3</x:v>
      </x:c>
      <x:c r="F28" s="9" t="n">
        <x:f>2+MOD(VALUE(RIGHT(A28,3))+2*C28,3)</x:f>
        <x:v>3</x:v>
      </x:c>
      <x:c r="G28" s="9" t="n">
        <x:f>2+MOD(2*VALUE(RIGHT(A28,3))+C28,3)</x:f>
        <x:v>4</x:v>
      </x:c>
      <x:c r="H28" s="9" t="n">
        <x:f>SUM(D28:G28)</x:f>
        <x:v>16</x:v>
      </x:c>
      <x:c r="I28" s="9" t="str">
        <x:f>IF(AND(D28&lt;=6,E28&lt;=6,F28&lt;=4,G28&lt;=4,H28=SUM(D28:G28)),"OK","CHECK")</x:f>
        <x:v>OK</x:v>
      </x:c>
    </x:row>
    <x:row r="29" ht="15" hidden="0" customHeight="1">
      <x:c r="A29" s="9" t="str">
        <x:v>ML26-S026</x:v>
      </x:c>
      <x:c r="B29" s="9" t="str">
        <x:v>B-203 Design Critique</x:v>
      </x:c>
      <x:c r="C29" s="9" t="n">
        <x:v>6</x:v>
      </x:c>
      <x:c r="D29" s="9" t="n">
        <x:f>3+MOD(VALUE(RIGHT(A29,3))+C29,4)</x:f>
        <x:v>3</x:v>
      </x:c>
      <x:c r="E29" s="9" t="n">
        <x:f>3+MOD(2*VALUE(RIGHT(A29,3))+C29,4)</x:f>
        <x:v>5</x:v>
      </x:c>
      <x:c r="F29" s="9" t="n">
        <x:f>2+MOD(VALUE(RIGHT(A29,3))+2*C29,3)</x:f>
        <x:v>4</x:v>
      </x:c>
      <x:c r="G29" s="9" t="n">
        <x:f>2+MOD(2*VALUE(RIGHT(A29,3))+C29,3)</x:f>
        <x:v>3</x:v>
      </x:c>
      <x:c r="H29" s="9" t="n">
        <x:f>SUM(D29:G29)</x:f>
        <x:v>15</x:v>
      </x:c>
      <x:c r="I29" s="9" t="str">
        <x:f>IF(AND(D29&lt;=6,E29&lt;=6,F29&lt;=4,G29&lt;=4,H29=SUM(D29:G29)),"OK","CHECK")</x:f>
        <x:v>OK</x:v>
      </x:c>
    </x:row>
    <x:row r="30" ht="15" hidden="0" customHeight="1">
      <x:c r="A30" s="9" t="str">
        <x:v>ML26-S027</x:v>
      </x:c>
      <x:c r="B30" s="9" t="str">
        <x:v>B-203 Design Critique</x:v>
      </x:c>
      <x:c r="C30" s="9" t="n">
        <x:v>6</x:v>
      </x:c>
      <x:c r="D30" s="9" t="n">
        <x:f>3+MOD(VALUE(RIGHT(A30,3))+C30,4)</x:f>
        <x:v>4</x:v>
      </x:c>
      <x:c r="E30" s="9" t="n">
        <x:f>3+MOD(2*VALUE(RIGHT(A30,3))+C30,4)</x:f>
        <x:v>3</x:v>
      </x:c>
      <x:c r="F30" s="9" t="n">
        <x:f>2+MOD(VALUE(RIGHT(A30,3))+2*C30,3)</x:f>
        <x:v>2</x:v>
      </x:c>
      <x:c r="G30" s="9" t="n">
        <x:f>2+MOD(2*VALUE(RIGHT(A30,3))+C30,3)</x:f>
        <x:v>2</x:v>
      </x:c>
      <x:c r="H30" s="9" t="n">
        <x:f>SUM(D30:G30)</x:f>
        <x:v>11</x:v>
      </x:c>
      <x:c r="I30" s="9" t="str">
        <x:f>IF(AND(D30&lt;=6,E30&lt;=6,F30&lt;=4,G30&lt;=4,H30=SUM(D30:G30)),"OK","CHECK")</x:f>
        <x:v>OK</x:v>
      </x:c>
    </x:row>
    <x:row r="31" ht="15" hidden="0" customHeight="1">
      <x:c r="A31" s="9" t="str">
        <x:v>ML26-S028</x:v>
      </x:c>
      <x:c r="B31" s="9" t="str">
        <x:v>B-203 Design Critique</x:v>
      </x:c>
      <x:c r="C31" s="9" t="n">
        <x:v>6</x:v>
      </x:c>
      <x:c r="D31" s="9" t="n">
        <x:f>3+MOD(VALUE(RIGHT(A31,3))+C31,4)</x:f>
        <x:v>5</x:v>
      </x:c>
      <x:c r="E31" s="9" t="n">
        <x:f>3+MOD(2*VALUE(RIGHT(A31,3))+C31,4)</x:f>
        <x:v>5</x:v>
      </x:c>
      <x:c r="F31" s="9" t="n">
        <x:f>2+MOD(VALUE(RIGHT(A31,3))+2*C31,3)</x:f>
        <x:v>3</x:v>
      </x:c>
      <x:c r="G31" s="9" t="n">
        <x:f>2+MOD(2*VALUE(RIGHT(A31,3))+C31,3)</x:f>
        <x:v>4</x:v>
      </x:c>
      <x:c r="H31" s="9" t="n">
        <x:f>SUM(D31:G31)</x:f>
        <x:v>17</x:v>
      </x:c>
      <x:c r="I31" s="9" t="str">
        <x:f>IF(AND(D31&lt;=6,E31&lt;=6,F31&lt;=4,G31&lt;=4,H31=SUM(D31:G31)),"OK","CHECK")</x:f>
        <x:v>OK</x:v>
      </x:c>
    </x:row>
    <x:row r="32" ht="15" hidden="0" customHeight="1">
      <x:c r="A32" s="9" t="str">
        <x:v>ML26-S029</x:v>
      </x:c>
      <x:c r="B32" s="9" t="str">
        <x:v>B-203 Design Critique</x:v>
      </x:c>
      <x:c r="C32" s="9" t="n">
        <x:v>6</x:v>
      </x:c>
      <x:c r="D32" s="9" t="n">
        <x:f>3+MOD(VALUE(RIGHT(A32,3))+C32,4)</x:f>
        <x:v>6</x:v>
      </x:c>
      <x:c r="E32" s="9" t="n">
        <x:f>3+MOD(2*VALUE(RIGHT(A32,3))+C32,4)</x:f>
        <x:v>3</x:v>
      </x:c>
      <x:c r="F32" s="9" t="n">
        <x:f>2+MOD(VALUE(RIGHT(A32,3))+2*C32,3)</x:f>
        <x:v>4</x:v>
      </x:c>
      <x:c r="G32" s="9" t="n">
        <x:f>2+MOD(2*VALUE(RIGHT(A32,3))+C32,3)</x:f>
        <x:v>3</x:v>
      </x:c>
      <x:c r="H32" s="9" t="n">
        <x:f>SUM(D32:G32)</x:f>
        <x:v>16</x:v>
      </x:c>
      <x:c r="I32" s="9" t="str">
        <x:f>IF(AND(D32&lt;=6,E32&lt;=6,F32&lt;=4,G32&lt;=4,H32=SUM(D32:G32)),"OK","CHECK")</x:f>
        <x:v>OK</x:v>
      </x:c>
    </x:row>
    <x:row r="33" ht="15" hidden="0" customHeight="1">
      <x:c r="A33" s="9" t="str">
        <x:v>ML26-S030</x:v>
      </x:c>
      <x:c r="B33" s="9" t="str">
        <x:v>B-203 Design Critique</x:v>
      </x:c>
      <x:c r="C33" s="9" t="n">
        <x:v>6</x:v>
      </x:c>
      <x:c r="D33" s="9" t="n">
        <x:f>3+MOD(VALUE(RIGHT(A33,3))+C33,4)</x:f>
        <x:v>3</x:v>
      </x:c>
      <x:c r="E33" s="9" t="n">
        <x:f>3+MOD(2*VALUE(RIGHT(A33,3))+C33,4)</x:f>
        <x:v>5</x:v>
      </x:c>
      <x:c r="F33" s="9" t="n">
        <x:f>2+MOD(VALUE(RIGHT(A33,3))+2*C33,3)</x:f>
        <x:v>2</x:v>
      </x:c>
      <x:c r="G33" s="9" t="n">
        <x:f>2+MOD(2*VALUE(RIGHT(A33,3))+C33,3)</x:f>
        <x:v>2</x:v>
      </x:c>
      <x:c r="H33" s="9" t="n">
        <x:f>SUM(D33:G33)</x:f>
        <x:v>12</x:v>
      </x:c>
      <x:c r="I33" s="9" t="str">
        <x:f>IF(AND(D33&lt;=6,E33&lt;=6,F33&lt;=4,G33&lt;=4,H33=SUM(D33:G33)),"OK","CHECK")</x:f>
        <x:v>OK</x:v>
      </x:c>
    </x:row>
    <x:row r="34" ht="15" hidden="0" customHeight="1">
      <x:c r="A34" s="9" t="str">
        <x:v>ML26-S031</x:v>
      </x:c>
      <x:c r="B34" s="9" t="str">
        <x:v>B-203 Design Critique</x:v>
      </x:c>
      <x:c r="C34" s="9" t="n">
        <x:v>6</x:v>
      </x:c>
      <x:c r="D34" s="9" t="n">
        <x:f>3+MOD(VALUE(RIGHT(A34,3))+C34,4)</x:f>
        <x:v>4</x:v>
      </x:c>
      <x:c r="E34" s="9" t="n">
        <x:f>3+MOD(2*VALUE(RIGHT(A34,3))+C34,4)</x:f>
        <x:v>3</x:v>
      </x:c>
      <x:c r="F34" s="9" t="n">
        <x:f>2+MOD(VALUE(RIGHT(A34,3))+2*C34,3)</x:f>
        <x:v>3</x:v>
      </x:c>
      <x:c r="G34" s="9" t="n">
        <x:f>2+MOD(2*VALUE(RIGHT(A34,3))+C34,3)</x:f>
        <x:v>4</x:v>
      </x:c>
      <x:c r="H34" s="9" t="n">
        <x:f>SUM(D34:G34)</x:f>
        <x:v>14</x:v>
      </x:c>
      <x:c r="I34" s="9" t="str">
        <x:f>IF(AND(D34&lt;=6,E34&lt;=6,F34&lt;=4,G34&lt;=4,H34=SUM(D34:G34)),"OK","CHECK")</x:f>
        <x:v>OK</x:v>
      </x:c>
    </x:row>
    <x:row r="35" ht="15" hidden="0" customHeight="1">
      <x:c r="A35" s="9" t="str">
        <x:v>ML26-S032</x:v>
      </x:c>
      <x:c r="B35" s="9" t="str">
        <x:v>B-203 Design Critique</x:v>
      </x:c>
      <x:c r="C35" s="9" t="n">
        <x:v>6</x:v>
      </x:c>
      <x:c r="D35" s="9" t="n">
        <x:f>3+MOD(VALUE(RIGHT(A35,3))+C35,4)</x:f>
        <x:v>5</x:v>
      </x:c>
      <x:c r="E35" s="9" t="n">
        <x:f>3+MOD(2*VALUE(RIGHT(A35,3))+C35,4)</x:f>
        <x:v>5</x:v>
      </x:c>
      <x:c r="F35" s="9" t="n">
        <x:f>2+MOD(VALUE(RIGHT(A35,3))+2*C35,3)</x:f>
        <x:v>4</x:v>
      </x:c>
      <x:c r="G35" s="9" t="n">
        <x:f>2+MOD(2*VALUE(RIGHT(A35,3))+C35,3)</x:f>
        <x:v>3</x:v>
      </x:c>
      <x:c r="H35" s="9" t="n">
        <x:f>SUM(D35:G35)</x:f>
        <x:v>17</x:v>
      </x:c>
      <x:c r="I35" s="9" t="str">
        <x:f>IF(AND(D35&lt;=6,E35&lt;=6,F35&lt;=4,G35&lt;=4,H35=SUM(D35:G35)),"OK","CHECK")</x:f>
        <x:v>OK</x:v>
      </x:c>
    </x:row>
    <x:row r="36" ht="15" hidden="0" customHeight="1">
      <x:c r="A36" s="9" t="str">
        <x:v>ML26-S033</x:v>
      </x:c>
      <x:c r="B36" s="9" t="str">
        <x:v>B-203 Design Critique</x:v>
      </x:c>
      <x:c r="C36" s="9" t="n">
        <x:v>6</x:v>
      </x:c>
      <x:c r="D36" s="9" t="n">
        <x:f>3+MOD(VALUE(RIGHT(A36,3))+C36,4)</x:f>
        <x:v>6</x:v>
      </x:c>
      <x:c r="E36" s="9" t="n">
        <x:f>3+MOD(2*VALUE(RIGHT(A36,3))+C36,4)</x:f>
        <x:v>3</x:v>
      </x:c>
      <x:c r="F36" s="9" t="n">
        <x:f>2+MOD(VALUE(RIGHT(A36,3))+2*C36,3)</x:f>
        <x:v>2</x:v>
      </x:c>
      <x:c r="G36" s="9" t="n">
        <x:f>2+MOD(2*VALUE(RIGHT(A36,3))+C36,3)</x:f>
        <x:v>2</x:v>
      </x:c>
      <x:c r="H36" s="9" t="n">
        <x:f>SUM(D36:G36)</x:f>
        <x:v>13</x:v>
      </x:c>
      <x:c r="I36" s="9" t="str">
        <x:f>IF(AND(D36&lt;=6,E36&lt;=6,F36&lt;=4,G36&lt;=4,H36=SUM(D36:G36)),"OK","CHECK")</x:f>
        <x:v>OK</x:v>
      </x:c>
    </x:row>
    <x:row r="37" ht="15" hidden="0" customHeight="1">
      <x:c r="A37" s="9" t="str">
        <x:v>ML26-S034</x:v>
      </x:c>
      <x:c r="B37" s="9" t="str">
        <x:v>B-203 Design Critique</x:v>
      </x:c>
      <x:c r="C37" s="9" t="n">
        <x:v>6</x:v>
      </x:c>
      <x:c r="D37" s="9" t="n">
        <x:f>3+MOD(VALUE(RIGHT(A37,3))+C37,4)</x:f>
        <x:v>3</x:v>
      </x:c>
      <x:c r="E37" s="9" t="n">
        <x:f>3+MOD(2*VALUE(RIGHT(A37,3))+C37,4)</x:f>
        <x:v>5</x:v>
      </x:c>
      <x:c r="F37" s="9" t="n">
        <x:f>2+MOD(VALUE(RIGHT(A37,3))+2*C37,3)</x:f>
        <x:v>3</x:v>
      </x:c>
      <x:c r="G37" s="9" t="n">
        <x:f>2+MOD(2*VALUE(RIGHT(A37,3))+C37,3)</x:f>
        <x:v>4</x:v>
      </x:c>
      <x:c r="H37" s="9" t="n">
        <x:f>SUM(D37:G37)</x:f>
        <x:v>15</x:v>
      </x:c>
      <x:c r="I37" s="9" t="str">
        <x:f>IF(AND(D37&lt;=6,E37&lt;=6,F37&lt;=4,G37&lt;=4,H37=SUM(D37:G37)),"OK","CHECK")</x:f>
        <x:v>OK</x:v>
      </x:c>
    </x:row>
    <x:row r="38" ht="15" hidden="0" customHeight="1">
      <x:c r="A38" s="9" t="str">
        <x:v>ML26-S035</x:v>
      </x:c>
      <x:c r="B38" s="9" t="str">
        <x:v>B-203 Design Critique</x:v>
      </x:c>
      <x:c r="C38" s="9" t="n">
        <x:v>6</x:v>
      </x:c>
      <x:c r="D38" s="9" t="n">
        <x:f>3+MOD(VALUE(RIGHT(A38,3))+C38,4)</x:f>
        <x:v>4</x:v>
      </x:c>
      <x:c r="E38" s="9" t="n">
        <x:f>3+MOD(2*VALUE(RIGHT(A38,3))+C38,4)</x:f>
        <x:v>3</x:v>
      </x:c>
      <x:c r="F38" s="9" t="n">
        <x:f>2+MOD(VALUE(RIGHT(A38,3))+2*C38,3)</x:f>
        <x:v>4</x:v>
      </x:c>
      <x:c r="G38" s="9" t="n">
        <x:f>2+MOD(2*VALUE(RIGHT(A38,3))+C38,3)</x:f>
        <x:v>3</x:v>
      </x:c>
      <x:c r="H38" s="9" t="n">
        <x:f>SUM(D38:G38)</x:f>
        <x:v>14</x:v>
      </x:c>
      <x:c r="I38" s="9" t="str">
        <x:f>IF(AND(D38&lt;=6,E38&lt;=6,F38&lt;=4,G38&lt;=4,H38=SUM(D38:G38)),"OK","CHECK")</x:f>
        <x:v>OK</x:v>
      </x:c>
    </x:row>
    <x:row r="39" ht="15" hidden="0" customHeight="1">
      <x:c r="A39" s="9" t="str">
        <x:v>ML26-S036</x:v>
      </x:c>
      <x:c r="B39" s="9" t="str">
        <x:v>B-203 Design Critique</x:v>
      </x:c>
      <x:c r="C39" s="9" t="n">
        <x:v>6</x:v>
      </x:c>
      <x:c r="D39" s="9" t="n">
        <x:f>3+MOD(VALUE(RIGHT(A39,3))+C39,4)</x:f>
        <x:v>5</x:v>
      </x:c>
      <x:c r="E39" s="9" t="n">
        <x:f>3+MOD(2*VALUE(RIGHT(A39,3))+C39,4)</x:f>
        <x:v>5</x:v>
      </x:c>
      <x:c r="F39" s="9" t="n">
        <x:f>2+MOD(VALUE(RIGHT(A39,3))+2*C39,3)</x:f>
        <x:v>2</x:v>
      </x:c>
      <x:c r="G39" s="9" t="n">
        <x:f>2+MOD(2*VALUE(RIGHT(A39,3))+C39,3)</x:f>
        <x:v>2</x:v>
      </x:c>
      <x:c r="H39" s="9" t="n">
        <x:f>SUM(D39:G39)</x:f>
        <x:v>14</x:v>
      </x:c>
      <x:c r="I39" s="9" t="str">
        <x:f>IF(AND(D39&lt;=6,E39&lt;=6,F39&lt;=4,G39&lt;=4,H39=SUM(D39:G39)),"OK","CHECK")</x:f>
        <x:v>OK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1" t="str">
        <x:v>Rubric contract</x:v>
      </x:c>
      <x:c r="B1" s="11" t="str">
        <x:v>Points</x:v>
      </x:c>
    </x:row>
    <x:row r="2">
      <x:c r="A2" s="4" t="str">
        <x:v>Evidence E</x:v>
      </x:c>
      <x:c r="B2" s="4" t="n">
        <x:v>6</x:v>
      </x:c>
    </x:row>
    <x:row r="3">
      <x:c r="A3" s="4" t="str">
        <x:v>Reasoning R</x:v>
      </x:c>
      <x:c r="B3" s="4" t="n">
        <x:v>6</x:v>
      </x:c>
    </x:row>
    <x:row r="4">
      <x:c r="A4" s="4" t="str">
        <x:v>Organization O</x:v>
      </x:c>
      <x:c r="B4" s="4" t="n">
        <x:v>4</x:v>
      </x:c>
    </x:row>
    <x:row r="5">
      <x:c r="A5" s="4" t="str">
        <x:v>Format F</x:v>
      </x:c>
      <x:c r="B5" s="4" t="n">
        <x:v>4</x:v>
      </x:c>
    </x:row>
    <x:row r="6">
      <x:c r="A6" s="4" t="str">
        <x:v>Total</x:v>
      </x:c>
      <x:c r="B6" s="4" t="n">
        <x:v>20</x:v>
      </x:c>
    </x:row>
  </x:sheetData>
  <x:pageMargins left="0.7" right="0.7" top="0.75" bottom="0.75" header="0.3" footer="0.3"/>
</x:worksheet>
</file>