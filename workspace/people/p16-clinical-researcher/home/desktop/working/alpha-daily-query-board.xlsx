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5caa4e41f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Query Board" sheetId="1" r:id="Rfca934efdcf6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4E79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2" fillId="0" borderId="13" xfId="0" applyNumberFormat="1" applyFont="1" applyFill="1" applyBorder="1"/>
    <x:xf numFmtId="0" fontId="0" fillId="4" borderId="13" xfId="0" applyNumberFormat="1" applyFont="1" applyFill="1" applyBorder="1"/>
    <x:xf numFmtId="0" fontId="4" fillId="4" borderId="13" xfId="0" applyNumberFormat="1" applyFont="1" applyFill="1" applyBorder="1"/>
    <x:xf numFmtId="0" fontId="4" fillId="4" borderId="1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be89a06b0426a" /><Relationship Type="http://schemas.openxmlformats.org/officeDocument/2006/relationships/theme" Target="/xl/theme/theme1.xml" Id="R52e47c1ed18246d2" /><Relationship Type="http://schemas.openxmlformats.org/officeDocument/2006/relationships/sharedStrings" Target="/xl/sharedStrings.xml" Id="Rb36fb0c581794587" /><Relationship Type="http://schemas.openxmlformats.org/officeDocument/2006/relationships/worksheet" Target="/xl/worksheets/sheet1.xml" Id="Rfca934efdcf64d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38" hidden="0" customWidth="1"/>
    <x:col min="4" max="4" width="12" hidden="0" customWidth="1"/>
    <x:col min="5" max="5" width="20" hidden="0" customWidth="1"/>
    <x:col min="6" max="6" width="14" hidden="0" customWidth="1"/>
  </x:cols>
  <x:sheetData>
    <x:row r="1" ht="30" customHeight="1">
      <x:c r="A1" s="4" t="str">
        <x:v>Sakura Clinical | Study Alpha 2026 - Daily Query Board</x:v>
      </x:c>
      <x:c r="B1" s="4"/>
      <x:c r="C1" s="4"/>
      <x:c r="D1" s="4"/>
      <x:c r="E1" s="4"/>
      <x:c r="F1" s="4"/>
    </x:row>
    <x:row r="2">
      <x:c r="A2" s="7" t="str">
        <x:v>Snapshot: 2026-09-02 | Cohort: 48 synthetic records | Protocol review threshold: 2.5 mg</x:v>
      </x:c>
      <x:c r="B2" s="7"/>
      <x:c r="C2" s="7"/>
      <x:c r="D2" s="7"/>
      <x:c r="E2" s="7"/>
      <x:c r="F2" s="7"/>
    </x:row>
    <x:row r="4">
      <x:c r="A4" s="12" t="str">
        <x:v>Query ID</x:v>
      </x:c>
      <x:c r="B4" s="13" t="str">
        <x:v>Review area</x:v>
      </x:c>
      <x:c r="C4" s="13" t="str">
        <x:v>Synthetic finding</x:v>
      </x:c>
      <x:c r="D4" s="13" t="str">
        <x:v>Priority</x:v>
      </x:c>
      <x:c r="E4" s="13" t="str">
        <x:v>Owner role</x:v>
      </x:c>
      <x:c r="F4" s="14" t="str">
        <x:v>Due date</x:v>
      </x:c>
    </x:row>
    <x:row r="5" ht="30" customHeight="1">
      <x:c r="A5" s="33" t="str">
        <x:v>Q-SYN-101</x:v>
      </x:c>
      <x:c r="B5" s="34" t="str">
        <x:v>Endpoint</x:v>
      </x:c>
      <x:c r="C5" s="34" t="str">
        <x:v>Aggregate endpoint evidence note needs linkage</x:v>
      </x:c>
      <x:c r="D5" s="34" t="str">
        <x:v>High</x:v>
      </x:c>
      <x:c r="E5" s="34" t="str">
        <x:v>Endpoint reviewer</x:v>
      </x:c>
      <x:c r="F5" s="42" t="n">
        <x:v>46268</x:v>
      </x:c>
    </x:row>
    <x:row r="6" ht="30" customHeight="1">
      <x:c r="A6" s="36" t="str">
        <x:v>Q-SYN-102</x:v>
      </x:c>
      <x:c r="B6" s="37" t="str">
        <x:v>Threshold</x:v>
      </x:c>
      <x:c r="C6" s="37" t="str">
        <x:v>2.5 mg wording needs confirmation in review pack</x:v>
      </x:c>
      <x:c r="D6" s="37" t="str">
        <x:v>Medium</x:v>
      </x:c>
      <x:c r="E6" s="37" t="str">
        <x:v>Protocol lead</x:v>
      </x:c>
      <x:c r="F6" s="43" t="n">
        <x:v>46268</x:v>
      </x:c>
    </x:row>
    <x:row r="7" ht="30" customHeight="1">
      <x:c r="A7" s="36" t="str">
        <x:v>Q-SYN-103</x:v>
      </x:c>
      <x:c r="B7" s="37" t="str">
        <x:v>Safety</x:v>
      </x:c>
      <x:c r="C7" s="37" t="str">
        <x:v>AE-SYN-014 owner confirmation pending</x:v>
      </x:c>
      <x:c r="D7" s="37" t="str">
        <x:v>High</x:v>
      </x:c>
      <x:c r="E7" s="37" t="str">
        <x:v>Safety reviewer</x:v>
      </x:c>
      <x:c r="F7" s="43" t="n">
        <x:v>46269</x:v>
      </x:c>
    </x:row>
    <x:row r="8" ht="30" customHeight="1">
      <x:c r="A8" s="39" t="str">
        <x:v>Q-SYN-104</x:v>
      </x:c>
      <x:c r="B8" s="40" t="str">
        <x:v>Safety</x:v>
      </x:c>
      <x:c r="C8" s="40" t="str">
        <x:v>AE-SYN-022 closure rationale pending</x:v>
      </x:c>
      <x:c r="D8" s="40" t="str">
        <x:v>Medium</x:v>
      </x:c>
      <x:c r="E8" s="40" t="str">
        <x:v>Data reviewer</x:v>
      </x:c>
      <x:c r="F8" s="44" t="n">
        <x:v>46269</x:v>
      </x:c>
    </x:row>
    <x:row r="10">
      <x:c r="A10" s="8" t="str">
        <x:v>Review summary</x:v>
      </x:c>
      <x:c r="B10" s="8"/>
      <x:c r="C10" s="8"/>
    </x:row>
    <x:row r="11">
      <x:c r="A11" s="46" t="str">
        <x:v>Open queries</x:v>
      </x:c>
      <x:c r="B11" s="45"/>
      <x:c r="C11" s="49" t="n">
        <x:f>COUNTA(A5:A8)</x:f>
        <x:v>4</x:v>
      </x:c>
    </x:row>
    <x:row r="12">
      <x:c r="A12" s="46" t="str">
        <x:v>High priority</x:v>
      </x:c>
      <x:c r="B12" s="45"/>
      <x:c r="C12" s="49" t="n">
        <x:f>COUNTIF(D5:D8,"High")</x:f>
        <x:v>2</x:v>
      </x:c>
    </x:row>
    <x:row r="13">
      <x:c r="A13" s="46" t="str">
        <x:v>Safety follow-ups</x:v>
      </x:c>
      <x:c r="B13" s="45"/>
      <x:c r="C13" s="49" t="n">
        <x:f>COUNTIF(B5:B8,"Safety")</x:f>
        <x:v>2</x:v>
      </x:c>
    </x:row>
    <x:row r="14">
      <x:c r="A14" s="46" t="str">
        <x:v>Cohort</x:v>
      </x:c>
      <x:c r="B14" s="45" t="n">
        <x:v>48</x:v>
      </x:c>
      <x:c r="C14" s="49" t="n">
        <x:f>B14</x:f>
        <x:v>48</x:v>
      </x:c>
    </x:row>
    <x:row r="16">
      <x:c r="A16" s="52" t="str">
        <x:v>Synthetic training workspace: no PHI, no credentials, and no production clinical-system content.</x:v>
      </x:c>
      <x:c r="B16" s="52"/>
      <x:c r="C16" s="52"/>
      <x:c r="D16" s="52"/>
      <x:c r="E16" s="52"/>
      <x:c r="F16" s="52"/>
    </x:row>
  </x:sheetData>
  <x:mergeCells>
    <x:mergeCell ref="A1:F1"/>
    <x:mergeCell ref="A2:F2"/>
    <x:mergeCell ref="A10:C10"/>
    <x:mergeCell ref="A16:F16"/>
  </x:mergeCells>
  <x:pageMargins left="0.7" right="0.7" top="0.75" bottom="0.75" header="0.3" footer="0.3"/>
</x:worksheet>
</file>