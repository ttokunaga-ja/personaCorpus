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29fec64fdf44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fety Dashboard" sheetId="1" r:id="R943ff46fac3c47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4546A"/>
      <x:name val="Carlito"/>
    </x:font>
    <x:font>
      <x:b/>
      <x:sz val="11"/>
      <x:color rgb="FF17365D"/>
      <x:name val="Carlito"/>
    </x:font>
    <x:font>
      <x:b/>
      <x:sz val="11"/>
      <x:color rgb="FF375623"/>
      <x:name val="Carlito"/>
    </x:font>
    <x:font>
      <x:b/>
      <x:sz val="11"/>
      <x:color rgb="FF7F6000"/>
      <x:name val="Carlito"/>
    </x:font>
    <x:font>
      <x:i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17b622e6f94ac0" /><Relationship Type="http://schemas.openxmlformats.org/officeDocument/2006/relationships/theme" Target="/xl/theme/theme1.xml" Id="R7fc37f90f3c24b9c" /><Relationship Type="http://schemas.openxmlformats.org/officeDocument/2006/relationships/sharedStrings" Target="/xl/sharedStrings.xml" Id="R0479ae3559524dd2" /><Relationship Type="http://schemas.openxmlformats.org/officeDocument/2006/relationships/worksheet" Target="/xl/worksheets/sheet1.xml" Id="R943ff46fac3c47f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fd712ac61334ad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AE severity distribution</a:t>
            </a:r>
          </a:p>
        </c:rich>
      </c:tx>
      <c:overlay val="0"/>
    </c:title>
    <c:plotArea>
      <c:doughnutChart>
        <c:ser>
          <c:idx val="0"/>
          <c:order val="0"/>
          <c:tx>
            <c:v>Count</c:v>
          </c:tx>
          <c:cat>
            <c:strRef>
              <c:f>'Safety Dashboard'!$D$5:$D$6</c:f>
              <c:strCache>
                <c:ptCount val="0"/>
              </c:strCache>
            </c:strRef>
          </c:cat>
          <c:val>
            <c:numRef>
              <c:f>'Safety Dashboard'!$E$5:$E$6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d712ac61334a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1259e96fde348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4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  <x:col min="7" max="7" width="16" hidden="0" customWidth="1"/>
    <x:col min="8" max="8" width="3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</x:cols>
  <x:sheetData>
    <x:row r="1" ht="19.200000762939453" hidden="0" customHeight="1">
      <x:c r="A1" s="4" t="str">
        <x:v>Study Alpha Synthetic Safety Review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15" hidden="0" customHeight="1">
      <x:c r="A2" s="7" t="str">
        <x:v>Sakura Clinical Study Alpha 2026 | Synthetic safety snapshot | Data cut: 2026-09-02 | Cohort: 48 | Protocol review threshold: 2.5 mg (not medical advice)</x:v>
      </x:c>
      <x:c r="B2" s="7" t="str">
        <x:v>Sakura Clinical Study Alpha 2026 | Synthetic safety snapshot | Data cut: 2026-09-02 | Cohort: 48 | Protocol review threshold: 2.5 mg (not medical advice)</x:v>
      </x:c>
      <x:c r="C2" s="7" t="str">
        <x:v>Sakura Clinical Study Alpha 2026 | Synthetic safety snapshot | Data cut: 2026-09-02 | Cohort: 48 | Protocol review threshold: 2.5 mg (not medical advice)</x:v>
      </x:c>
      <x:c r="D2" s="7" t="str">
        <x:v>Sakura Clinical Study Alpha 2026 | Synthetic safety snapshot | Data cut: 2026-09-02 | Cohort: 48 | Protocol review threshold: 2.5 mg (not medical advice)</x:v>
      </x:c>
      <x:c r="E2" s="7" t="str">
        <x:v>Sakura Clinical Study Alpha 2026 | Synthetic safety snapshot | Data cut: 2026-09-02 | Cohort: 48 | Protocol review threshold: 2.5 mg (not medical advice)</x:v>
      </x:c>
      <x:c r="F2" s="7" t="str">
        <x:v>Sakura Clinical Study Alpha 2026 | Synthetic safety snapshot | Data cut: 2026-09-02 | Cohort: 48 | Protocol review threshold: 2.5 mg (not medical advice)</x:v>
      </x:c>
      <x:c r="G2" s="7" t="str">
        <x:v>Sakura Clinical Study Alpha 2026 | Synthetic safety snapshot | Data cut: 2026-09-02 | Cohort: 48 | Protocol review threshold: 2.5 mg (not medical advice)</x:v>
      </x:c>
      <x:c r="H2" s="7" t="str">
        <x:v>Sakura Clinical Study Alpha 2026 | Synthetic safety snapshot | Data cut: 2026-09-02 | Cohort: 48 | Protocol review threshold: 2.5 mg (not medical advice)</x:v>
      </x:c>
      <x:c r="I2" s="7" t="str">
        <x:v>Sakura Clinical Study Alpha 2026 | Synthetic safety snapshot | Data cut: 2026-09-02 | Cohort: 48 | Protocol review threshold: 2.5 mg (not medical advice)</x:v>
      </x:c>
      <x:c r="J2" s="7" t="str">
        <x:v>Sakura Clinical Study Alpha 2026 | Synthetic safety snapshot | Data cut: 2026-09-02 | Cohort: 48 | Protocol review threshold: 2.5 mg (not medical advice)</x:v>
      </x:c>
    </x:row>
    <x:row r="3"/>
    <x:row r="4" ht="15" hidden="0" customHeight="1">
      <x:c r="A4" s="13" t="str">
        <x:v>Key measure</x:v>
      </x:c>
      <x:c r="B4" s="13" t="str">
        <x:v>Value</x:v>
      </x:c>
      <x:c r="D4" s="13" t="str">
        <x:v>Severity</x:v>
      </x:c>
      <x:c r="E4" s="13" t="str">
        <x:v>Count</x:v>
      </x:c>
      <x:c r="F4" s="13" t="str">
        <x:v>Share</x:v>
      </x:c>
    </x:row>
    <x:row r="5" ht="15" hidden="0" customHeight="1">
      <x:c r="A5" t="str">
        <x:v>Cohort</x:v>
      </x:c>
      <x:c r="B5" t="n">
        <x:f>48</x:f>
        <x:v>48</x:v>
      </x:c>
      <x:c r="D5" t="str">
        <x:v>Mild</x:v>
      </x:c>
      <x:c r="E5" t="n">
        <x:v>6</x:v>
      </x:c>
      <x:c r="F5" s="14" t="n">
        <x:f>E5/$B$6</x:f>
        <x:v>0.8571428571428571</x:v>
      </x:c>
    </x:row>
    <x:row r="6" ht="15" hidden="0" customHeight="1">
      <x:c r="A6" t="str">
        <x:v>Total AEs</x:v>
      </x:c>
      <x:c r="B6" t="n">
        <x:f>7</x:f>
        <x:v>7</x:v>
      </x:c>
      <x:c r="D6" t="str">
        <x:v>Moderate</x:v>
      </x:c>
      <x:c r="E6" t="n">
        <x:v>1</x:v>
      </x:c>
      <x:c r="F6" s="14" t="n">
        <x:f>E6/$B$6</x:f>
        <x:v>0.14285714285714285</x:v>
      </x:c>
    </x:row>
    <x:row r="7" ht="15" hidden="0" customHeight="1">
      <x:c r="A7" t="str">
        <x:v>Non-serious AEs</x:v>
      </x:c>
      <x:c r="B7" t="n">
        <x:f>7</x:f>
        <x:v>7</x:v>
      </x:c>
    </x:row>
    <x:row r="8" ht="15" hidden="0" customHeight="1">
      <x:c r="A8" t="str">
        <x:v>SAEs</x:v>
      </x:c>
      <x:c r="B8" t="n">
        <x:f>0</x:f>
        <x:v>0</x:v>
      </x:c>
    </x:row>
    <x:row r="9" ht="15" hidden="0" customHeight="1">
      <x:c r="A9" t="str">
        <x:v>Participants with AE</x:v>
      </x:c>
      <x:c r="B9" t="n">
        <x:f>6</x:f>
        <x:v>6</x:v>
      </x:c>
    </x:row>
    <x:row r="10" ht="15" hidden="0" customHeight="1">
      <x:c r="A10" t="str">
        <x:v>AE incidence proportion</x:v>
      </x:c>
      <x:c r="B10" s="14" t="n">
        <x:f>B9/B5</x:f>
        <x:v>0.125</x:v>
      </x:c>
    </x:row>
    <x:row r="11"/>
    <x:row r="12"/>
    <x:row r="13" ht="15" hidden="0" customHeight="1">
      <x:c r="A13" s="17" t="str">
        <x:v>Control check: totals reconcile to seven non-serious AEs across six synthetic participants; zero SAEs.</x:v>
      </x:c>
      <x:c r="B13" s="17"/>
      <x:c r="C13" s="17"/>
      <x:c r="D13" s="17"/>
      <x:c r="E13" s="17"/>
      <x:c r="F13" s="17"/>
    </x:row>
    <x:row r="14"/>
    <x:row r="15" ht="15" hidden="0" customHeight="1">
      <x:c r="A15" s="19" t="str">
        <x:v>Protocol review threshold</x:v>
      </x:c>
      <x:c r="B15" s="19" t="str">
        <x:v>2.5 mg</x:v>
      </x:c>
    </x:row>
    <x:row r="16" ht="26.399999618530273" hidden="0" customHeight="1">
      <x:c r="A16" s="21" t="str">
        <x:v>For synthetic study operations only. This threshold is not medical advice and no clinical decision should be made from this dashboard.</x:v>
      </x:c>
      <x:c r="B16" s="21"/>
      <x:c r="C16" s="21"/>
      <x:c r="D16" s="21"/>
      <x:c r="E16" s="21"/>
      <x:c r="F16" s="21"/>
    </x:row>
    <x:row r="17"/>
    <x:row r="18"/>
    <x:row r="19"/>
    <x:row r="20"/>
    <x:row r="21"/>
    <x:row r="22"/>
    <x:row r="23"/>
    <x:row r="24"/>
  </x:sheetData>
  <x:mergeCells>
    <x:mergeCell ref="A1:J1"/>
    <x:mergeCell ref="A2:J2"/>
    <x:mergeCell ref="A13:F13"/>
    <x:mergeCell ref="A16:F16"/>
  </x:mergeCells>
  <x:pageMargins left="0.7" right="0.7" top="0.75" bottom="0.75" header="0.3" footer="0.3"/>
  <x:drawing xmlns:r="http://schemas.openxmlformats.org/officeDocument/2006/relationships" r:id="R01259e96fde34882"/>
</x:worksheet>
</file>