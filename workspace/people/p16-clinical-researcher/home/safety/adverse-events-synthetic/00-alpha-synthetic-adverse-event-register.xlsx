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81e1689af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 Register" sheetId="1" r:id="Rdd96f509bce9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ad32b2c374f16" /><Relationship Type="http://schemas.openxmlformats.org/officeDocument/2006/relationships/theme" Target="/xl/theme/theme1.xml" Id="R641c48f6ca9e4125" /><Relationship Type="http://schemas.openxmlformats.org/officeDocument/2006/relationships/sharedStrings" Target="/xl/sharedStrings.xml" Id="R37df38dfea6141ac" /><Relationship Type="http://schemas.openxmlformats.org/officeDocument/2006/relationships/worksheet" Target="/xl/worksheets/sheet1.xml" Id="Rdd96f509bce945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3" hidden="0" customWidth="1"/>
    <x:col min="4" max="4" width="26" hidden="0" customWidth="1"/>
    <x:col min="5" max="5" width="13" hidden="0" customWidth="1"/>
    <x:col min="6" max="6" width="13" hidden="0" customWidth="1"/>
    <x:col min="7" max="7" width="11" hidden="0" customWidth="1"/>
    <x:col min="8" max="8" width="13" hidden="0" customWidth="1"/>
    <x:col min="9" max="9" width="13" hidden="0" customWidth="1"/>
    <x:col min="10" max="10" width="22" hidden="0" customWidth="1"/>
    <x:col min="12" max="12" width="22" hidden="0" customWidth="1"/>
    <x:col min="13" max="13" width="22" hidden="0" customWidth="1"/>
  </x:cols>
  <x:sheetData>
    <x:row r="1" ht="19.200000762939453" hidden="0" customHeight="1">
      <x:c r="A1" s="4" t="str">
        <x:v>Synthetic Adverse Event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7" t="str">
        <x:v>Sakura Clinical Study Alpha 2026 | Synthetic safety snapshot | Data cut: 2026-09-02 | Cohort: 48 | Protocol review threshold: 2.5 mg (not medical advice)</x:v>
      </x:c>
      <x:c r="B2" s="7" t="str">
        <x:v>Sakura Clinical Study Alpha 2026 | Synthetic safety snapshot | Data cut: 2026-09-02 | Cohort: 48 | Protocol review threshold: 2.5 mg (not medical advice)</x:v>
      </x:c>
      <x:c r="C2" s="7" t="str">
        <x:v>Sakura Clinical Study Alpha 2026 | Synthetic safety snapshot | Data cut: 2026-09-02 | Cohort: 48 | Protocol review threshold: 2.5 mg (not medical advice)</x:v>
      </x:c>
      <x:c r="D2" s="7" t="str">
        <x:v>Sakura Clinical Study Alpha 2026 | Synthetic safety snapshot | Data cut: 2026-09-02 | Cohort: 48 | Protocol review threshold: 2.5 mg (not medical advice)</x:v>
      </x:c>
      <x:c r="E2" s="7" t="str">
        <x:v>Sakura Clinical Study Alpha 2026 | Synthetic safety snapshot | Data cut: 2026-09-02 | Cohort: 48 | Protocol review threshold: 2.5 mg (not medical advice)</x:v>
      </x:c>
      <x:c r="F2" s="7" t="str">
        <x:v>Sakura Clinical Study Alpha 2026 | Synthetic safety snapshot | Data cut: 2026-09-02 | Cohort: 48 | Protocol review threshold: 2.5 mg (not medical advice)</x:v>
      </x:c>
      <x:c r="G2" s="7" t="str">
        <x:v>Sakura Clinical Study Alpha 2026 | Synthetic safety snapshot | Data cut: 2026-09-02 | Cohort: 48 | Protocol review threshold: 2.5 mg (not medical advice)</x:v>
      </x:c>
      <x:c r="H2" s="7" t="str">
        <x:v>Sakura Clinical Study Alpha 2026 | Synthetic safety snapshot | Data cut: 2026-09-02 | Cohort: 48 | Protocol review threshold: 2.5 mg (not medical advice)</x:v>
      </x:c>
      <x:c r="I2" s="7" t="str">
        <x:v>Sakura Clinical Study Alpha 2026 | Synthetic safety snapshot | Data cut: 2026-09-02 | Cohort: 48 | Protocol review threshold: 2.5 mg (not medical advice)</x:v>
      </x:c>
      <x:c r="J2" s="7" t="str">
        <x:v>Sakura Clinical Study Alpha 2026 | Synthetic safety snapshot | Data cut: 2026-09-02 | Cohort: 48 | Protocol review threshold: 2.5 mg (not medical advice)</x:v>
      </x:c>
    </x:row>
    <x:row r="3"/>
    <x:row r="4" ht="15" hidden="0" customHeight="1">
      <x:c r="A4" s="13" t="str">
        <x:v>Case ID</x:v>
      </x:c>
      <x:c r="B4" s="13" t="str">
        <x:v>Synthetic participant</x:v>
      </x:c>
      <x:c r="C4" s="13" t="str">
        <x:v>Onset</x:v>
      </x:c>
      <x:c r="D4" s="13" t="str">
        <x:v>Preferred term</x:v>
      </x:c>
      <x:c r="E4" s="13" t="str">
        <x:v>Severity</x:v>
      </x:c>
      <x:c r="F4" s="13" t="str">
        <x:v>Outcome</x:v>
      </x:c>
      <x:c r="G4" s="13" t="str">
        <x:v>Serious</x:v>
      </x:c>
      <x:c r="H4" s="13" t="str">
        <x:v>Unexpected</x:v>
      </x:c>
      <x:c r="I4" s="13" t="str">
        <x:v>Data class</x:v>
      </x:c>
      <x:c r="J4" s="13" t="str">
        <x:v>Study action</x:v>
      </x:c>
      <x:c r="L4" s="13" t="str">
        <x:v>Control</x:v>
      </x:c>
      <x:c r="M4" s="13" t="str">
        <x:v>Formula result</x:v>
      </x:c>
    </x:row>
    <x:row r="5" ht="15" hidden="0" customHeight="1">
      <x:c r="A5" s="32" t="str">
        <x:v>AE-ALPHA-001</x:v>
      </x:c>
      <x:c r="B5" s="33" t="str">
        <x:v>SYN-ALPHA-01</x:v>
      </x:c>
      <x:c r="C5" s="41" t="str">
        <x:v>2026-08-04</x:v>
      </x:c>
      <x:c r="D5" s="33" t="str">
        <x:v>Headache</x:v>
      </x:c>
      <x:c r="E5" s="33" t="str">
        <x:v>Mild</x:v>
      </x:c>
      <x:c r="F5" s="33" t="str">
        <x:v>Resolved</x:v>
      </x:c>
      <x:c r="G5" s="33" t="str">
        <x:v>No</x:v>
      </x:c>
      <x:c r="H5" s="33" t="str">
        <x:v>No</x:v>
      </x:c>
      <x:c r="I5" s="33" t="str">
        <x:v>Synthetic</x:v>
      </x:c>
      <x:c r="J5" s="34" t="str">
        <x:v>No action</x:v>
      </x:c>
      <x:c r="L5" t="str">
        <x:v>AE total</x:v>
      </x:c>
      <x:c r="M5" t="n">
        <x:f>COUNTA(A5:A11)</x:f>
        <x:v>7</x:v>
      </x:c>
    </x:row>
    <x:row r="6" ht="15" hidden="0" customHeight="1">
      <x:c r="A6" s="35" t="str">
        <x:v>AE-ALPHA-002</x:v>
      </x:c>
      <x:c r="B6" s="36" t="str">
        <x:v>SYN-ALPHA-02</x:v>
      </x:c>
      <x:c r="C6" s="42" t="str">
        <x:v>2026-08-11</x:v>
      </x:c>
      <x:c r="D6" s="36" t="str">
        <x:v>Nausea</x:v>
      </x:c>
      <x:c r="E6" s="36" t="str">
        <x:v>Mild</x:v>
      </x:c>
      <x:c r="F6" s="36" t="str">
        <x:v>Resolved</x:v>
      </x:c>
      <x:c r="G6" s="36" t="str">
        <x:v>No</x:v>
      </x:c>
      <x:c r="H6" s="36" t="str">
        <x:v>No</x:v>
      </x:c>
      <x:c r="I6" s="36" t="str">
        <x:v>Synthetic</x:v>
      </x:c>
      <x:c r="J6" s="37" t="str">
        <x:v>No action</x:v>
      </x:c>
      <x:c r="L6" t="str">
        <x:v>SAE total</x:v>
      </x:c>
      <x:c r="M6" t="n">
        <x:f>COUNTIF(G5:G11,"Yes")</x:f>
        <x:v>0</x:v>
      </x:c>
    </x:row>
    <x:row r="7" ht="15" hidden="0" customHeight="1">
      <x:c r="A7" s="35" t="str">
        <x:v>AE-ALPHA-003</x:v>
      </x:c>
      <x:c r="B7" s="36" t="str">
        <x:v>SYN-ALPHA-03</x:v>
      </x:c>
      <x:c r="C7" s="42" t="str">
        <x:v>2026-08-15</x:v>
      </x:c>
      <x:c r="D7" s="36" t="str">
        <x:v>Injection-site discomfort</x:v>
      </x:c>
      <x:c r="E7" s="36" t="str">
        <x:v>Mild</x:v>
      </x:c>
      <x:c r="F7" s="36" t="str">
        <x:v>Resolved</x:v>
      </x:c>
      <x:c r="G7" s="36" t="str">
        <x:v>No</x:v>
      </x:c>
      <x:c r="H7" s="36" t="str">
        <x:v>No</x:v>
      </x:c>
      <x:c r="I7" s="36" t="str">
        <x:v>Synthetic</x:v>
      </x:c>
      <x:c r="J7" s="37" t="str">
        <x:v>Site care reviewed</x:v>
      </x:c>
      <x:c r="L7" t="str">
        <x:v>Distinct participants</x:v>
      </x:c>
      <x:c r="M7" t="n">
        <x:f>COUNTA(_xlfn.UNIQUE(B5:B11))</x:f>
        <x:v>6</x:v>
      </x:c>
    </x:row>
    <x:row r="8" ht="15" hidden="0" customHeight="1">
      <x:c r="A8" s="35" t="str">
        <x:v>AE-ALPHA-004</x:v>
      </x:c>
      <x:c r="B8" s="36" t="str">
        <x:v>SYN-ALPHA-03</x:v>
      </x:c>
      <x:c r="C8" s="42" t="str">
        <x:v>2026-08-18</x:v>
      </x:c>
      <x:c r="D8" s="36" t="str">
        <x:v>Fatigue</x:v>
      </x:c>
      <x:c r="E8" s="36" t="str">
        <x:v>Mild</x:v>
      </x:c>
      <x:c r="F8" s="36" t="str">
        <x:v>Resolved</x:v>
      </x:c>
      <x:c r="G8" s="36" t="str">
        <x:v>No</x:v>
      </x:c>
      <x:c r="H8" s="36" t="str">
        <x:v>No</x:v>
      </x:c>
      <x:c r="I8" s="36" t="str">
        <x:v>Synthetic</x:v>
      </x:c>
      <x:c r="J8" s="37" t="str">
        <x:v>No action</x:v>
      </x:c>
      <x:c r="L8" t="str">
        <x:v>Cohort</x:v>
      </x:c>
      <x:c r="M8" t="n">
        <x:f>48</x:f>
        <x:v>48</x:v>
      </x:c>
    </x:row>
    <x:row r="9" ht="15" hidden="0" customHeight="1">
      <x:c r="A9" s="35" t="str">
        <x:v>AE-ALPHA-005</x:v>
      </x:c>
      <x:c r="B9" s="36" t="str">
        <x:v>SYN-ALPHA-04</x:v>
      </x:c>
      <x:c r="C9" s="42" t="str">
        <x:v>2026-08-22</x:v>
      </x:c>
      <x:c r="D9" s="36" t="str">
        <x:v>Dizziness</x:v>
      </x:c>
      <x:c r="E9" s="36" t="str">
        <x:v>Moderate</x:v>
      </x:c>
      <x:c r="F9" s="36" t="str">
        <x:v>Resolved</x:v>
      </x:c>
      <x:c r="G9" s="36" t="str">
        <x:v>No</x:v>
      </x:c>
      <x:c r="H9" s="36" t="str">
        <x:v>No</x:v>
      </x:c>
      <x:c r="I9" s="36" t="str">
        <x:v>Synthetic</x:v>
      </x:c>
      <x:c r="J9" s="37" t="str">
        <x:v>Temporary observation</x:v>
      </x:c>
    </x:row>
    <x:row r="10" ht="15" hidden="0" customHeight="1">
      <x:c r="A10" s="35" t="str">
        <x:v>AE-ALPHA-006</x:v>
      </x:c>
      <x:c r="B10" s="36" t="str">
        <x:v>SYN-ALPHA-05</x:v>
      </x:c>
      <x:c r="C10" s="42" t="str">
        <x:v>2026-08-26</x:v>
      </x:c>
      <x:c r="D10" s="36" t="str">
        <x:v>Rash</x:v>
      </x:c>
      <x:c r="E10" s="36" t="str">
        <x:v>Mild</x:v>
      </x:c>
      <x:c r="F10" s="36" t="str">
        <x:v>Resolving</x:v>
      </x:c>
      <x:c r="G10" s="36" t="str">
        <x:v>No</x:v>
      </x:c>
      <x:c r="H10" s="36" t="str">
        <x:v>No</x:v>
      </x:c>
      <x:c r="I10" s="36" t="str">
        <x:v>Synthetic</x:v>
      </x:c>
      <x:c r="J10" s="37" t="str">
        <x:v>No action</x:v>
      </x:c>
      <x:c r="L10" s="46" t="str">
        <x:v>Reconciliation</x:v>
      </x:c>
      <x:c r="M10" s="46" t="str">
        <x:v>PASS if 7 AEs / 0 SAEs</x:v>
      </x:c>
    </x:row>
    <x:row r="11" ht="15" hidden="0" customHeight="1">
      <x:c r="A11" s="38" t="str">
        <x:v>AE-ALPHA-007</x:v>
      </x:c>
      <x:c r="B11" s="39" t="str">
        <x:v>SYN-ALPHA-06</x:v>
      </x:c>
      <x:c r="C11" s="43" t="str">
        <x:v>2026-08-30</x:v>
      </x:c>
      <x:c r="D11" s="39" t="str">
        <x:v>Diarrhea</x:v>
      </x:c>
      <x:c r="E11" s="39" t="str">
        <x:v>Mild</x:v>
      </x:c>
      <x:c r="F11" s="39" t="str">
        <x:v>Resolved</x:v>
      </x:c>
      <x:c r="G11" s="39" t="str">
        <x:v>No</x:v>
      </x:c>
      <x:c r="H11" s="39" t="str">
        <x:v>No</x:v>
      </x:c>
      <x:c r="I11" s="39" t="str">
        <x:v>Synthetic</x:v>
      </x:c>
      <x:c r="J11" s="40" t="str">
        <x:v>No action</x:v>
      </x:c>
      <x:c r="M11" s="45" t="str">
        <x:f>IF(AND(M5=7,M6=0,M7=6,M8=48),"PASS","CHECK")</x:f>
        <x:v>PASS</x:v>
      </x:c>
    </x:row>
    <x:row r="12"/>
    <x:row r="13"/>
    <x:row r="14"/>
    <x:row r="15"/>
    <x:row r="16"/>
    <x:row r="17"/>
    <x:row r="18"/>
    <x:row r="19"/>
    <x:row r="20"/>
  </x:sheetData>
  <x:mergeCells>
    <x:mergeCell ref="A1:J1"/>
    <x:mergeCell ref="A2:J2"/>
  </x:mergeCells>
  <x:pageMargins left="0.7" right="0.7" top="0.75" bottom="0.75" header="0.3" footer="0.3"/>
</x:worksheet>
</file>