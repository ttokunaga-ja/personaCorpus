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630d08673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50e204e714fa4f8a"/>
    <x:sheet xmlns:r="http://schemas.openxmlformats.org/officeDocument/2006/relationships" name="Query Tracker" sheetId="2" r:id="R526edcb6d8974c4c"/>
    <x:sheet xmlns:r="http://schemas.openxmlformats.org/officeDocument/2006/relationships" name="Codebook" sheetId="3" r:id="R3290654a185b43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i/>
      <x:sz val="11"/>
      <x:color rgb="FF5C43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3"/>
      </x:patternFill>
    </x:fill>
    <x:fill>
      <x:patternFill patternType="solid">
        <x:fgColor rgb="FF237A7B"/>
      </x:patternFill>
    </x:fill>
    <x:fill>
      <x:patternFill patternType="solid">
        <x:fgColor rgb="FFFFF4D6"/>
      </x:patternFill>
    </x:fill>
  </x:fills>
  <x:borders count="16">
    <x:border/>
    <x:border>
      <x:left style="thin">
        <x:color rgb="FFB7C7CC"/>
      </x:left>
      <x:top style="thin">
        <x:color rgb="FFB7C7CC"/>
      </x:top>
    </x:border>
    <x:border>
      <x:right style="thin">
        <x:color rgb="FFB7C7CC"/>
      </x:right>
      <x:top style="thin">
        <x:color rgb="FFB7C7CC"/>
      </x:top>
    </x:border>
    <x:border>
      <x:left style="thin">
        <x:color rgb="FFB7C7CC"/>
      </x:left>
    </x:border>
    <x:border>
      <x:right style="thin">
        <x:color rgb="FFB7C7CC"/>
      </x:right>
    </x:border>
    <x:border>
      <x:left style="thin">
        <x:color rgb="FFB7C7CC"/>
      </x:left>
      <x:bottom style="thin">
        <x:color rgb="FFB7C7CC"/>
      </x:bottom>
    </x:border>
    <x:border>
      <x:right style="thin">
        <x:color rgb="FFB7C7CC"/>
      </x:right>
      <x:bottom style="thin">
        <x:color rgb="FFB7C7CC"/>
      </x:bottom>
    </x:border>
    <x:border>
      <x:right style="thin">
        <x:color rgb="FFD9E2E5"/>
      </x:right>
      <x:bottom style="thin">
        <x:color rgb="FFD9E2E5"/>
      </x:bottom>
    </x:border>
    <x:border>
      <x:left style="thin">
        <x:color rgb="FFD9E2E5"/>
      </x:left>
      <x:right style="thin">
        <x:color rgb="FFD9E2E5"/>
      </x:right>
      <x:bottom style="thin">
        <x:color rgb="FFD9E2E5"/>
      </x:bottom>
    </x:border>
    <x:border>
      <x:left style="thin">
        <x:color rgb="FFD9E2E5"/>
      </x:left>
      <x:bottom style="thin">
        <x:color rgb="FFD9E2E5"/>
      </x:bottom>
    </x:border>
    <x:border>
      <x:right style="thin">
        <x:color rgb="FFD9E2E5"/>
      </x:right>
      <x:top style="thin">
        <x:color rgb="FFD9E2E5"/>
      </x:top>
      <x:bottom style="thin">
        <x:color rgb="FFD9E2E5"/>
      </x:bottom>
    </x:border>
    <x:border>
      <x:left style="thin">
        <x:color rgb="FFD9E2E5"/>
      </x:left>
      <x:right style="thin">
        <x:color rgb="FFD9E2E5"/>
      </x:right>
      <x:top style="thin">
        <x:color rgb="FFD9E2E5"/>
      </x:top>
      <x:bottom style="thin">
        <x:color rgb="FFD9E2E5"/>
      </x:bottom>
    </x:border>
    <x:border>
      <x:left style="thin">
        <x:color rgb="FFD9E2E5"/>
      </x:left>
      <x:top style="thin">
        <x:color rgb="FFD9E2E5"/>
      </x:top>
      <x:bottom style="thin">
        <x:color rgb="FFD9E2E5"/>
      </x:bottom>
    </x:border>
    <x:border>
      <x:right style="thin">
        <x:color rgb="FFD9E2E5"/>
      </x:right>
      <x:top style="thin">
        <x:color rgb="FFD9E2E5"/>
      </x:top>
    </x:border>
    <x:border>
      <x:left style="thin">
        <x:color rgb="FFD9E2E5"/>
      </x:left>
      <x:right style="thin">
        <x:color rgb="FFD9E2E5"/>
      </x:right>
      <x:top style="thin">
        <x:color rgb="FFD9E2E5"/>
      </x:top>
    </x:border>
    <x:border>
      <x:left style="thin">
        <x:color rgb="FFD9E2E5"/>
      </x:left>
      <x:top style="thin">
        <x:color rgb="FFD9E2E5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DE2E1"/>
        </x:patternFill>
      </x:fill>
    </x:dxf>
    <x:dxf>
      <x:font>
        <x:color rgb="FF1C6B35"/>
      </x:font>
      <x:fill>
        <x:patternFill patternType="solid">
          <x:bgColor rgb="FFE0F0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86f2548aab4d3f" /><Relationship Type="http://schemas.openxmlformats.org/officeDocument/2006/relationships/theme" Target="/xl/theme/theme1.xml" Id="R2e3e482066a44777" /><Relationship Type="http://schemas.openxmlformats.org/officeDocument/2006/relationships/sharedStrings" Target="/xl/sharedStrings.xml" Id="R8fd38b3278674c16" /><Relationship Type="http://schemas.openxmlformats.org/officeDocument/2006/relationships/worksheet" Target="/xl/worksheets/sheet1.xml" Id="R50e204e714fa4f8a" /><Relationship Type="http://schemas.openxmlformats.org/officeDocument/2006/relationships/worksheet" Target="/xl/worksheets/sheet2.xml" Id="R526edcb6d8974c4c" /><Relationship Type="http://schemas.openxmlformats.org/officeDocument/2006/relationships/worksheet" Target="/xl/worksheets/sheet3.xml" Id="R3290654a185b43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32" hidden="0" customWidth="1"/>
    <x:col min="5" max="5" width="28" hidden="0" customWidth="1"/>
    <x:col min="6" max="6" width="18" hidden="0" customWidth="1"/>
    <x:col min="7" max="7" width="18" hidden="0" customWidth="1"/>
  </x:cols>
  <x:sheetData>
    <x:row r="1" ht="28" customHeight="1">
      <x:c r="A1" s="4" t="str">
        <x:v>Study Alpha 2026 - Synthetic Case Query Tracker</x:v>
      </x:c>
      <x:c r="B1" s="4"/>
      <x:c r="C1" s="4"/>
      <x:c r="D1" s="4"/>
      <x:c r="E1" s="4"/>
      <x:c r="F1" s="4"/>
      <x:c r="G1" s="4"/>
    </x:row>
    <x:row r="2">
      <x:c r="A2" s="7" t="str">
        <x:v>Sakura Clinical | Snapshot 2026-09-02 | Fully synthetic training dataset; no real PHI</x:v>
      </x:c>
      <x:c r="B2" s="7"/>
      <x:c r="C2" s="7"/>
      <x:c r="D2" s="7"/>
      <x:c r="E2" s="7"/>
      <x:c r="F2" s="7"/>
      <x:c r="G2" s="7"/>
    </x:row>
    <x:row r="4">
      <x:c r="A4" s="10" t="str">
        <x:v>Metric</x:v>
      </x:c>
      <x:c r="B4" s="11" t="str">
        <x:v>Value</x:v>
      </x:c>
      <x:c r="D4" s="10" t="str">
        <x:v>Outcome / safety checkpoint</x:v>
      </x:c>
      <x:c r="E4" s="11" t="str">
        <x:v>Synthetic review value</x:v>
      </x:c>
    </x:row>
    <x:row r="5">
      <x:c r="A5" s="12" t="str">
        <x:v>Synthetic cohort</x:v>
      </x:c>
      <x:c r="B5" s="16" t="n">
        <x:v>48</x:v>
      </x:c>
      <x:c r="D5" s="12" t="str">
        <x:v>Day-28 mean change: SC-A</x:v>
      </x:c>
      <x:c r="E5" s="13" t="str">
        <x:v>-4.8</x:v>
      </x:c>
    </x:row>
    <x:row r="6">
      <x:c r="A6" s="12" t="str">
        <x:v>SC-A 2.5 mg</x:v>
      </x:c>
      <x:c r="B6" s="16" t="n">
        <x:v>24</x:v>
      </x:c>
      <x:c r="D6" s="12" t="str">
        <x:v>Day-28 mean change: control</x:v>
      </x:c>
      <x:c r="E6" s="13" t="str">
        <x:v>-2.1</x:v>
      </x:c>
    </x:row>
    <x:row r="7">
      <x:c r="A7" s="12" t="str">
        <x:v>Matched control</x:v>
      </x:c>
      <x:c r="B7" s="16" t="n">
        <x:v>24</x:v>
      </x:c>
      <x:c r="D7" s="12" t="str">
        <x:v>Adjusted difference</x:v>
      </x:c>
      <x:c r="E7" s="13" t="str">
        <x:v>-2.7 (95% CI -4.1 to -1.3)</x:v>
      </x:c>
    </x:row>
    <x:row r="8">
      <x:c r="A8" s="12" t="str">
        <x:v>Open queries</x:v>
      </x:c>
      <x:c r="B8" s="16" t="n">
        <x:f>COUNTIF('Query Tracker'!$F$2:$F$9,"Open")</x:f>
        <x:v>2</x:v>
      </x:c>
      <x:c r="D8" s="12" t="str">
        <x:v>Non-serious synthetic AEs</x:v>
      </x:c>
      <x:c r="E8" s="13" t="str">
        <x:v>7 across 6 participants</x:v>
      </x:c>
    </x:row>
    <x:row r="9">
      <x:c r="A9" s="14" t="str">
        <x:v>Resolved queries</x:v>
      </x:c>
      <x:c r="B9" s="17" t="n">
        <x:f>COUNTIF('Query Tracker'!$F$2:$F$9,"Resolved")</x:f>
        <x:v>6</x:v>
      </x:c>
      <x:c r="D9" s="14" t="str">
        <x:v>SAEs</x:v>
      </x:c>
      <x:c r="E9" s="15" t="str">
        <x:v>0</x:v>
      </x:c>
    </x:row>
    <x:row r="11">
      <x:c r="A11" s="21" t="str">
        <x:v>Protocol note: 2.5 mg is a protocol review threshold in this synthetic scenario only. It is not clinical advice or a dosing instruction.</x:v>
      </x:c>
      <x:c r="B11" s="21"/>
      <x:c r="C11" s="21"/>
      <x:c r="D11" s="21"/>
      <x:c r="E11" s="21"/>
      <x:c r="F11" s="21"/>
      <x:c r="G11" s="21"/>
    </x:row>
    <x:row r="12">
      <x:c r="A12" s="21"/>
      <x:c r="B12" s="21"/>
      <x:c r="C12" s="21"/>
      <x:c r="D12" s="21"/>
      <x:c r="E12" s="21"/>
      <x:c r="F12" s="21"/>
      <x:c r="G12" s="21"/>
    </x:row>
  </x:sheetData>
  <x:mergeCells>
    <x:mergeCell ref="A1:G1"/>
    <x:mergeCell ref="A2:G2"/>
    <x:mergeCell ref="A11:G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5" hidden="0" customWidth="1"/>
    <x:col min="5" max="5" width="12" hidden="0" customWidth="1"/>
    <x:col min="6" max="6" width="12" hidden="0" customWidth="1"/>
    <x:col min="7" max="7" width="14" hidden="0" customWidth="1"/>
    <x:col min="8" max="8" width="40" hidden="0" customWidth="1"/>
  </x:cols>
  <x:sheetData>
    <x:row r="1">
      <x:c r="A1" s="25" t="str">
        <x:v>Query ID</x:v>
      </x:c>
      <x:c r="B1" s="26" t="str">
        <x:v>Synthetic ID</x:v>
      </x:c>
      <x:c r="C1" s="26" t="str">
        <x:v>Category</x:v>
      </x:c>
      <x:c r="D1" s="26" t="str">
        <x:v>Description</x:v>
      </x:c>
      <x:c r="E1" s="26" t="str">
        <x:v>Priority</x:v>
      </x:c>
      <x:c r="F1" s="26" t="str">
        <x:v>Status</x:v>
      </x:c>
      <x:c r="G1" s="26" t="str">
        <x:v>Opened</x:v>
      </x:c>
      <x:c r="H1" s="27" t="str">
        <x:v>Resolution note</x:v>
      </x:c>
    </x:row>
    <x:row r="2">
      <x:c r="A2" s="34" t="str">
        <x:v>Q-001</x:v>
      </x:c>
      <x:c r="B2" s="35" t="str">
        <x:v>ALPHA-SYN-001</x:v>
      </x:c>
      <x:c r="C2" s="35" t="str">
        <x:v>Safety</x:v>
      </x:c>
      <x:c r="D2" s="35" t="str">
        <x:v>Diary source absent at first import</x:v>
      </x:c>
      <x:c r="E2" s="35" t="str">
        <x:v>High</x:v>
      </x:c>
      <x:c r="F2" s="35" t="str">
        <x:v>Resolved</x:v>
      </x:c>
      <x:c r="G2" s="35" t="str">
        <x:v>2026-09-02</x:v>
      </x:c>
      <x:c r="H2" s="36" t="str">
        <x:v>Synthetic diary scan reconciled; no SAE.</x:v>
      </x:c>
    </x:row>
    <x:row r="3">
      <x:c r="A3" s="34" t="str">
        <x:v>Q-002</x:v>
      </x:c>
      <x:c r="B3" s="35" t="str">
        <x:v>ALPHA-SYN-006</x:v>
      </x:c>
      <x:c r="C3" s="35" t="str">
        <x:v>Visit timing</x:v>
      </x:c>
      <x:c r="D3" s="35" t="str">
        <x:v>Day-28 card image requires review</x:v>
      </x:c>
      <x:c r="E3" s="35" t="str">
        <x:v>Medium</x:v>
      </x:c>
      <x:c r="F3" s="35" t="str">
        <x:v>Open</x:v>
      </x:c>
      <x:c r="G3" s="35" t="str">
        <x:v>2026-09-02</x:v>
      </x:c>
      <x:c r="H3" s="36" t="str">
        <x:v>Synthetic scan available; awaiting reviewer sign-off.</x:v>
      </x:c>
    </x:row>
    <x:row r="4">
      <x:c r="A4" s="34" t="str">
        <x:v>Q-003</x:v>
      </x:c>
      <x:c r="B4" s="35" t="str">
        <x:v>ALPHA-SYN-014</x:v>
      </x:c>
      <x:c r="C4" s="35" t="str">
        <x:v>Outcome</x:v>
      </x:c>
      <x:c r="D4" s="35" t="str">
        <x:v>Narrative and index change cross-check</x:v>
      </x:c>
      <x:c r="E4" s="35" t="str">
        <x:v>Low</x:v>
      </x:c>
      <x:c r="F4" s="35" t="str">
        <x:v>Resolved</x:v>
      </x:c>
      <x:c r="G4" s="35" t="str">
        <x:v>2026-09-02</x:v>
      </x:c>
      <x:c r="H4" s="36" t="str">
        <x:v>Values agree in synthetic sources.</x:v>
      </x:c>
    </x:row>
    <x:row r="5">
      <x:c r="A5" s="34" t="str">
        <x:v>Q-004</x:v>
      </x:c>
      <x:c r="B5" s="35" t="str">
        <x:v>ALPHA-SYN-018</x:v>
      </x:c>
      <x:c r="C5" s="35" t="str">
        <x:v>Visit timing</x:v>
      </x:c>
      <x:c r="D5" s="35" t="str">
        <x:v>Visit card date field intentionally illegible</x:v>
      </x:c>
      <x:c r="E5" s="35" t="str">
        <x:v>Low</x:v>
      </x:c>
      <x:c r="F5" s="35" t="str">
        <x:v>Resolved</x:v>
      </x:c>
      <x:c r="G5" s="35" t="str">
        <x:v>2026-09-02</x:v>
      </x:c>
      <x:c r="H5" s="36" t="str">
        <x:v>Image-only training artifact; metadata reconciled.</x:v>
      </x:c>
    </x:row>
    <x:row r="6">
      <x:c r="A6" s="34" t="str">
        <x:v>Q-005</x:v>
      </x:c>
      <x:c r="B6" s="35" t="str">
        <x:v>ALPHA-SYN-027</x:v>
      </x:c>
      <x:c r="C6" s="35" t="str">
        <x:v>Safety</x:v>
      </x:c>
      <x:c r="D6" s="35" t="str">
        <x:v>AE classification completeness</x:v>
      </x:c>
      <x:c r="E6" s="35" t="str">
        <x:v>Medium</x:v>
      </x:c>
      <x:c r="F6" s="35" t="str">
        <x:v>Resolved</x:v>
      </x:c>
      <x:c r="G6" s="35" t="str">
        <x:v>2026-09-02</x:v>
      </x:c>
      <x:c r="H6" s="36" t="str">
        <x:v>Non-serious synthetic AE documented.</x:v>
      </x:c>
    </x:row>
    <x:row r="7">
      <x:c r="A7" s="34" t="str">
        <x:v>Q-006</x:v>
      </x:c>
      <x:c r="B7" s="35" t="str">
        <x:v>ALPHA-SYN-033</x:v>
      </x:c>
      <x:c r="C7" s="35" t="str">
        <x:v>Exposure</x:v>
      </x:c>
      <x:c r="D7" s="35" t="str">
        <x:v>Dose record scan source check</x:v>
      </x:c>
      <x:c r="E7" s="35" t="str">
        <x:v>Medium</x:v>
      </x:c>
      <x:c r="F7" s="35" t="str">
        <x:v>Open</x:v>
      </x:c>
      <x:c r="G7" s="35" t="str">
        <x:v>2026-09-02</x:v>
      </x:c>
      <x:c r="H7" s="36" t="str">
        <x:v>Synthetic scan ready for central review.</x:v>
      </x:c>
    </x:row>
    <x:row r="8">
      <x:c r="A8" s="34" t="str">
        <x:v>Q-007</x:v>
      </x:c>
      <x:c r="B8" s="35" t="str">
        <x:v>ALPHA-SYN-044</x:v>
      </x:c>
      <x:c r="C8" s="35" t="str">
        <x:v>Follow-up</x:v>
      </x:c>
      <x:c r="D8" s="35" t="str">
        <x:v>Follow-up note abstraction check</x:v>
      </x:c>
      <x:c r="E8" s="35" t="str">
        <x:v>Low</x:v>
      </x:c>
      <x:c r="F8" s="35" t="str">
        <x:v>Resolved</x:v>
      </x:c>
      <x:c r="G8" s="35" t="str">
        <x:v>2026-09-02</x:v>
      </x:c>
      <x:c r="H8" s="36" t="str">
        <x:v>Synthetic note reconciled.</x:v>
      </x:c>
    </x:row>
    <x:row r="9">
      <x:c r="A9" s="37" t="str">
        <x:v>Q-008</x:v>
      </x:c>
      <x:c r="B9" s="38" t="str">
        <x:v>ALPHA-SYN-048</x:v>
      </x:c>
      <x:c r="C9" s="38" t="str">
        <x:v>Closeout</x:v>
      </x:c>
      <x:c r="D9" s="38" t="str">
        <x:v>Final case packet complete</x:v>
      </x:c>
      <x:c r="E9" s="38" t="str">
        <x:v>Low</x:v>
      </x:c>
      <x:c r="F9" s="38" t="str">
        <x:v>Resolved</x:v>
      </x:c>
      <x:c r="G9" s="38" t="str">
        <x:v>2026-09-02</x:v>
      </x:c>
      <x:c r="H9" s="39" t="str">
        <x:v>No open synthetic queries.</x:v>
      </x:c>
    </x:row>
  </x:sheetData>
  <x:conditionalFormatting sqref="F2:F9">
    <x:cfRule type="containsText" dxfId="0" priority="1" operator="containsText" text="Open"/>
    <x:cfRule type="containsText" dxfId="1" priority="2" operator="containsText" text="Resolved"/>
  </x:conditionalFormatting>
  <x:dataValidations count="2">
    <x:dataValidation type="list" sqref="E2:E9">
      <x:formula1>"High,Medium,Low"</x:formula1>
    </x:dataValidation>
    <x:dataValidation type="list" sqref="F2:F9">
      <x:formula1>"Open,Resolved"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5" hidden="0" customWidth="1"/>
  </x:cols>
  <x:sheetData>
    <x:row r="1">
      <x:c r="A1" s="10" t="str">
        <x:v>Field</x:v>
      </x:c>
      <x:c r="B1" s="40" t="str">
        <x:v>Definition</x:v>
      </x:c>
    </x:row>
    <x:row r="2">
      <x:c r="A2" s="12" t="str">
        <x:v>Synthetic ID</x:v>
      </x:c>
      <x:c r="B2" s="41" t="str">
        <x:v>Wholly fictional Study Alpha participant identifier.</x:v>
      </x:c>
    </x:row>
    <x:row r="3">
      <x:c r="A3" s="12" t="str">
        <x:v>Priority</x:v>
      </x:c>
      <x:c r="B3" s="41" t="str">
        <x:v>Operational triage only; not clinical severity.</x:v>
      </x:c>
    </x:row>
    <x:row r="4">
      <x:c r="A4" s="12" t="str">
        <x:v>Status</x:v>
      </x:c>
      <x:c r="B4" s="41" t="str">
        <x:v>Open or Resolved research-operations query.</x:v>
      </x:c>
    </x:row>
    <x:row r="5">
      <x:c r="A5" s="12" t="str">
        <x:v>Snapshot</x:v>
      </x:c>
      <x:c r="B5" s="41" t="str">
        <x:v>2026-09-02 synthetic dataset snapshot.</x:v>
      </x:c>
    </x:row>
    <x:row r="6">
      <x:c r="A6" s="12" t="str">
        <x:v>2.5 mg</x:v>
      </x:c>
      <x:c r="B6" s="41" t="str">
        <x:v>Protocol review threshold, not clinical advice.</x:v>
      </x:c>
    </x:row>
    <x:row r="7">
      <x:c r="A7" s="14" t="str">
        <x:v>PHI</x:v>
      </x:c>
      <x:c r="B7" s="42" t="str">
        <x:v>No real PHI is included in this workbook.</x:v>
      </x:c>
    </x:row>
  </x:sheetData>
  <x:pageMargins left="0.7" right="0.7" top="0.75" bottom="0.75" header="0.3" footer="0.3"/>
</x:worksheet>
</file>