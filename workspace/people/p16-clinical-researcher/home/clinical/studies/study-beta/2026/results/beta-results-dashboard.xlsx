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86ccde81b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9ed627bd4494c75"/>
    <x:sheet xmlns:r="http://schemas.openxmlformats.org/officeDocument/2006/relationships" name="Analysis" sheetId="2" r:id="Rdd108a99b431473e"/>
    <x:sheet xmlns:r="http://schemas.openxmlformats.org/officeDocument/2006/relationships" name="Safety" sheetId="3" r:id="Rd04cc5de32f9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45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4F4"/>
      </x:patternFill>
    </x:fill>
    <x:fill>
      <x:patternFill patternType="solid">
        <x:fgColor rgb="FF168B8D"/>
      </x:patternFill>
    </x:fill>
  </x:fills>
  <x:borders count="2">
    <x:border/>
    <x:border>
      <x:left style="thin">
        <x:color rgb="FFB9CBD5"/>
      </x:left>
      <x:right style="thin">
        <x:color rgb="FFB9CBD5"/>
      </x:right>
      <x:top style="thin">
        <x:color rgb="FFB9CBD5"/>
      </x:top>
      <x:bottom style="thin">
        <x:color rgb="FFB9CBD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d68521fc74a31" /><Relationship Type="http://schemas.openxmlformats.org/officeDocument/2006/relationships/theme" Target="/xl/theme/theme1.xml" Id="Reae1515ea5c34fb5" /><Relationship Type="http://schemas.openxmlformats.org/officeDocument/2006/relationships/sharedStrings" Target="/xl/sharedStrings.xml" Id="Rfde0f94c3e79482f" /><Relationship Type="http://schemas.openxmlformats.org/officeDocument/2006/relationships/worksheet" Target="/xl/worksheets/sheet1.xml" Id="Re9ed627bd4494c75" /><Relationship Type="http://schemas.openxmlformats.org/officeDocument/2006/relationships/worksheet" Target="/xl/worksheets/sheet2.xml" Id="Rdd108a99b431473e" /><Relationship Type="http://schemas.openxmlformats.org/officeDocument/2006/relationships/worksheet" Target="/xl/worksheets/sheet3.xml" Id="Rd04cc5de32f9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6a2dc66e4a4e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 8 feasibility score change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change</c:v>
          </c:tx>
          <c:cat>
            <c:strRef>
              <c:f>'Dashboard'!$A$11:$A$12</c:f>
              <c:strCache>
                <c:ptCount val="0"/>
              </c:strCache>
            </c:strRef>
          </c:cat>
          <c:val>
            <c:numRef>
              <c:f>'Dashboard'!$B$11:$B$12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6a2dc66e4a4ef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006da3aa3e40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.22000122070312" hidden="0" customWidth="1"/>
    <x:col min="2" max="2" width="11" hidden="0" customWidth="1"/>
    <x:col min="3" max="3" width="9.890000343322754" hidden="0" customWidth="1"/>
    <x:col min="4" max="4" width="4.21999979019165" hidden="0" customWidth="1"/>
    <x:col min="6" max="6" width="18" hidden="0" customWidth="1"/>
    <x:col min="7" max="7" width="4.670000076293945" hidden="0" customWidth="1"/>
    <x:col min="8" max="8" width="15.5600004196167" hidden="0" customWidth="1"/>
  </x:cols>
  <x:sheetData>
    <x:row r="1" ht="19.200000762939453" hidden="0" customHeight="1">
      <x:c r="A1" s="3" t="str">
        <x:v>Sakura Clinical Study Beta 2026 - Synthetic results dashboard</x:v>
      </x:c>
      <x:c r="B1" s="3"/>
      <x:c r="C1" s="3"/>
      <x:c r="D1" s="3"/>
      <x:c r="E1" s="3"/>
      <x:c r="F1" s="3"/>
      <x:c r="G1" s="3"/>
      <x:c r="H1" s="3"/>
    </x:row>
    <x:row r="2"/>
    <x:row r="3" ht="15" hidden="0" customHeight="1">
      <x:c r="A3" s="5" t="str">
        <x:v>Exploratory feasibility cohort | data snapshot 2026-09-02 | explicitly non-confirmatory</x:v>
      </x:c>
      <x:c r="B3" s="5"/>
      <x:c r="C3" s="5"/>
      <x:c r="D3" s="5"/>
      <x:c r="E3" s="5"/>
      <x:c r="F3" s="5"/>
      <x:c r="G3" s="5"/>
      <x:c r="H3" s="5"/>
    </x:row>
    <x:row r="4"/>
    <x:row r="5" ht="15" hidden="0" customHeight="1">
      <x:c r="A5" s="10" t="str">
        <x:v>Population</x:v>
      </x:c>
      <x:c r="B5" s="10" t="str">
        <x:v>Intervention</x:v>
      </x:c>
      <x:c r="C5" s="10" t="str">
        <x:v>Comparator</x:v>
      </x:c>
      <x:c r="D5" s="10" t="str">
        <x:v>Total</x:v>
      </x:c>
      <x:c r="F5" s="10" t="str">
        <x:v>Descriptive endpoint</x:v>
      </x:c>
      <x:c r="G5" s="10" t="str">
        <x:v>Value</x:v>
      </x:c>
      <x:c r="H5" s="10" t="str">
        <x:v>Note</x:v>
      </x:c>
    </x:row>
    <x:row r="6" ht="15" hidden="0" customHeight="1">
      <x:c r="A6" s="11" t="str">
        <x:v>Analyzed</x:v>
      </x:c>
      <x:c r="B6" s="12" t="n">
        <x:v>18</x:v>
      </x:c>
      <x:c r="C6" s="12" t="n">
        <x:v>18</x:v>
      </x:c>
      <x:c r="D6" s="12" t="n">
        <x:f>B6+C6</x:f>
        <x:v>36</x:v>
      </x:c>
      <x:c r="F6" s="11" t="str">
        <x:v>Mean change difference</x:v>
      </x:c>
      <x:c r="G6" s="13" t="n">
        <x:v>0.6</x:v>
      </x:c>
      <x:c r="H6" s="11" t="str">
        <x:v>95% CI -0.8 to 2.0</x:v>
      </x:c>
    </x:row>
    <x:row r="7" ht="15" hidden="0" customHeight="1">
      <x:c r="A7" s="11" t="str">
        <x:v>Completed Week 8</x:v>
      </x:c>
      <x:c r="B7" s="12" t="n">
        <x:v>18</x:v>
      </x:c>
      <x:c r="C7" s="12" t="n">
        <x:v>18</x:v>
      </x:c>
      <x:c r="D7" s="12" t="n">
        <x:f>B7+C7</x:f>
        <x:v>36</x:v>
      </x:c>
      <x:c r="F7" s="11" t="str">
        <x:v>Exploratory p-value</x:v>
      </x:c>
      <x:c r="G7" s="14" t="n">
        <x:v>0.39</x:v>
      </x:c>
      <x:c r="H7" s="11" t="str">
        <x:v>Not confirmatory</x:v>
      </x:c>
    </x:row>
    <x:row r="8" ht="15" hidden="0" customHeight="1">
      <x:c r="F8" s="11" t="str">
        <x:v>Review threshold</x:v>
      </x:c>
      <x:c r="G8" s="13" t="n">
        <x:v>2.5</x:v>
      </x:c>
      <x:c r="H8" s="11" t="str">
        <x:v>mg; 0 synthetic flags</x:v>
      </x:c>
    </x:row>
    <x:row r="9"/>
    <x:row r="10" ht="15" hidden="0" customHeight="1">
      <x:c r="A10" s="9" t="str">
        <x:v>Arm</x:v>
      </x:c>
      <x:c r="B10" s="9" t="str">
        <x:v>Mean change</x:v>
      </x:c>
      <x:c r="C10" s="9" t="str">
        <x:v>n</x:v>
      </x:c>
    </x:row>
    <x:row r="11" ht="15" hidden="0" customHeight="1">
      <x:c r="A11" t="str">
        <x:v>Intervention</x:v>
      </x:c>
      <x:c r="B11" t="n">
        <x:v>7.4</x:v>
      </x:c>
      <x:c r="C11" t="n">
        <x:v>18</x:v>
      </x:c>
    </x:row>
    <x:row r="12" ht="15" hidden="0" customHeight="1">
      <x:c r="A12" t="str">
        <x:v>Comparator</x:v>
      </x:c>
      <x:c r="B12" t="n">
        <x:v>6.8</x:v>
      </x:c>
      <x:c r="C12" t="n">
        <x:v>18</x:v>
      </x:c>
    </x:row>
    <x:row r="13" ht="15" hidden="0" customHeight="1">
      <x:c r="A13" t="str">
        <x:v>Synthetic only</x:v>
      </x:c>
      <x:c r="B13" t="str"/>
      <x:c r="C13" t="str"/>
    </x:row>
  </x:sheetData>
  <x:mergeCells>
    <x:mergeCell ref="A1:H1"/>
    <x:mergeCell ref="A3:H3"/>
  </x:mergeCells>
  <x:pageMargins left="0.7" right="0.7" top="0.75" bottom="0.75" header="0.3" footer="0.3"/>
  <x:drawing xmlns:r="http://schemas.openxmlformats.org/officeDocument/2006/relationships" r:id="R80006da3aa3e40a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2.3299999237060547" hidden="0" customWidth="1"/>
    <x:col min="3" max="3" width="11" hidden="0" customWidth="1"/>
    <x:col min="4" max="4" width="8.4399995803833" hidden="0" customWidth="1"/>
    <x:col min="5" max="5" width="8" hidden="0" customWidth="1"/>
    <x:col min="6" max="6" width="15.670000076293945" hidden="0" customWidth="1"/>
  </x:cols>
  <x:sheetData>
    <x:row r="1" ht="15" hidden="0" customHeight="1">
      <x:c r="A1" s="10" t="str">
        <x:v>Arm</x:v>
      </x:c>
      <x:c r="B1" s="10" t="str">
        <x:v>n</x:v>
      </x:c>
      <x:c r="C1" s="10" t="str">
        <x:v>Mean change</x:v>
      </x:c>
      <x:c r="D1" s="10" t="str">
        <x:v>Difference</x:v>
      </x:c>
      <x:c r="E1" s="10" t="str">
        <x:v>95% CI</x:v>
      </x:c>
      <x:c r="F1" s="10" t="str">
        <x:v>Exploratory p-value</x:v>
      </x:c>
    </x:row>
    <x:row r="2" ht="15" hidden="0" customHeight="1">
      <x:c r="A2" s="11" t="str">
        <x:v>Intervention</x:v>
      </x:c>
      <x:c r="B2" s="11" t="n">
        <x:v>18</x:v>
      </x:c>
      <x:c r="C2" s="11" t="n">
        <x:v>7.4</x:v>
      </x:c>
      <x:c r="D2" s="11" t="str"/>
      <x:c r="E2" s="11" t="str"/>
      <x:c r="F2" s="11" t="str"/>
    </x:row>
    <x:row r="3" ht="15" hidden="0" customHeight="1">
      <x:c r="A3" s="11" t="str">
        <x:v>Comparator</x:v>
      </x:c>
      <x:c r="B3" s="11" t="n">
        <x:v>18</x:v>
      </x:c>
      <x:c r="C3" s="11" t="n">
        <x:v>6.8</x:v>
      </x:c>
      <x:c r="D3" s="11" t="n">
        <x:v>0.6</x:v>
      </x:c>
      <x:c r="E3" s="11" t="str">
        <x:v>-0.8 to 2.0</x:v>
      </x:c>
      <x:c r="F3" s="11" t="n">
        <x:v>0.39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9.779999732971191" hidden="0" customWidth="1"/>
    <x:col min="3" max="3" width="12" hidden="0" customWidth="1"/>
    <x:col min="4" max="4" width="7.670000076293945" hidden="0" customWidth="1"/>
    <x:col min="5" max="5" width="13" hidden="0" customWidth="1"/>
  </x:cols>
  <x:sheetData>
    <x:row r="1" ht="15" hidden="0" customHeight="1">
      <x:c r="A1" s="10" t="str">
        <x:v>Arm</x:v>
      </x:c>
      <x:c r="B1" s="10" t="str">
        <x:v>Event count</x:v>
      </x:c>
      <x:c r="C1" s="10" t="str">
        <x:v>Serious events</x:v>
      </x:c>
      <x:c r="D1" s="10" t="str">
        <x:v>Resolved</x:v>
      </x:c>
      <x:c r="E1" s="10" t="str">
        <x:v>Synthetic status</x:v>
      </x:c>
    </x:row>
    <x:row r="2" ht="15" hidden="0" customHeight="1">
      <x:c r="A2" s="11" t="str">
        <x:v>Intervention</x:v>
      </x:c>
      <x:c r="B2" s="11" t="n">
        <x:v>3</x:v>
      </x:c>
      <x:c r="C2" s="11" t="n">
        <x:v>0</x:v>
      </x:c>
      <x:c r="D2" s="11" t="n">
        <x:v>3</x:v>
      </x:c>
      <x:c r="E2" s="11" t="str">
        <x:v>Synthetic listing</x:v>
      </x:c>
    </x:row>
    <x:row r="3" ht="15" hidden="0" customHeight="1">
      <x:c r="A3" s="11" t="str">
        <x:v>Comparator</x:v>
      </x:c>
      <x:c r="B3" s="11" t="n">
        <x:v>2</x:v>
      </x:c>
      <x:c r="C3" s="11" t="n">
        <x:v>0</x:v>
      </x:c>
      <x:c r="D3" s="11" t="n">
        <x:v>2</x:v>
      </x:c>
      <x:c r="E3" s="11" t="str">
        <x:v>Synthetic listing</x:v>
      </x:c>
    </x:row>
  </x:sheetData>
  <x:pageMargins left="0.7" right="0.7" top="0.75" bottom="0.75" header="0.3" footer="0.3"/>
</x:worksheet>
</file>