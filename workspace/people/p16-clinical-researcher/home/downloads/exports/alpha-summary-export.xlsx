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544006f95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f053b2e86d4a31"/>
    <x:sheet xmlns:r="http://schemas.openxmlformats.org/officeDocument/2006/relationships" name="Endpoint Data" sheetId="2" r:id="R1d7b5bd1db384b11"/>
    <x:sheet xmlns:r="http://schemas.openxmlformats.org/officeDocument/2006/relationships" name="Safety Data" sheetId="3" r:id="R7b4c554fca0d46d9"/>
    <x:sheet xmlns:r="http://schemas.openxmlformats.org/officeDocument/2006/relationships" name="Codebook" sheetId="4" r:id="Rcc56dc52700e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#,##0"/>
    <x:numFmt numFmtId="203" formatCode="0.0 &quot;mg&quot;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D9F0EC"/>
      </x:patternFill>
    </x:fill>
    <x:fill>
      <x:patternFill patternType="solid">
        <x:fgColor rgb="FFF3F7F6"/>
      </x:patternFill>
    </x:fill>
  </x:fills>
  <x:borders count="9">
    <x:border/>
    <x:border>
      <x:left style="thin">
        <x:color rgb="FF99B7B0"/>
      </x:left>
      <x:top style="thin">
        <x:color rgb="FF99B7B0"/>
      </x:top>
    </x:border>
    <x:border>
      <x:top style="thin">
        <x:color rgb="FF99B7B0"/>
      </x:top>
    </x:border>
    <x:border>
      <x:right style="thin">
        <x:color rgb="FF99B7B0"/>
      </x:right>
      <x:top style="thin">
        <x:color rgb="FF99B7B0"/>
      </x:top>
    </x:border>
    <x:border>
      <x:left style="thin">
        <x:color rgb="FF99B7B0"/>
      </x:left>
    </x:border>
    <x:border>
      <x:right style="thin">
        <x:color rgb="FF99B7B0"/>
      </x:right>
    </x:border>
    <x:border>
      <x:left style="thin">
        <x:color rgb="FF99B7B0"/>
      </x:left>
      <x:bottom style="thin">
        <x:color rgb="FF99B7B0"/>
      </x:bottom>
    </x:border>
    <x:border>
      <x:bottom style="thin">
        <x:color rgb="FF99B7B0"/>
      </x:bottom>
    </x:border>
    <x:border>
      <x:right style="thin">
        <x:color rgb="FF99B7B0"/>
      </x:right>
      <x:bottom style="thin">
        <x:color rgb="FF99B7B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4" borderId="1" xfId="0" applyNumberFormat="1" applyFont="1" applyFill="1" applyBorder="1"/>
    <x:xf numFmtId="201" fontId="0" fillId="0" borderId="3" xfId="0" applyNumberFormat="1" applyFont="1" applyFill="1" applyBorder="1"/>
    <x:xf numFmtId="0" fontId="3" fillId="4" borderId="4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3" xfId="0" applyNumberFormat="1" applyFont="1" applyFill="1" applyBorder="1"/>
    <x:xf numFmtId="200" fontId="0" fillId="0" borderId="5" xfId="0" applyNumberFormat="1" applyFont="1" applyFill="1" applyBorder="1"/>
    <x:xf numFmtId="202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d4324bd584301" /><Relationship Type="http://schemas.openxmlformats.org/officeDocument/2006/relationships/theme" Target="/xl/theme/theme1.xml" Id="Rba927458b0b04b5a" /><Relationship Type="http://schemas.openxmlformats.org/officeDocument/2006/relationships/sharedStrings" Target="/xl/sharedStrings.xml" Id="R8d7ae532152d43ff" /><Relationship Type="http://schemas.openxmlformats.org/officeDocument/2006/relationships/worksheet" Target="/xl/worksheets/sheet1.xml" Id="R13f053b2e86d4a31" /><Relationship Type="http://schemas.openxmlformats.org/officeDocument/2006/relationships/worksheet" Target="/xl/worksheets/sheet2.xml" Id="R1d7b5bd1db384b11" /><Relationship Type="http://schemas.openxmlformats.org/officeDocument/2006/relationships/worksheet" Target="/xl/worksheets/sheet3.xml" Id="R7b4c554fca0d46d9" /><Relationship Type="http://schemas.openxmlformats.org/officeDocument/2006/relationships/worksheet" Target="/xl/worksheets/sheet4.xml" Id="Rcc56dc52700e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4" hidden="0" customWidth="1"/>
    <x:col min="4" max="4" width="29" hidden="0" customWidth="1"/>
    <x:col min="5" max="5" width="24" hidden="0" customWidth="1"/>
  </x:cols>
  <x:sheetData>
    <x:row r="1">
      <x:c r="A1" s="19" t="str">
        <x:v>Sakura Clinical Study Alpha 2026 — Synthetic Export Summary</x:v>
      </x:c>
      <x:c r="B1" s="19"/>
      <x:c r="C1" s="19"/>
      <x:c r="D1" s="19"/>
      <x:c r="E1" s="19"/>
      <x:c r="F1" s="19"/>
      <x:c r="G1" s="19"/>
    </x:row>
    <x:row r="3">
      <x:c r="A3" s="24" t="str">
        <x:v>Snapshot date</x:v>
      </x:c>
      <x:c r="B3" s="25" t="str">
        <x:v>2026-09-02</x:v>
      </x:c>
      <x:c r="D3" s="24" t="str">
        <x:v>Endpoint / safety metric</x:v>
      </x:c>
      <x:c r="E3" s="30" t="str">
        <x:v>Value</x:v>
      </x:c>
    </x:row>
    <x:row r="4">
      <x:c r="A4" s="26" t="str">
        <x:v>Synthetic cohort</x:v>
      </x:c>
      <x:c r="B4" s="27" t="n">
        <x:v>48</x:v>
      </x:c>
      <x:c r="D4" s="9" t="str">
        <x:v>SC-A mean Day-28 change</x:v>
      </x:c>
      <x:c r="E4" s="31" t="n">
        <x:f>AVERAGEIF('Endpoint Data'!$B$2:$B$49,"SC-A 2.5 mg",'Endpoint Data'!$C$2:$C$49)</x:f>
        <x:v>-4.800000000000002</x:v>
      </x:c>
    </x:row>
    <x:row r="5">
      <x:c r="A5" s="26" t="str">
        <x:v>SC-A 2.5 mg</x:v>
      </x:c>
      <x:c r="B5" s="27" t="n">
        <x:v>24</x:v>
      </x:c>
      <x:c r="D5" s="9" t="str">
        <x:v>Control mean Day-28 change</x:v>
      </x:c>
      <x:c r="E5" s="31" t="n">
        <x:f>AVERAGEIF('Endpoint Data'!$B$2:$B$49,"Matched control",'Endpoint Data'!$C$2:$C$49)</x:f>
        <x:v>-2.1</x:v>
      </x:c>
    </x:row>
    <x:row r="6">
      <x:c r="A6" s="26" t="str">
        <x:v>Matched control</x:v>
      </x:c>
      <x:c r="B6" s="27" t="n">
        <x:v>24</x:v>
      </x:c>
      <x:c r="D6" s="9" t="str">
        <x:v>Adjusted difference</x:v>
      </x:c>
      <x:c r="E6" s="31" t="n">
        <x:f>E4-E5</x:f>
        <x:v>-2.7000000000000015</x:v>
      </x:c>
    </x:row>
    <x:row r="7">
      <x:c r="A7" s="26" t="str">
        <x:v>Review threshold</x:v>
      </x:c>
      <x:c r="B7" s="28" t="n">
        <x:v>2.5</x:v>
      </x:c>
      <x:c r="D7" s="9" t="str">
        <x:v>Non-serious events</x:v>
      </x:c>
      <x:c r="E7" s="27" t="n">
        <x:f>COUNTIF('Safety Data'!$D$2:$D$8,"Non-serious")</x:f>
        <x:v>7</x:v>
      </x:c>
    </x:row>
    <x:row r="8">
      <x:c r="A8" s="29" t="str">
        <x:v>Data classification</x:v>
      </x:c>
      <x:c r="B8" s="16" t="str">
        <x:v>Synthetic only — no PHI</x:v>
      </x:c>
      <x:c r="D8" s="12" t="str">
        <x:v>Serious events</x:v>
      </x:c>
      <x:c r="E8" s="32" t="n">
        <x:f>COUNTIF('Safety Data'!$D$2:$D$8,"Serious")</x:f>
        <x:v>0</x:v>
      </x:c>
    </x:row>
    <x:row r="10">
      <x:c r="A10" s="24" t="str">
        <x:v>Reconciliation check</x:v>
      </x:c>
      <x:c r="B10" s="30" t="str">
        <x:v>Result</x:v>
      </x:c>
    </x:row>
    <x:row r="11">
      <x:c r="A11" s="9" t="str">
        <x:v>Arm total equals cohort</x:v>
      </x:c>
      <x:c r="B11" s="11" t="str">
        <x:f>IF(B5+B6=B4,"PASS","CHECK")</x:f>
        <x:v>PASS</x:v>
      </x:c>
    </x:row>
    <x:row r="12">
      <x:c r="A12" s="9" t="str">
        <x:v>Event total</x:v>
      </x:c>
      <x:c r="B12" s="11" t="n">
        <x:f>E7+E8</x:f>
        <x:v>7</x:v>
      </x:c>
    </x:row>
    <x:row r="13">
      <x:c r="A13" s="12" t="str">
        <x:v>Participants with ≥1 event</x:v>
      </x:c>
      <x:c r="B13" s="16" t="n">
        <x:f>SUM('Safety Data'!$I$2:$I$8)</x:f>
        <x:v>6</x:v>
      </x:c>
    </x:row>
    <x:row r="15">
      <x:c r="A15" s="36" t="str">
        <x:v>Interpretation: synthetic Day-28 mean change is -4.8 for SC-A 2.5 mg and -2.1 for matched control; adjusted difference is -2.7 (95% CI -4.1 to -1.3). Seven non-serious synthetic adverse events occurred across six synthetic participants; zero serious events. This is a fictional research export, not clinical guidance.</x:v>
      </x:c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</x:sheetData>
  <x:mergeCells>
    <x:mergeCell ref="A1:G1"/>
    <x:mergeCell ref="A15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7" hidden="0" customWidth="1"/>
  </x:cols>
  <x:sheetData>
    <x:row r="1">
      <x:c r="A1" s="6" t="str">
        <x:v>Synthetic case ID</x:v>
      </x:c>
      <x:c r="B1" s="7" t="str">
        <x:v>Assigned arm</x:v>
      </x:c>
      <x:c r="C1" s="7" t="str">
        <x:v>Day-28 change</x:v>
      </x:c>
      <x:c r="D1" s="7" t="str">
        <x:v>Analysis status</x:v>
      </x:c>
      <x:c r="E1" s="7" t="str">
        <x:v>Snapshot date</x:v>
      </x:c>
      <x:c r="F1" s="8" t="str">
        <x:v>Synthetic data note</x:v>
      </x:c>
    </x:row>
    <x:row r="2">
      <x:c r="A2" s="9" t="str">
        <x:v>SYN-ALPHA-001</x:v>
      </x:c>
      <x:c r="B2" s="10" t="str">
        <x:v>SC-A 2.5 mg</x:v>
      </x:c>
      <x:c r="C2" s="4" t="n">
        <x:v>-4.4</x:v>
      </x:c>
      <x:c r="D2" s="10" t="str">
        <x:v>Included</x:v>
      </x:c>
      <x:c r="E2" s="5" t="str">
        <x:v>2026-09-02</x:v>
      </x:c>
      <x:c r="F2" s="11" t="str">
        <x:v>Synthetic research record</x:v>
      </x:c>
    </x:row>
    <x:row r="3">
      <x:c r="A3" s="9" t="str">
        <x:v>SYN-ALPHA-002</x:v>
      </x:c>
      <x:c r="B3" s="10" t="str">
        <x:v>SC-A 2.5 mg</x:v>
      </x:c>
      <x:c r="C3" s="4" t="n">
        <x:v>-5.2</x:v>
      </x:c>
      <x:c r="D3" s="10" t="str">
        <x:v>Included</x:v>
      </x:c>
      <x:c r="E3" s="5" t="str">
        <x:v>2026-09-02</x:v>
      </x:c>
      <x:c r="F3" s="11" t="str">
        <x:v>Synthetic research record</x:v>
      </x:c>
    </x:row>
    <x:row r="4">
      <x:c r="A4" s="9" t="str">
        <x:v>SYN-ALPHA-003</x:v>
      </x:c>
      <x:c r="B4" s="10" t="str">
        <x:v>SC-A 2.5 mg</x:v>
      </x:c>
      <x:c r="C4" s="4" t="n">
        <x:v>-4.4</x:v>
      </x:c>
      <x:c r="D4" s="10" t="str">
        <x:v>Included</x:v>
      </x:c>
      <x:c r="E4" s="5" t="str">
        <x:v>2026-09-02</x:v>
      </x:c>
      <x:c r="F4" s="11" t="str">
        <x:v>Synthetic research record</x:v>
      </x:c>
    </x:row>
    <x:row r="5">
      <x:c r="A5" s="9" t="str">
        <x:v>SYN-ALPHA-004</x:v>
      </x:c>
      <x:c r="B5" s="10" t="str">
        <x:v>SC-A 2.5 mg</x:v>
      </x:c>
      <x:c r="C5" s="4" t="n">
        <x:v>-5.2</x:v>
      </x:c>
      <x:c r="D5" s="10" t="str">
        <x:v>Included</x:v>
      </x:c>
      <x:c r="E5" s="5" t="str">
        <x:v>2026-09-02</x:v>
      </x:c>
      <x:c r="F5" s="11" t="str">
        <x:v>Synthetic research record</x:v>
      </x:c>
    </x:row>
    <x:row r="6">
      <x:c r="A6" s="9" t="str">
        <x:v>SYN-ALPHA-005</x:v>
      </x:c>
      <x:c r="B6" s="10" t="str">
        <x:v>SC-A 2.5 mg</x:v>
      </x:c>
      <x:c r="C6" s="4" t="n">
        <x:v>-4.4</x:v>
      </x:c>
      <x:c r="D6" s="10" t="str">
        <x:v>Included</x:v>
      </x:c>
      <x:c r="E6" s="5" t="str">
        <x:v>2026-09-02</x:v>
      </x:c>
      <x:c r="F6" s="11" t="str">
        <x:v>Synthetic research record</x:v>
      </x:c>
    </x:row>
    <x:row r="7">
      <x:c r="A7" s="9" t="str">
        <x:v>SYN-ALPHA-006</x:v>
      </x:c>
      <x:c r="B7" s="10" t="str">
        <x:v>SC-A 2.5 mg</x:v>
      </x:c>
      <x:c r="C7" s="4" t="n">
        <x:v>-5.2</x:v>
      </x:c>
      <x:c r="D7" s="10" t="str">
        <x:v>Included</x:v>
      </x:c>
      <x:c r="E7" s="5" t="str">
        <x:v>2026-09-02</x:v>
      </x:c>
      <x:c r="F7" s="11" t="str">
        <x:v>Synthetic research record</x:v>
      </x:c>
    </x:row>
    <x:row r="8">
      <x:c r="A8" s="9" t="str">
        <x:v>SYN-ALPHA-007</x:v>
      </x:c>
      <x:c r="B8" s="10" t="str">
        <x:v>SC-A 2.5 mg</x:v>
      </x:c>
      <x:c r="C8" s="4" t="n">
        <x:v>-4.4</x:v>
      </x:c>
      <x:c r="D8" s="10" t="str">
        <x:v>Included</x:v>
      </x:c>
      <x:c r="E8" s="5" t="str">
        <x:v>2026-09-02</x:v>
      </x:c>
      <x:c r="F8" s="11" t="str">
        <x:v>Synthetic research record</x:v>
      </x:c>
    </x:row>
    <x:row r="9">
      <x:c r="A9" s="9" t="str">
        <x:v>SYN-ALPHA-008</x:v>
      </x:c>
      <x:c r="B9" s="10" t="str">
        <x:v>SC-A 2.5 mg</x:v>
      </x:c>
      <x:c r="C9" s="4" t="n">
        <x:v>-5.2</x:v>
      </x:c>
      <x:c r="D9" s="10" t="str">
        <x:v>Included</x:v>
      </x:c>
      <x:c r="E9" s="5" t="str">
        <x:v>2026-09-02</x:v>
      </x:c>
      <x:c r="F9" s="11" t="str">
        <x:v>Synthetic research record</x:v>
      </x:c>
    </x:row>
    <x:row r="10">
      <x:c r="A10" s="9" t="str">
        <x:v>SYN-ALPHA-009</x:v>
      </x:c>
      <x:c r="B10" s="10" t="str">
        <x:v>SC-A 2.5 mg</x:v>
      </x:c>
      <x:c r="C10" s="4" t="n">
        <x:v>-4.4</x:v>
      </x:c>
      <x:c r="D10" s="10" t="str">
        <x:v>Included</x:v>
      </x:c>
      <x:c r="E10" s="5" t="str">
        <x:v>2026-09-02</x:v>
      </x:c>
      <x:c r="F10" s="11" t="str">
        <x:v>Synthetic research record</x:v>
      </x:c>
    </x:row>
    <x:row r="11">
      <x:c r="A11" s="9" t="str">
        <x:v>SYN-ALPHA-010</x:v>
      </x:c>
      <x:c r="B11" s="10" t="str">
        <x:v>SC-A 2.5 mg</x:v>
      </x:c>
      <x:c r="C11" s="4" t="n">
        <x:v>-5.2</x:v>
      </x:c>
      <x:c r="D11" s="10" t="str">
        <x:v>Included</x:v>
      </x:c>
      <x:c r="E11" s="5" t="str">
        <x:v>2026-09-02</x:v>
      </x:c>
      <x:c r="F11" s="11" t="str">
        <x:v>Synthetic research record</x:v>
      </x:c>
    </x:row>
    <x:row r="12">
      <x:c r="A12" s="9" t="str">
        <x:v>SYN-ALPHA-011</x:v>
      </x:c>
      <x:c r="B12" s="10" t="str">
        <x:v>SC-A 2.5 mg</x:v>
      </x:c>
      <x:c r="C12" s="4" t="n">
        <x:v>-4.4</x:v>
      </x:c>
      <x:c r="D12" s="10" t="str">
        <x:v>Included</x:v>
      </x:c>
      <x:c r="E12" s="5" t="str">
        <x:v>2026-09-02</x:v>
      </x:c>
      <x:c r="F12" s="11" t="str">
        <x:v>Synthetic research record</x:v>
      </x:c>
    </x:row>
    <x:row r="13">
      <x:c r="A13" s="9" t="str">
        <x:v>SYN-ALPHA-012</x:v>
      </x:c>
      <x:c r="B13" s="10" t="str">
        <x:v>SC-A 2.5 mg</x:v>
      </x:c>
      <x:c r="C13" s="4" t="n">
        <x:v>-5.2</x:v>
      </x:c>
      <x:c r="D13" s="10" t="str">
        <x:v>Included</x:v>
      </x:c>
      <x:c r="E13" s="5" t="str">
        <x:v>2026-09-02</x:v>
      </x:c>
      <x:c r="F13" s="11" t="str">
        <x:v>Synthetic research record</x:v>
      </x:c>
    </x:row>
    <x:row r="14">
      <x:c r="A14" s="9" t="str">
        <x:v>SYN-ALPHA-013</x:v>
      </x:c>
      <x:c r="B14" s="10" t="str">
        <x:v>SC-A 2.5 mg</x:v>
      </x:c>
      <x:c r="C14" s="4" t="n">
        <x:v>-4.4</x:v>
      </x:c>
      <x:c r="D14" s="10" t="str">
        <x:v>Included</x:v>
      </x:c>
      <x:c r="E14" s="5" t="str">
        <x:v>2026-09-02</x:v>
      </x:c>
      <x:c r="F14" s="11" t="str">
        <x:v>Synthetic research record</x:v>
      </x:c>
    </x:row>
    <x:row r="15">
      <x:c r="A15" s="9" t="str">
        <x:v>SYN-ALPHA-014</x:v>
      </x:c>
      <x:c r="B15" s="10" t="str">
        <x:v>SC-A 2.5 mg</x:v>
      </x:c>
      <x:c r="C15" s="4" t="n">
        <x:v>-5.2</x:v>
      </x:c>
      <x:c r="D15" s="10" t="str">
        <x:v>Included</x:v>
      </x:c>
      <x:c r="E15" s="5" t="str">
        <x:v>2026-09-02</x:v>
      </x:c>
      <x:c r="F15" s="11" t="str">
        <x:v>Synthetic research record</x:v>
      </x:c>
    </x:row>
    <x:row r="16">
      <x:c r="A16" s="9" t="str">
        <x:v>SYN-ALPHA-015</x:v>
      </x:c>
      <x:c r="B16" s="10" t="str">
        <x:v>SC-A 2.5 mg</x:v>
      </x:c>
      <x:c r="C16" s="4" t="n">
        <x:v>-4.4</x:v>
      </x:c>
      <x:c r="D16" s="10" t="str">
        <x:v>Included</x:v>
      </x:c>
      <x:c r="E16" s="5" t="str">
        <x:v>2026-09-02</x:v>
      </x:c>
      <x:c r="F16" s="11" t="str">
        <x:v>Synthetic research record</x:v>
      </x:c>
    </x:row>
    <x:row r="17">
      <x:c r="A17" s="9" t="str">
        <x:v>SYN-ALPHA-016</x:v>
      </x:c>
      <x:c r="B17" s="10" t="str">
        <x:v>SC-A 2.5 mg</x:v>
      </x:c>
      <x:c r="C17" s="4" t="n">
        <x:v>-5.2</x:v>
      </x:c>
      <x:c r="D17" s="10" t="str">
        <x:v>Included</x:v>
      </x:c>
      <x:c r="E17" s="5" t="str">
        <x:v>2026-09-02</x:v>
      </x:c>
      <x:c r="F17" s="11" t="str">
        <x:v>Synthetic research record</x:v>
      </x:c>
    </x:row>
    <x:row r="18">
      <x:c r="A18" s="9" t="str">
        <x:v>SYN-ALPHA-017</x:v>
      </x:c>
      <x:c r="B18" s="10" t="str">
        <x:v>SC-A 2.5 mg</x:v>
      </x:c>
      <x:c r="C18" s="4" t="n">
        <x:v>-4.4</x:v>
      </x:c>
      <x:c r="D18" s="10" t="str">
        <x:v>Included</x:v>
      </x:c>
      <x:c r="E18" s="5" t="str">
        <x:v>2026-09-02</x:v>
      </x:c>
      <x:c r="F18" s="11" t="str">
        <x:v>Synthetic research record</x:v>
      </x:c>
    </x:row>
    <x:row r="19">
      <x:c r="A19" s="9" t="str">
        <x:v>SYN-ALPHA-018</x:v>
      </x:c>
      <x:c r="B19" s="10" t="str">
        <x:v>SC-A 2.5 mg</x:v>
      </x:c>
      <x:c r="C19" s="4" t="n">
        <x:v>-5.2</x:v>
      </x:c>
      <x:c r="D19" s="10" t="str">
        <x:v>Included</x:v>
      </x:c>
      <x:c r="E19" s="5" t="str">
        <x:v>2026-09-02</x:v>
      </x:c>
      <x:c r="F19" s="11" t="str">
        <x:v>Synthetic research record</x:v>
      </x:c>
    </x:row>
    <x:row r="20">
      <x:c r="A20" s="9" t="str">
        <x:v>SYN-ALPHA-019</x:v>
      </x:c>
      <x:c r="B20" s="10" t="str">
        <x:v>SC-A 2.5 mg</x:v>
      </x:c>
      <x:c r="C20" s="4" t="n">
        <x:v>-4.4</x:v>
      </x:c>
      <x:c r="D20" s="10" t="str">
        <x:v>Included</x:v>
      </x:c>
      <x:c r="E20" s="5" t="str">
        <x:v>2026-09-02</x:v>
      </x:c>
      <x:c r="F20" s="11" t="str">
        <x:v>Synthetic research record</x:v>
      </x:c>
    </x:row>
    <x:row r="21">
      <x:c r="A21" s="9" t="str">
        <x:v>SYN-ALPHA-020</x:v>
      </x:c>
      <x:c r="B21" s="10" t="str">
        <x:v>SC-A 2.5 mg</x:v>
      </x:c>
      <x:c r="C21" s="4" t="n">
        <x:v>-5.2</x:v>
      </x:c>
      <x:c r="D21" s="10" t="str">
        <x:v>Included</x:v>
      </x:c>
      <x:c r="E21" s="5" t="str">
        <x:v>2026-09-02</x:v>
      </x:c>
      <x:c r="F21" s="11" t="str">
        <x:v>Synthetic research record</x:v>
      </x:c>
    </x:row>
    <x:row r="22">
      <x:c r="A22" s="9" t="str">
        <x:v>SYN-ALPHA-021</x:v>
      </x:c>
      <x:c r="B22" s="10" t="str">
        <x:v>SC-A 2.5 mg</x:v>
      </x:c>
      <x:c r="C22" s="4" t="n">
        <x:v>-4.4</x:v>
      </x:c>
      <x:c r="D22" s="10" t="str">
        <x:v>Included</x:v>
      </x:c>
      <x:c r="E22" s="5" t="str">
        <x:v>2026-09-02</x:v>
      </x:c>
      <x:c r="F22" s="11" t="str">
        <x:v>Synthetic research record</x:v>
      </x:c>
    </x:row>
    <x:row r="23">
      <x:c r="A23" s="9" t="str">
        <x:v>SYN-ALPHA-022</x:v>
      </x:c>
      <x:c r="B23" s="10" t="str">
        <x:v>SC-A 2.5 mg</x:v>
      </x:c>
      <x:c r="C23" s="4" t="n">
        <x:v>-5.2</x:v>
      </x:c>
      <x:c r="D23" s="10" t="str">
        <x:v>Included</x:v>
      </x:c>
      <x:c r="E23" s="5" t="str">
        <x:v>2026-09-02</x:v>
      </x:c>
      <x:c r="F23" s="11" t="str">
        <x:v>Synthetic research record</x:v>
      </x:c>
    </x:row>
    <x:row r="24">
      <x:c r="A24" s="9" t="str">
        <x:v>SYN-ALPHA-023</x:v>
      </x:c>
      <x:c r="B24" s="10" t="str">
        <x:v>SC-A 2.5 mg</x:v>
      </x:c>
      <x:c r="C24" s="4" t="n">
        <x:v>-4.4</x:v>
      </x:c>
      <x:c r="D24" s="10" t="str">
        <x:v>Included</x:v>
      </x:c>
      <x:c r="E24" s="5" t="str">
        <x:v>2026-09-02</x:v>
      </x:c>
      <x:c r="F24" s="11" t="str">
        <x:v>Synthetic research record</x:v>
      </x:c>
    </x:row>
    <x:row r="25">
      <x:c r="A25" s="9" t="str">
        <x:v>SYN-ALPHA-024</x:v>
      </x:c>
      <x:c r="B25" s="10" t="str">
        <x:v>SC-A 2.5 mg</x:v>
      </x:c>
      <x:c r="C25" s="4" t="n">
        <x:v>-5.2</x:v>
      </x:c>
      <x:c r="D25" s="10" t="str">
        <x:v>Included</x:v>
      </x:c>
      <x:c r="E25" s="5" t="str">
        <x:v>2026-09-02</x:v>
      </x:c>
      <x:c r="F25" s="11" t="str">
        <x:v>Synthetic research record</x:v>
      </x:c>
    </x:row>
    <x:row r="26">
      <x:c r="A26" s="9" t="str">
        <x:v>SYN-ALPHA-025</x:v>
      </x:c>
      <x:c r="B26" s="10" t="str">
        <x:v>Matched control</x:v>
      </x:c>
      <x:c r="C26" s="4" t="n">
        <x:v>-1.7</x:v>
      </x:c>
      <x:c r="D26" s="10" t="str">
        <x:v>Included</x:v>
      </x:c>
      <x:c r="E26" s="5" t="str">
        <x:v>2026-09-02</x:v>
      </x:c>
      <x:c r="F26" s="11" t="str">
        <x:v>Synthetic research record</x:v>
      </x:c>
    </x:row>
    <x:row r="27">
      <x:c r="A27" s="9" t="str">
        <x:v>SYN-ALPHA-026</x:v>
      </x:c>
      <x:c r="B27" s="10" t="str">
        <x:v>Matched control</x:v>
      </x:c>
      <x:c r="C27" s="4" t="n">
        <x:v>-2.5</x:v>
      </x:c>
      <x:c r="D27" s="10" t="str">
        <x:v>Included</x:v>
      </x:c>
      <x:c r="E27" s="5" t="str">
        <x:v>2026-09-02</x:v>
      </x:c>
      <x:c r="F27" s="11" t="str">
        <x:v>Synthetic research record</x:v>
      </x:c>
    </x:row>
    <x:row r="28">
      <x:c r="A28" s="9" t="str">
        <x:v>SYN-ALPHA-027</x:v>
      </x:c>
      <x:c r="B28" s="10" t="str">
        <x:v>Matched control</x:v>
      </x:c>
      <x:c r="C28" s="4" t="n">
        <x:v>-1.7</x:v>
      </x:c>
      <x:c r="D28" s="10" t="str">
        <x:v>Included</x:v>
      </x:c>
      <x:c r="E28" s="5" t="str">
        <x:v>2026-09-02</x:v>
      </x:c>
      <x:c r="F28" s="11" t="str">
        <x:v>Synthetic research record</x:v>
      </x:c>
    </x:row>
    <x:row r="29">
      <x:c r="A29" s="9" t="str">
        <x:v>SYN-ALPHA-028</x:v>
      </x:c>
      <x:c r="B29" s="10" t="str">
        <x:v>Matched control</x:v>
      </x:c>
      <x:c r="C29" s="4" t="n">
        <x:v>-2.5</x:v>
      </x:c>
      <x:c r="D29" s="10" t="str">
        <x:v>Included</x:v>
      </x:c>
      <x:c r="E29" s="5" t="str">
        <x:v>2026-09-02</x:v>
      </x:c>
      <x:c r="F29" s="11" t="str">
        <x:v>Synthetic research record</x:v>
      </x:c>
    </x:row>
    <x:row r="30">
      <x:c r="A30" s="9" t="str">
        <x:v>SYN-ALPHA-029</x:v>
      </x:c>
      <x:c r="B30" s="10" t="str">
        <x:v>Matched control</x:v>
      </x:c>
      <x:c r="C30" s="4" t="n">
        <x:v>-1.7</x:v>
      </x:c>
      <x:c r="D30" s="10" t="str">
        <x:v>Included</x:v>
      </x:c>
      <x:c r="E30" s="5" t="str">
        <x:v>2026-09-02</x:v>
      </x:c>
      <x:c r="F30" s="11" t="str">
        <x:v>Synthetic research record</x:v>
      </x:c>
    </x:row>
    <x:row r="31">
      <x:c r="A31" s="9" t="str">
        <x:v>SYN-ALPHA-030</x:v>
      </x:c>
      <x:c r="B31" s="10" t="str">
        <x:v>Matched control</x:v>
      </x:c>
      <x:c r="C31" s="4" t="n">
        <x:v>-2.5</x:v>
      </x:c>
      <x:c r="D31" s="10" t="str">
        <x:v>Included</x:v>
      </x:c>
      <x:c r="E31" s="5" t="str">
        <x:v>2026-09-02</x:v>
      </x:c>
      <x:c r="F31" s="11" t="str">
        <x:v>Synthetic research record</x:v>
      </x:c>
    </x:row>
    <x:row r="32">
      <x:c r="A32" s="9" t="str">
        <x:v>SYN-ALPHA-031</x:v>
      </x:c>
      <x:c r="B32" s="10" t="str">
        <x:v>Matched control</x:v>
      </x:c>
      <x:c r="C32" s="4" t="n">
        <x:v>-1.7</x:v>
      </x:c>
      <x:c r="D32" s="10" t="str">
        <x:v>Included</x:v>
      </x:c>
      <x:c r="E32" s="5" t="str">
        <x:v>2026-09-02</x:v>
      </x:c>
      <x:c r="F32" s="11" t="str">
        <x:v>Synthetic research record</x:v>
      </x:c>
    </x:row>
    <x:row r="33">
      <x:c r="A33" s="9" t="str">
        <x:v>SYN-ALPHA-032</x:v>
      </x:c>
      <x:c r="B33" s="10" t="str">
        <x:v>Matched control</x:v>
      </x:c>
      <x:c r="C33" s="4" t="n">
        <x:v>-2.5</x:v>
      </x:c>
      <x:c r="D33" s="10" t="str">
        <x:v>Included</x:v>
      </x:c>
      <x:c r="E33" s="5" t="str">
        <x:v>2026-09-02</x:v>
      </x:c>
      <x:c r="F33" s="11" t="str">
        <x:v>Synthetic research record</x:v>
      </x:c>
    </x:row>
    <x:row r="34">
      <x:c r="A34" s="9" t="str">
        <x:v>SYN-ALPHA-033</x:v>
      </x:c>
      <x:c r="B34" s="10" t="str">
        <x:v>Matched control</x:v>
      </x:c>
      <x:c r="C34" s="4" t="n">
        <x:v>-1.7</x:v>
      </x:c>
      <x:c r="D34" s="10" t="str">
        <x:v>Included</x:v>
      </x:c>
      <x:c r="E34" s="5" t="str">
        <x:v>2026-09-02</x:v>
      </x:c>
      <x:c r="F34" s="11" t="str">
        <x:v>Synthetic research record</x:v>
      </x:c>
    </x:row>
    <x:row r="35">
      <x:c r="A35" s="9" t="str">
        <x:v>SYN-ALPHA-034</x:v>
      </x:c>
      <x:c r="B35" s="10" t="str">
        <x:v>Matched control</x:v>
      </x:c>
      <x:c r="C35" s="4" t="n">
        <x:v>-2.5</x:v>
      </x:c>
      <x:c r="D35" s="10" t="str">
        <x:v>Included</x:v>
      </x:c>
      <x:c r="E35" s="5" t="str">
        <x:v>2026-09-02</x:v>
      </x:c>
      <x:c r="F35" s="11" t="str">
        <x:v>Synthetic research record</x:v>
      </x:c>
    </x:row>
    <x:row r="36">
      <x:c r="A36" s="9" t="str">
        <x:v>SYN-ALPHA-035</x:v>
      </x:c>
      <x:c r="B36" s="10" t="str">
        <x:v>Matched control</x:v>
      </x:c>
      <x:c r="C36" s="4" t="n">
        <x:v>-1.7</x:v>
      </x:c>
      <x:c r="D36" s="10" t="str">
        <x:v>Included</x:v>
      </x:c>
      <x:c r="E36" s="5" t="str">
        <x:v>2026-09-02</x:v>
      </x:c>
      <x:c r="F36" s="11" t="str">
        <x:v>Synthetic research record</x:v>
      </x:c>
    </x:row>
    <x:row r="37">
      <x:c r="A37" s="9" t="str">
        <x:v>SYN-ALPHA-036</x:v>
      </x:c>
      <x:c r="B37" s="10" t="str">
        <x:v>Matched control</x:v>
      </x:c>
      <x:c r="C37" s="4" t="n">
        <x:v>-2.5</x:v>
      </x:c>
      <x:c r="D37" s="10" t="str">
        <x:v>Included</x:v>
      </x:c>
      <x:c r="E37" s="5" t="str">
        <x:v>2026-09-02</x:v>
      </x:c>
      <x:c r="F37" s="11" t="str">
        <x:v>Synthetic research record</x:v>
      </x:c>
    </x:row>
    <x:row r="38">
      <x:c r="A38" s="9" t="str">
        <x:v>SYN-ALPHA-037</x:v>
      </x:c>
      <x:c r="B38" s="10" t="str">
        <x:v>Matched control</x:v>
      </x:c>
      <x:c r="C38" s="4" t="n">
        <x:v>-1.7</x:v>
      </x:c>
      <x:c r="D38" s="10" t="str">
        <x:v>Included</x:v>
      </x:c>
      <x:c r="E38" s="5" t="str">
        <x:v>2026-09-02</x:v>
      </x:c>
      <x:c r="F38" s="11" t="str">
        <x:v>Synthetic research record</x:v>
      </x:c>
    </x:row>
    <x:row r="39">
      <x:c r="A39" s="9" t="str">
        <x:v>SYN-ALPHA-038</x:v>
      </x:c>
      <x:c r="B39" s="10" t="str">
        <x:v>Matched control</x:v>
      </x:c>
      <x:c r="C39" s="4" t="n">
        <x:v>-2.5</x:v>
      </x:c>
      <x:c r="D39" s="10" t="str">
        <x:v>Included</x:v>
      </x:c>
      <x:c r="E39" s="5" t="str">
        <x:v>2026-09-02</x:v>
      </x:c>
      <x:c r="F39" s="11" t="str">
        <x:v>Synthetic research record</x:v>
      </x:c>
    </x:row>
    <x:row r="40">
      <x:c r="A40" s="9" t="str">
        <x:v>SYN-ALPHA-039</x:v>
      </x:c>
      <x:c r="B40" s="10" t="str">
        <x:v>Matched control</x:v>
      </x:c>
      <x:c r="C40" s="4" t="n">
        <x:v>-1.7</x:v>
      </x:c>
      <x:c r="D40" s="10" t="str">
        <x:v>Included</x:v>
      </x:c>
      <x:c r="E40" s="5" t="str">
        <x:v>2026-09-02</x:v>
      </x:c>
      <x:c r="F40" s="11" t="str">
        <x:v>Synthetic research record</x:v>
      </x:c>
    </x:row>
    <x:row r="41">
      <x:c r="A41" s="9" t="str">
        <x:v>SYN-ALPHA-040</x:v>
      </x:c>
      <x:c r="B41" s="10" t="str">
        <x:v>Matched control</x:v>
      </x:c>
      <x:c r="C41" s="4" t="n">
        <x:v>-2.5</x:v>
      </x:c>
      <x:c r="D41" s="10" t="str">
        <x:v>Included</x:v>
      </x:c>
      <x:c r="E41" s="5" t="str">
        <x:v>2026-09-02</x:v>
      </x:c>
      <x:c r="F41" s="11" t="str">
        <x:v>Synthetic research record</x:v>
      </x:c>
    </x:row>
    <x:row r="42">
      <x:c r="A42" s="9" t="str">
        <x:v>SYN-ALPHA-041</x:v>
      </x:c>
      <x:c r="B42" s="10" t="str">
        <x:v>Matched control</x:v>
      </x:c>
      <x:c r="C42" s="4" t="n">
        <x:v>-1.7</x:v>
      </x:c>
      <x:c r="D42" s="10" t="str">
        <x:v>Included</x:v>
      </x:c>
      <x:c r="E42" s="5" t="str">
        <x:v>2026-09-02</x:v>
      </x:c>
      <x:c r="F42" s="11" t="str">
        <x:v>Synthetic research record</x:v>
      </x:c>
    </x:row>
    <x:row r="43">
      <x:c r="A43" s="9" t="str">
        <x:v>SYN-ALPHA-042</x:v>
      </x:c>
      <x:c r="B43" s="10" t="str">
        <x:v>Matched control</x:v>
      </x:c>
      <x:c r="C43" s="4" t="n">
        <x:v>-2.5</x:v>
      </x:c>
      <x:c r="D43" s="10" t="str">
        <x:v>Included</x:v>
      </x:c>
      <x:c r="E43" s="5" t="str">
        <x:v>2026-09-02</x:v>
      </x:c>
      <x:c r="F43" s="11" t="str">
        <x:v>Synthetic research record</x:v>
      </x:c>
    </x:row>
    <x:row r="44">
      <x:c r="A44" s="9" t="str">
        <x:v>SYN-ALPHA-043</x:v>
      </x:c>
      <x:c r="B44" s="10" t="str">
        <x:v>Matched control</x:v>
      </x:c>
      <x:c r="C44" s="4" t="n">
        <x:v>-1.7</x:v>
      </x:c>
      <x:c r="D44" s="10" t="str">
        <x:v>Included</x:v>
      </x:c>
      <x:c r="E44" s="5" t="str">
        <x:v>2026-09-02</x:v>
      </x:c>
      <x:c r="F44" s="11" t="str">
        <x:v>Synthetic research record</x:v>
      </x:c>
    </x:row>
    <x:row r="45">
      <x:c r="A45" s="9" t="str">
        <x:v>SYN-ALPHA-044</x:v>
      </x:c>
      <x:c r="B45" s="10" t="str">
        <x:v>Matched control</x:v>
      </x:c>
      <x:c r="C45" s="4" t="n">
        <x:v>-2.5</x:v>
      </x:c>
      <x:c r="D45" s="10" t="str">
        <x:v>Included</x:v>
      </x:c>
      <x:c r="E45" s="5" t="str">
        <x:v>2026-09-02</x:v>
      </x:c>
      <x:c r="F45" s="11" t="str">
        <x:v>Synthetic research record</x:v>
      </x:c>
    </x:row>
    <x:row r="46">
      <x:c r="A46" s="9" t="str">
        <x:v>SYN-ALPHA-045</x:v>
      </x:c>
      <x:c r="B46" s="10" t="str">
        <x:v>Matched control</x:v>
      </x:c>
      <x:c r="C46" s="4" t="n">
        <x:v>-1.7</x:v>
      </x:c>
      <x:c r="D46" s="10" t="str">
        <x:v>Included</x:v>
      </x:c>
      <x:c r="E46" s="5" t="str">
        <x:v>2026-09-02</x:v>
      </x:c>
      <x:c r="F46" s="11" t="str">
        <x:v>Synthetic research record</x:v>
      </x:c>
    </x:row>
    <x:row r="47">
      <x:c r="A47" s="9" t="str">
        <x:v>SYN-ALPHA-046</x:v>
      </x:c>
      <x:c r="B47" s="10" t="str">
        <x:v>Matched control</x:v>
      </x:c>
      <x:c r="C47" s="4" t="n">
        <x:v>-2.5</x:v>
      </x:c>
      <x:c r="D47" s="10" t="str">
        <x:v>Included</x:v>
      </x:c>
      <x:c r="E47" s="5" t="str">
        <x:v>2026-09-02</x:v>
      </x:c>
      <x:c r="F47" s="11" t="str">
        <x:v>Synthetic research record</x:v>
      </x:c>
    </x:row>
    <x:row r="48">
      <x:c r="A48" s="9" t="str">
        <x:v>SYN-ALPHA-047</x:v>
      </x:c>
      <x:c r="B48" s="10" t="str">
        <x:v>Matched control</x:v>
      </x:c>
      <x:c r="C48" s="4" t="n">
        <x:v>-1.7</x:v>
      </x:c>
      <x:c r="D48" s="10" t="str">
        <x:v>Included</x:v>
      </x:c>
      <x:c r="E48" s="5" t="str">
        <x:v>2026-09-02</x:v>
      </x:c>
      <x:c r="F48" s="11" t="str">
        <x:v>Synthetic research record</x:v>
      </x:c>
    </x:row>
    <x:row r="49">
      <x:c r="A49" s="12" t="str">
        <x:v>SYN-ALPHA-048</x:v>
      </x:c>
      <x:c r="B49" s="13" t="str">
        <x:v>Matched control</x:v>
      </x:c>
      <x:c r="C49" s="14" t="n">
        <x:v>-2.5</x:v>
      </x:c>
      <x:c r="D49" s="13" t="str">
        <x:v>Included</x:v>
      </x:c>
      <x:c r="E49" s="15" t="str">
        <x:v>2026-09-02</x:v>
      </x:c>
      <x:c r="F49" s="16" t="str">
        <x:v>Synthetic research record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2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1" hidden="0" customWidth="1"/>
  </x:cols>
  <x:sheetData>
    <x:row r="1">
      <x:c r="A1" s="3" t="str">
        <x:v>Synthetic event ID</x:v>
      </x:c>
      <x:c r="B1" s="3" t="str">
        <x:v>Synthetic case ID</x:v>
      </x:c>
      <x:c r="C1" s="3" t="str">
        <x:v>Preferred term</x:v>
      </x:c>
      <x:c r="D1" s="3" t="str">
        <x:v>Seriousness</x:v>
      </x:c>
      <x:c r="E1" s="3" t="str">
        <x:v>Status</x:v>
      </x:c>
      <x:c r="F1" s="3" t="str">
        <x:v>Onset date</x:v>
      </x:c>
      <x:c r="G1" s="3" t="str">
        <x:v>Assigned arm</x:v>
      </x:c>
      <x:c r="H1" s="3" t="str">
        <x:v>Snapshot date</x:v>
      </x:c>
      <x:c r="I1" s="3" t="str">
        <x:v>First event for case</x:v>
      </x:c>
    </x:row>
    <x:row r="2">
      <x:c r="A2" t="str">
        <x:v>AE-ALPHA-001</x:v>
      </x:c>
      <x:c r="B2" t="str">
        <x:v>SYN-ALPHA-001</x:v>
      </x:c>
      <x:c r="C2" t="str">
        <x:v>Headache</x:v>
      </x:c>
      <x:c r="D2" t="str">
        <x:v>Non-serious</x:v>
      </x:c>
      <x:c r="E2" t="str">
        <x:v>Resolved</x:v>
      </x:c>
      <x:c r="F2" s="5" t="str">
        <x:v>2026-08-04</x:v>
      </x:c>
      <x:c r="G2" t="str">
        <x:v>SC-A 2.5 mg</x:v>
      </x:c>
      <x:c r="H2" s="5" t="str">
        <x:v>2026-09-02</x:v>
      </x:c>
      <x:c r="I2" t="n">
        <x:f>IF(COUNTIF($B$2:B2,B2)=1,1,0)</x:f>
        <x:v>1</x:v>
      </x:c>
    </x:row>
    <x:row r="3">
      <x:c r="A3" t="str">
        <x:v>AE-ALPHA-002</x:v>
      </x:c>
      <x:c r="B3" t="str">
        <x:v>SYN-ALPHA-002</x:v>
      </x:c>
      <x:c r="C3" t="str">
        <x:v>Nausea</x:v>
      </x:c>
      <x:c r="D3" t="str">
        <x:v>Non-serious</x:v>
      </x:c>
      <x:c r="E3" t="str">
        <x:v>Resolved</x:v>
      </x:c>
      <x:c r="F3" s="5" t="str">
        <x:v>2026-08-11</x:v>
      </x:c>
      <x:c r="G3" t="str">
        <x:v>SC-A 2.5 mg</x:v>
      </x:c>
      <x:c r="H3" s="5" t="str">
        <x:v>2026-09-02</x:v>
      </x:c>
      <x:c r="I3" t="n">
        <x:f>IF(COUNTIF($B$2:B3,B3)=1,1,0)</x:f>
        <x:v>1</x:v>
      </x:c>
    </x:row>
    <x:row r="4">
      <x:c r="A4" t="str">
        <x:v>AE-ALPHA-003</x:v>
      </x:c>
      <x:c r="B4" t="str">
        <x:v>SYN-ALPHA-003</x:v>
      </x:c>
      <x:c r="C4" t="str">
        <x:v>Injection-site discomfort</x:v>
      </x:c>
      <x:c r="D4" t="str">
        <x:v>Non-serious</x:v>
      </x:c>
      <x:c r="E4" t="str">
        <x:v>Resolved</x:v>
      </x:c>
      <x:c r="F4" s="5" t="str">
        <x:v>2026-08-15</x:v>
      </x:c>
      <x:c r="G4" t="str">
        <x:v>SC-A 2.5 mg</x:v>
      </x:c>
      <x:c r="H4" s="5" t="str">
        <x:v>2026-09-02</x:v>
      </x:c>
      <x:c r="I4" t="n">
        <x:f>IF(COUNTIF($B$2:B4,B4)=1,1,0)</x:f>
        <x:v>1</x:v>
      </x:c>
    </x:row>
    <x:row r="5">
      <x:c r="A5" t="str">
        <x:v>AE-ALPHA-004</x:v>
      </x:c>
      <x:c r="B5" t="str">
        <x:v>SYN-ALPHA-003</x:v>
      </x:c>
      <x:c r="C5" t="str">
        <x:v>Fatigue</x:v>
      </x:c>
      <x:c r="D5" t="str">
        <x:v>Non-serious</x:v>
      </x:c>
      <x:c r="E5" t="str">
        <x:v>Resolved</x:v>
      </x:c>
      <x:c r="F5" s="5" t="str">
        <x:v>2026-08-18</x:v>
      </x:c>
      <x:c r="G5" t="str">
        <x:v>SC-A 2.5 mg</x:v>
      </x:c>
      <x:c r="H5" s="5" t="str">
        <x:v>2026-09-02</x:v>
      </x:c>
      <x:c r="I5" t="n">
        <x:f>IF(COUNTIF($B$2:B5,B5)=1,1,0)</x:f>
        <x:v>0</x:v>
      </x:c>
    </x:row>
    <x:row r="6">
      <x:c r="A6" t="str">
        <x:v>AE-ALPHA-005</x:v>
      </x:c>
      <x:c r="B6" t="str">
        <x:v>SYN-ALPHA-004</x:v>
      </x:c>
      <x:c r="C6" t="str">
        <x:v>Dizziness</x:v>
      </x:c>
      <x:c r="D6" t="str">
        <x:v>Non-serious</x:v>
      </x:c>
      <x:c r="E6" t="str">
        <x:v>Resolved</x:v>
      </x:c>
      <x:c r="F6" s="5" t="str">
        <x:v>2026-08-22</x:v>
      </x:c>
      <x:c r="G6" t="str">
        <x:v>SC-A 2.5 mg</x:v>
      </x:c>
      <x:c r="H6" s="5" t="str">
        <x:v>2026-09-02</x:v>
      </x:c>
      <x:c r="I6" t="n">
        <x:f>IF(COUNTIF($B$2:B6,B6)=1,1,0)</x:f>
        <x:v>1</x:v>
      </x:c>
    </x:row>
    <x:row r="7">
      <x:c r="A7" t="str">
        <x:v>AE-ALPHA-006</x:v>
      </x:c>
      <x:c r="B7" t="str">
        <x:v>SYN-ALPHA-005</x:v>
      </x:c>
      <x:c r="C7" t="str">
        <x:v>Rash</x:v>
      </x:c>
      <x:c r="D7" t="str">
        <x:v>Non-serious</x:v>
      </x:c>
      <x:c r="E7" t="str">
        <x:v>Resolving</x:v>
      </x:c>
      <x:c r="F7" s="5" t="str">
        <x:v>2026-08-26</x:v>
      </x:c>
      <x:c r="G7" t="str">
        <x:v>SC-A 2.5 mg</x:v>
      </x:c>
      <x:c r="H7" s="5" t="str">
        <x:v>2026-09-02</x:v>
      </x:c>
      <x:c r="I7" t="n">
        <x:f>IF(COUNTIF($B$2:B7,B7)=1,1,0)</x:f>
        <x:v>1</x:v>
      </x:c>
    </x:row>
    <x:row r="8">
      <x:c r="A8" t="str">
        <x:v>AE-ALPHA-007</x:v>
      </x:c>
      <x:c r="B8" t="str">
        <x:v>SYN-ALPHA-006</x:v>
      </x:c>
      <x:c r="C8" t="str">
        <x:v>Diarrhea</x:v>
      </x:c>
      <x:c r="D8" t="str">
        <x:v>Non-serious</x:v>
      </x:c>
      <x:c r="E8" t="str">
        <x:v>Resolved</x:v>
      </x:c>
      <x:c r="F8" s="5" t="str">
        <x:v>2026-08-30</x:v>
      </x:c>
      <x:c r="G8" t="str">
        <x:v>SC-A 2.5 mg</x:v>
      </x:c>
      <x:c r="H8" s="5" t="str">
        <x:v>2026-09-02</x:v>
      </x:c>
      <x:c r="I8" t="n">
        <x:f>IF(COUNTIF($B$2:B8,B8)=1,1,0)</x:f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5" hidden="0" customWidth="1"/>
  </x:cols>
  <x:sheetData>
    <x:row r="1">
      <x:c r="A1" s="37" t="str">
        <x:v>Field</x:v>
      </x:c>
      <x:c r="B1" s="37" t="str">
        <x:v>Definition</x:v>
      </x:c>
      <x:c r="C1" s="37" t="str">
        <x:v>Controlled values / units</x:v>
      </x:c>
    </x:row>
    <x:row r="2">
      <x:c r="A2" s="38" t="str">
        <x:v>Synthetic case ID</x:v>
      </x:c>
      <x:c r="B2" s="38" t="str">
        <x:v>Non-identifying synthetic study record key</x:v>
      </x:c>
      <x:c r="C2" s="38" t="str">
        <x:v>SYN-ALPHA-001 to SYN-ALPHA-048</x:v>
      </x:c>
    </x:row>
    <x:row r="3">
      <x:c r="A3" s="38" t="str">
        <x:v>Assigned arm</x:v>
      </x:c>
      <x:c r="B3" s="38" t="str">
        <x:v>Randomized synthetic allocation</x:v>
      </x:c>
      <x:c r="C3" s="38" t="str">
        <x:v>SC-A 2.5 mg; Matched control</x:v>
      </x:c>
    </x:row>
    <x:row r="4">
      <x:c r="A4" s="38" t="str">
        <x:v>Day-28 change</x:v>
      </x:c>
      <x:c r="B4" s="38" t="str">
        <x:v>Synthetic symptom-index change from baseline</x:v>
      </x:c>
      <x:c r="C4" s="38" t="str">
        <x:v>Index points</x:v>
      </x:c>
    </x:row>
    <x:row r="5">
      <x:c r="A5" s="38" t="str">
        <x:v>Seriousness</x:v>
      </x:c>
      <x:c r="B5" s="38" t="str">
        <x:v>Synthetic adverse-event seriousness category</x:v>
      </x:c>
      <x:c r="C5" s="38" t="str">
        <x:v>Non-serious; Serious</x:v>
      </x:c>
    </x:row>
    <x:row r="6">
      <x:c r="A6" s="38" t="str">
        <x:v>Snapshot date</x:v>
      </x:c>
      <x:c r="B6" s="38" t="str">
        <x:v>Frozen export date</x:v>
      </x:c>
      <x:c r="C6" s="38" t="str">
        <x:v>2026-09-02</x:v>
      </x:c>
    </x:row>
    <x:row r="7">
      <x:c r="A7" s="38" t="str">
        <x:v>Data classification</x:v>
      </x:c>
      <x:c r="B7" s="38" t="str">
        <x:v>Use limitation</x:v>
      </x:c>
      <x:c r="C7" s="38" t="str">
        <x:v>Synthetic only — no PHI</x:v>
      </x:c>
    </x:row>
  </x:sheetData>
  <x:pageMargins left="0.7" right="0.7" top="0.75" bottom="0.75" header="0.3" footer="0.3"/>
</x:worksheet>
</file>