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e602c7627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Data" sheetId="1" r:id="R6ea2dc587f4e422a"/>
    <x:sheet xmlns:r="http://schemas.openxmlformats.org/officeDocument/2006/relationships" name="Calculations" sheetId="2" r:id="R73a94100498f4808"/>
    <x:sheet xmlns:r="http://schemas.openxmlformats.org/officeDocument/2006/relationships" name="QC Summary" sheetId="3" r:id="Rc07f09b11ab1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7de83ea874836" /><Relationship Type="http://schemas.openxmlformats.org/officeDocument/2006/relationships/theme" Target="/xl/theme/theme1.xml" Id="Ra82e2dafc901493e" /><Relationship Type="http://schemas.openxmlformats.org/officeDocument/2006/relationships/sharedStrings" Target="/xl/sharedStrings.xml" Id="Re31b66863afd4542" /><Relationship Type="http://schemas.openxmlformats.org/officeDocument/2006/relationships/worksheet" Target="/xl/worksheets/sheet1.xml" Id="R6ea2dc587f4e422a" /><Relationship Type="http://schemas.openxmlformats.org/officeDocument/2006/relationships/worksheet" Target="/xl/worksheets/sheet2.xml" Id="R73a94100498f4808" /><Relationship Type="http://schemas.openxmlformats.org/officeDocument/2006/relationships/worksheet" Target="/xl/worksheets/sheet3.xml" Id="Rc07f09b11ab147be" /></Relationships>
</file>

<file path=xl/tables/table1.xml><?xml version="1.0" encoding="utf-8"?>
<x:table xmlns:x="http://schemas.openxmlformats.org/spreadsheetml/2006/main" id="1" name="SyntheticAlphaData" displayName="SyntheticAlphaData" ref="A1:F49" headerRowCount="1" totalsRowCount="0" totalsRowShown="0">
  <x:tableColumns count="6">
    <x:tableColumn id="1" name="case_id"/>
    <x:tableColumn id="2" name="arm"/>
    <x:tableColumn id="3" name="day28_change_points"/>
    <x:tableColumn id="4" name="dose_threshold_mg"/>
    <x:tableColumn id="5" name="nonserious_ae"/>
    <x:tableColumn id="6" name="serious_ae&#13;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ad768933fc47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2" hidden="0" customWidth="1"/>
    <x:col min="5" max="5" width="28" hidden="0" customWidth="1"/>
    <x:col min="6" max="6" width="14" hidden="0" customWidth="1"/>
    <x:col min="8" max="8" width="16" hidden="0" customWidth="1"/>
  </x:cols>
  <x:sheetData>
    <x:row r="1">
      <x:c r="A1" s="6" t="str">
        <x:v>case_id</x:v>
      </x:c>
      <x:c r="B1" s="6" t="str">
        <x:v>arm</x:v>
      </x:c>
      <x:c r="C1" s="6" t="str">
        <x:v>day28_change_points</x:v>
      </x:c>
      <x:c r="D1" s="6" t="str">
        <x:v>dose_threshold_mg</x:v>
      </x:c>
      <x:c r="E1" s="6" t="str">
        <x:v>nonserious_ae</x:v>
      </x:c>
      <x:c r="F1" s="6" t="str">
        <x:v>serious_ae
</x:v>
      </x:c>
      <x:c r="H1" s="3" t="str">
        <x:v>AE event count</x:v>
      </x:c>
    </x:row>
    <x:row r="2">
      <x:c r="A2" s="7" t="str">
        <x:v>SYN-ALPHA-001</x:v>
      </x:c>
      <x:c r="B2" s="7" t="str">
        <x:v>Intervention</x:v>
      </x:c>
      <x:c r="C2" s="8" t="str">
        <x:v>-4.4</x:v>
      </x:c>
      <x:c r="D2" s="8" t="str">
        <x:v>2.5</x:v>
      </x:c>
      <x:c r="E2" s="7" t="str">
        <x:v>Headache</x:v>
      </x:c>
      <x:c r="F2" s="7" t="str">
        <x:v>
</x:v>
      </x:c>
      <x:c r="H2" t="n">
        <x:f>IF(E2="",0,IF(E2="Injection-site discomfort;Fatigue",2,1))</x:f>
        <x:v>1</x:v>
      </x:c>
    </x:row>
    <x:row r="3">
      <x:c r="A3" s="7" t="str">
        <x:v>SYN-ALPHA-002</x:v>
      </x:c>
      <x:c r="B3" s="7" t="str">
        <x:v>Intervention</x:v>
      </x:c>
      <x:c r="C3" s="8" t="str">
        <x:v>-5.2</x:v>
      </x:c>
      <x:c r="D3" s="8" t="str">
        <x:v>2.5</x:v>
      </x:c>
      <x:c r="E3" s="7" t="str">
        <x:v>Nausea</x:v>
      </x:c>
      <x:c r="F3" s="7" t="str">
        <x:v>
</x:v>
      </x:c>
      <x:c r="H3" t="n">
        <x:f>IF(E3="",0,IF(E3="Injection-site discomfort;Fatigue",2,1))</x:f>
        <x:v>1</x:v>
      </x:c>
    </x:row>
    <x:row r="4">
      <x:c r="A4" s="7" t="str">
        <x:v>SYN-ALPHA-003</x:v>
      </x:c>
      <x:c r="B4" s="7" t="str">
        <x:v>Intervention</x:v>
      </x:c>
      <x:c r="C4" s="8" t="str">
        <x:v>-4.4</x:v>
      </x:c>
      <x:c r="D4" s="8" t="str">
        <x:v>2.5</x:v>
      </x:c>
      <x:c r="E4" s="7" t="str">
        <x:v>Injection-site discomfort;Fatigue</x:v>
      </x:c>
      <x:c r="F4" s="7" t="str">
        <x:v>
</x:v>
      </x:c>
      <x:c r="H4" t="n">
        <x:f>IF(E4="",0,IF(E4="Injection-site discomfort;Fatigue",2,1))</x:f>
        <x:v>2</x:v>
      </x:c>
    </x:row>
    <x:row r="5">
      <x:c r="A5" s="7" t="str">
        <x:v>SYN-ALPHA-004</x:v>
      </x:c>
      <x:c r="B5" s="7" t="str">
        <x:v>Intervention</x:v>
      </x:c>
      <x:c r="C5" s="8" t="str">
        <x:v>-5.2</x:v>
      </x:c>
      <x:c r="D5" s="8" t="str">
        <x:v>2.5</x:v>
      </x:c>
      <x:c r="E5" s="7" t="str">
        <x:v>Dizziness</x:v>
      </x:c>
      <x:c r="F5" s="7" t="str">
        <x:v>
</x:v>
      </x:c>
      <x:c r="H5" t="n">
        <x:f>IF(E5="",0,IF(E5="Injection-site discomfort;Fatigue",2,1))</x:f>
        <x:v>1</x:v>
      </x:c>
    </x:row>
    <x:row r="6">
      <x:c r="A6" s="7" t="str">
        <x:v>SYN-ALPHA-005</x:v>
      </x:c>
      <x:c r="B6" s="7" t="str">
        <x:v>Intervention</x:v>
      </x:c>
      <x:c r="C6" s="8" t="str">
        <x:v>-4.4</x:v>
      </x:c>
      <x:c r="D6" s="8" t="str">
        <x:v>2.5</x:v>
      </x:c>
      <x:c r="E6" s="7" t="str">
        <x:v>Rash</x:v>
      </x:c>
      <x:c r="F6" s="7" t="str">
        <x:v>
</x:v>
      </x:c>
      <x:c r="H6" t="n">
        <x:f>IF(E6="",0,IF(E6="Injection-site discomfort;Fatigue",2,1))</x:f>
        <x:v>1</x:v>
      </x:c>
    </x:row>
    <x:row r="7">
      <x:c r="A7" s="7" t="str">
        <x:v>SYN-ALPHA-006</x:v>
      </x:c>
      <x:c r="B7" s="7" t="str">
        <x:v>Intervention</x:v>
      </x:c>
      <x:c r="C7" s="8" t="str">
        <x:v>-5.2</x:v>
      </x:c>
      <x:c r="D7" s="8" t="str">
        <x:v>2.5</x:v>
      </x:c>
      <x:c r="E7" s="7" t="str">
        <x:v>Diarrhea</x:v>
      </x:c>
      <x:c r="F7" s="7" t="str">
        <x:v>
</x:v>
      </x:c>
      <x:c r="H7" t="n">
        <x:f>IF(E7="",0,IF(E7="Injection-site discomfort;Fatigue",2,1))</x:f>
        <x:v>1</x:v>
      </x:c>
    </x:row>
    <x:row r="8">
      <x:c r="A8" s="7" t="str">
        <x:v>SYN-ALPHA-007</x:v>
      </x:c>
      <x:c r="B8" s="7" t="str">
        <x:v>Intervention</x:v>
      </x:c>
      <x:c r="C8" s="8" t="str">
        <x:v>-4.4</x:v>
      </x:c>
      <x:c r="D8" s="8" t="str">
        <x:v>2.5</x:v>
      </x:c>
      <x:c r="E8" s="7" t="str"/>
      <x:c r="F8" s="7" t="str">
        <x:v>
</x:v>
      </x:c>
      <x:c r="H8" t="n">
        <x:f>IF(E8="",0,IF(E8="Injection-site discomfort;Fatigue",2,1))</x:f>
        <x:v>0</x:v>
      </x:c>
    </x:row>
    <x:row r="9">
      <x:c r="A9" s="7" t="str">
        <x:v>SYN-ALPHA-008</x:v>
      </x:c>
      <x:c r="B9" s="7" t="str">
        <x:v>Intervention</x:v>
      </x:c>
      <x:c r="C9" s="8" t="str">
        <x:v>-5.2</x:v>
      </x:c>
      <x:c r="D9" s="8" t="str">
        <x:v>2.5</x:v>
      </x:c>
      <x:c r="E9" s="7" t="str"/>
      <x:c r="F9" s="7" t="str">
        <x:v>
</x:v>
      </x:c>
      <x:c r="H9" t="n">
        <x:f>IF(E9="",0,IF(E9="Injection-site discomfort;Fatigue",2,1))</x:f>
        <x:v>0</x:v>
      </x:c>
    </x:row>
    <x:row r="10">
      <x:c r="A10" s="7" t="str">
        <x:v>SYN-ALPHA-009</x:v>
      </x:c>
      <x:c r="B10" s="7" t="str">
        <x:v>Intervention</x:v>
      </x:c>
      <x:c r="C10" s="8" t="str">
        <x:v>-4.4</x:v>
      </x:c>
      <x:c r="D10" s="8" t="str">
        <x:v>2.5</x:v>
      </x:c>
      <x:c r="E10" s="7" t="str"/>
      <x:c r="F10" s="7" t="str">
        <x:v>
</x:v>
      </x:c>
      <x:c r="H10" t="n">
        <x:f>IF(E10="",0,IF(E10="Injection-site discomfort;Fatigue",2,1))</x:f>
        <x:v>0</x:v>
      </x:c>
    </x:row>
    <x:row r="11">
      <x:c r="A11" s="7" t="str">
        <x:v>SYN-ALPHA-010</x:v>
      </x:c>
      <x:c r="B11" s="7" t="str">
        <x:v>Intervention</x:v>
      </x:c>
      <x:c r="C11" s="8" t="str">
        <x:v>-5.2</x:v>
      </x:c>
      <x:c r="D11" s="8" t="str">
        <x:v>2.5</x:v>
      </x:c>
      <x:c r="E11" s="7" t="str"/>
      <x:c r="F11" s="7" t="str">
        <x:v>
</x:v>
      </x:c>
      <x:c r="H11" t="n">
        <x:f>IF(E11="",0,IF(E11="Injection-site discomfort;Fatigue",2,1))</x:f>
        <x:v>0</x:v>
      </x:c>
    </x:row>
    <x:row r="12">
      <x:c r="A12" s="7" t="str">
        <x:v>SYN-ALPHA-011</x:v>
      </x:c>
      <x:c r="B12" s="7" t="str">
        <x:v>Intervention</x:v>
      </x:c>
      <x:c r="C12" s="8" t="str">
        <x:v>-4.4</x:v>
      </x:c>
      <x:c r="D12" s="8" t="str">
        <x:v>2.5</x:v>
      </x:c>
      <x:c r="E12" s="7" t="str"/>
      <x:c r="F12" s="7" t="str">
        <x:v>
</x:v>
      </x:c>
      <x:c r="H12" t="n">
        <x:f>IF(E12="",0,IF(E12="Injection-site discomfort;Fatigue",2,1))</x:f>
        <x:v>0</x:v>
      </x:c>
    </x:row>
    <x:row r="13">
      <x:c r="A13" s="7" t="str">
        <x:v>SYN-ALPHA-012</x:v>
      </x:c>
      <x:c r="B13" s="7" t="str">
        <x:v>Intervention</x:v>
      </x:c>
      <x:c r="C13" s="8" t="str">
        <x:v>-5.2</x:v>
      </x:c>
      <x:c r="D13" s="8" t="str">
        <x:v>2.5</x:v>
      </x:c>
      <x:c r="E13" s="7" t="str"/>
      <x:c r="F13" s="7" t="str">
        <x:v>
</x:v>
      </x:c>
      <x:c r="H13" t="n">
        <x:f>IF(E13="",0,IF(E13="Injection-site discomfort;Fatigue",2,1))</x:f>
        <x:v>0</x:v>
      </x:c>
    </x:row>
    <x:row r="14">
      <x:c r="A14" s="7" t="str">
        <x:v>SYN-ALPHA-013</x:v>
      </x:c>
      <x:c r="B14" s="7" t="str">
        <x:v>Intervention</x:v>
      </x:c>
      <x:c r="C14" s="8" t="str">
        <x:v>-4.4</x:v>
      </x:c>
      <x:c r="D14" s="8" t="str">
        <x:v>2.5</x:v>
      </x:c>
      <x:c r="E14" s="7" t="str"/>
      <x:c r="F14" s="7" t="str">
        <x:v>
</x:v>
      </x:c>
      <x:c r="H14" t="n">
        <x:f>IF(E14="",0,IF(E14="Injection-site discomfort;Fatigue",2,1))</x:f>
        <x:v>0</x:v>
      </x:c>
    </x:row>
    <x:row r="15">
      <x:c r="A15" s="7" t="str">
        <x:v>SYN-ALPHA-014</x:v>
      </x:c>
      <x:c r="B15" s="7" t="str">
        <x:v>Intervention</x:v>
      </x:c>
      <x:c r="C15" s="8" t="str">
        <x:v>-5.2</x:v>
      </x:c>
      <x:c r="D15" s="8" t="str">
        <x:v>2.5</x:v>
      </x:c>
      <x:c r="E15" s="7" t="str"/>
      <x:c r="F15" s="7" t="str">
        <x:v>
</x:v>
      </x:c>
      <x:c r="H15" t="n">
        <x:f>IF(E15="",0,IF(E15="Injection-site discomfort;Fatigue",2,1))</x:f>
        <x:v>0</x:v>
      </x:c>
    </x:row>
    <x:row r="16">
      <x:c r="A16" s="7" t="str">
        <x:v>SYN-ALPHA-015</x:v>
      </x:c>
      <x:c r="B16" s="7" t="str">
        <x:v>Intervention</x:v>
      </x:c>
      <x:c r="C16" s="8" t="str">
        <x:v>-4.4</x:v>
      </x:c>
      <x:c r="D16" s="8" t="str">
        <x:v>2.5</x:v>
      </x:c>
      <x:c r="E16" s="7" t="str"/>
      <x:c r="F16" s="7" t="str">
        <x:v>
</x:v>
      </x:c>
      <x:c r="H16" t="n">
        <x:f>IF(E16="",0,IF(E16="Injection-site discomfort;Fatigue",2,1))</x:f>
        <x:v>0</x:v>
      </x:c>
    </x:row>
    <x:row r="17">
      <x:c r="A17" s="7" t="str">
        <x:v>SYN-ALPHA-016</x:v>
      </x:c>
      <x:c r="B17" s="7" t="str">
        <x:v>Intervention</x:v>
      </x:c>
      <x:c r="C17" s="8" t="str">
        <x:v>-5.2</x:v>
      </x:c>
      <x:c r="D17" s="8" t="str">
        <x:v>2.5</x:v>
      </x:c>
      <x:c r="E17" s="7" t="str"/>
      <x:c r="F17" s="7" t="str">
        <x:v>
</x:v>
      </x:c>
      <x:c r="H17" t="n">
        <x:f>IF(E17="",0,IF(E17="Injection-site discomfort;Fatigue",2,1))</x:f>
        <x:v>0</x:v>
      </x:c>
    </x:row>
    <x:row r="18">
      <x:c r="A18" s="7" t="str">
        <x:v>SYN-ALPHA-017</x:v>
      </x:c>
      <x:c r="B18" s="7" t="str">
        <x:v>Intervention</x:v>
      </x:c>
      <x:c r="C18" s="8" t="str">
        <x:v>-4.4</x:v>
      </x:c>
      <x:c r="D18" s="8" t="str">
        <x:v>2.5</x:v>
      </x:c>
      <x:c r="E18" s="7" t="str"/>
      <x:c r="F18" s="7" t="str">
        <x:v>
</x:v>
      </x:c>
      <x:c r="H18" t="n">
        <x:f>IF(E18="",0,IF(E18="Injection-site discomfort;Fatigue",2,1))</x:f>
        <x:v>0</x:v>
      </x:c>
    </x:row>
    <x:row r="19">
      <x:c r="A19" s="7" t="str">
        <x:v>SYN-ALPHA-018</x:v>
      </x:c>
      <x:c r="B19" s="7" t="str">
        <x:v>Intervention</x:v>
      </x:c>
      <x:c r="C19" s="8" t="str">
        <x:v>-5.2</x:v>
      </x:c>
      <x:c r="D19" s="8" t="str">
        <x:v>2.5</x:v>
      </x:c>
      <x:c r="E19" s="7" t="str"/>
      <x:c r="F19" s="7" t="str">
        <x:v>
</x:v>
      </x:c>
      <x:c r="H19" t="n">
        <x:f>IF(E19="",0,IF(E19="Injection-site discomfort;Fatigue",2,1))</x:f>
        <x:v>0</x:v>
      </x:c>
    </x:row>
    <x:row r="20">
      <x:c r="A20" s="7" t="str">
        <x:v>SYN-ALPHA-019</x:v>
      </x:c>
      <x:c r="B20" s="7" t="str">
        <x:v>Intervention</x:v>
      </x:c>
      <x:c r="C20" s="8" t="str">
        <x:v>-4.4</x:v>
      </x:c>
      <x:c r="D20" s="8" t="str">
        <x:v>2.5</x:v>
      </x:c>
      <x:c r="E20" s="7" t="str"/>
      <x:c r="F20" s="7" t="str">
        <x:v>
</x:v>
      </x:c>
      <x:c r="H20" t="n">
        <x:f>IF(E20="",0,IF(E20="Injection-site discomfort;Fatigue",2,1))</x:f>
        <x:v>0</x:v>
      </x:c>
    </x:row>
    <x:row r="21">
      <x:c r="A21" s="7" t="str">
        <x:v>SYN-ALPHA-020</x:v>
      </x:c>
      <x:c r="B21" s="7" t="str">
        <x:v>Intervention</x:v>
      </x:c>
      <x:c r="C21" s="8" t="str">
        <x:v>-5.2</x:v>
      </x:c>
      <x:c r="D21" s="8" t="str">
        <x:v>2.5</x:v>
      </x:c>
      <x:c r="E21" s="7" t="str"/>
      <x:c r="F21" s="7" t="str">
        <x:v>
</x:v>
      </x:c>
      <x:c r="H21" t="n">
        <x:f>IF(E21="",0,IF(E21="Injection-site discomfort;Fatigue",2,1))</x:f>
        <x:v>0</x:v>
      </x:c>
    </x:row>
    <x:row r="22">
      <x:c r="A22" s="7" t="str">
        <x:v>SYN-ALPHA-021</x:v>
      </x:c>
      <x:c r="B22" s="7" t="str">
        <x:v>Intervention</x:v>
      </x:c>
      <x:c r="C22" s="8" t="str">
        <x:v>-4.4</x:v>
      </x:c>
      <x:c r="D22" s="8" t="str">
        <x:v>2.5</x:v>
      </x:c>
      <x:c r="E22" s="7" t="str"/>
      <x:c r="F22" s="7" t="str">
        <x:v>
</x:v>
      </x:c>
      <x:c r="H22" t="n">
        <x:f>IF(E22="",0,IF(E22="Injection-site discomfort;Fatigue",2,1))</x:f>
        <x:v>0</x:v>
      </x:c>
    </x:row>
    <x:row r="23">
      <x:c r="A23" s="7" t="str">
        <x:v>SYN-ALPHA-022</x:v>
      </x:c>
      <x:c r="B23" s="7" t="str">
        <x:v>Intervention</x:v>
      </x:c>
      <x:c r="C23" s="8" t="str">
        <x:v>-5.2</x:v>
      </x:c>
      <x:c r="D23" s="8" t="str">
        <x:v>2.5</x:v>
      </x:c>
      <x:c r="E23" s="7" t="str"/>
      <x:c r="F23" s="7" t="str">
        <x:v>
</x:v>
      </x:c>
      <x:c r="H23" t="n">
        <x:f>IF(E23="",0,IF(E23="Injection-site discomfort;Fatigue",2,1))</x:f>
        <x:v>0</x:v>
      </x:c>
    </x:row>
    <x:row r="24">
      <x:c r="A24" s="7" t="str">
        <x:v>SYN-ALPHA-023</x:v>
      </x:c>
      <x:c r="B24" s="7" t="str">
        <x:v>Intervention</x:v>
      </x:c>
      <x:c r="C24" s="8" t="str">
        <x:v>-4.4</x:v>
      </x:c>
      <x:c r="D24" s="8" t="str">
        <x:v>2.5</x:v>
      </x:c>
      <x:c r="E24" s="7" t="str"/>
      <x:c r="F24" s="7" t="str">
        <x:v>
</x:v>
      </x:c>
      <x:c r="H24" t="n">
        <x:f>IF(E24="",0,IF(E24="Injection-site discomfort;Fatigue",2,1))</x:f>
        <x:v>0</x:v>
      </x:c>
    </x:row>
    <x:row r="25">
      <x:c r="A25" s="7" t="str">
        <x:v>SYN-ALPHA-024</x:v>
      </x:c>
      <x:c r="B25" s="7" t="str">
        <x:v>Intervention</x:v>
      </x:c>
      <x:c r="C25" s="8" t="str">
        <x:v>-5.2</x:v>
      </x:c>
      <x:c r="D25" s="8" t="str">
        <x:v>2.5</x:v>
      </x:c>
      <x:c r="E25" s="7" t="str"/>
      <x:c r="F25" s="7" t="str">
        <x:v>
</x:v>
      </x:c>
      <x:c r="H25" t="n">
        <x:f>IF(E25="",0,IF(E25="Injection-site discomfort;Fatigue",2,1))</x:f>
        <x:v>0</x:v>
      </x:c>
    </x:row>
    <x:row r="26">
      <x:c r="A26" s="7" t="str">
        <x:v>SYN-ALPHA-025</x:v>
      </x:c>
      <x:c r="B26" s="7" t="str">
        <x:v>Control</x:v>
      </x:c>
      <x:c r="C26" s="8" t="str">
        <x:v>-1.7</x:v>
      </x:c>
      <x:c r="D26" s="8" t="str">
        <x:v>2.5</x:v>
      </x:c>
      <x:c r="E26" s="7" t="str"/>
      <x:c r="F26" s="7" t="str">
        <x:v>
</x:v>
      </x:c>
      <x:c r="H26" t="n">
        <x:f>IF(E26="",0,IF(E26="Injection-site discomfort;Fatigue",2,1))</x:f>
        <x:v>0</x:v>
      </x:c>
    </x:row>
    <x:row r="27">
      <x:c r="A27" s="7" t="str">
        <x:v>SYN-ALPHA-026</x:v>
      </x:c>
      <x:c r="B27" s="7" t="str">
        <x:v>Control</x:v>
      </x:c>
      <x:c r="C27" s="8" t="str">
        <x:v>-2.5</x:v>
      </x:c>
      <x:c r="D27" s="8" t="str">
        <x:v>2.5</x:v>
      </x:c>
      <x:c r="E27" s="7" t="str"/>
      <x:c r="F27" s="7" t="str">
        <x:v>
</x:v>
      </x:c>
      <x:c r="H27" t="n">
        <x:f>IF(E27="",0,IF(E27="Injection-site discomfort;Fatigue",2,1))</x:f>
        <x:v>0</x:v>
      </x:c>
    </x:row>
    <x:row r="28">
      <x:c r="A28" s="7" t="str">
        <x:v>SYN-ALPHA-027</x:v>
      </x:c>
      <x:c r="B28" s="7" t="str">
        <x:v>Control</x:v>
      </x:c>
      <x:c r="C28" s="8" t="str">
        <x:v>-1.7</x:v>
      </x:c>
      <x:c r="D28" s="8" t="str">
        <x:v>2.5</x:v>
      </x:c>
      <x:c r="E28" s="7" t="str"/>
      <x:c r="F28" s="7" t="str">
        <x:v>
</x:v>
      </x:c>
      <x:c r="H28" t="n">
        <x:f>IF(E28="",0,IF(E28="Injection-site discomfort;Fatigue",2,1))</x:f>
        <x:v>0</x:v>
      </x:c>
    </x:row>
    <x:row r="29">
      <x:c r="A29" s="7" t="str">
        <x:v>SYN-ALPHA-028</x:v>
      </x:c>
      <x:c r="B29" s="7" t="str">
        <x:v>Control</x:v>
      </x:c>
      <x:c r="C29" s="8" t="str">
        <x:v>-2.5</x:v>
      </x:c>
      <x:c r="D29" s="8" t="str">
        <x:v>2.5</x:v>
      </x:c>
      <x:c r="E29" s="7" t="str"/>
      <x:c r="F29" s="7" t="str">
        <x:v>
</x:v>
      </x:c>
      <x:c r="H29" t="n">
        <x:f>IF(E29="",0,IF(E29="Injection-site discomfort;Fatigue",2,1))</x:f>
        <x:v>0</x:v>
      </x:c>
    </x:row>
    <x:row r="30">
      <x:c r="A30" s="7" t="str">
        <x:v>SYN-ALPHA-029</x:v>
      </x:c>
      <x:c r="B30" s="7" t="str">
        <x:v>Control</x:v>
      </x:c>
      <x:c r="C30" s="8" t="str">
        <x:v>-1.7</x:v>
      </x:c>
      <x:c r="D30" s="8" t="str">
        <x:v>2.5</x:v>
      </x:c>
      <x:c r="E30" s="7" t="str"/>
      <x:c r="F30" s="7" t="str">
        <x:v>
</x:v>
      </x:c>
      <x:c r="H30" t="n">
        <x:f>IF(E30="",0,IF(E30="Injection-site discomfort;Fatigue",2,1))</x:f>
        <x:v>0</x:v>
      </x:c>
    </x:row>
    <x:row r="31">
      <x:c r="A31" s="7" t="str">
        <x:v>SYN-ALPHA-030</x:v>
      </x:c>
      <x:c r="B31" s="7" t="str">
        <x:v>Control</x:v>
      </x:c>
      <x:c r="C31" s="8" t="str">
        <x:v>-2.5</x:v>
      </x:c>
      <x:c r="D31" s="8" t="str">
        <x:v>2.5</x:v>
      </x:c>
      <x:c r="E31" s="7" t="str"/>
      <x:c r="F31" s="7" t="str">
        <x:v>
</x:v>
      </x:c>
      <x:c r="H31" t="n">
        <x:f>IF(E31="",0,IF(E31="Injection-site discomfort;Fatigue",2,1))</x:f>
        <x:v>0</x:v>
      </x:c>
    </x:row>
    <x:row r="32">
      <x:c r="A32" s="7" t="str">
        <x:v>SYN-ALPHA-031</x:v>
      </x:c>
      <x:c r="B32" s="7" t="str">
        <x:v>Control</x:v>
      </x:c>
      <x:c r="C32" s="8" t="str">
        <x:v>-1.7</x:v>
      </x:c>
      <x:c r="D32" s="8" t="str">
        <x:v>2.5</x:v>
      </x:c>
      <x:c r="E32" s="7" t="str"/>
      <x:c r="F32" s="7" t="str">
        <x:v>
</x:v>
      </x:c>
      <x:c r="H32" t="n">
        <x:f>IF(E32="",0,IF(E32="Injection-site discomfort;Fatigue",2,1))</x:f>
        <x:v>0</x:v>
      </x:c>
    </x:row>
    <x:row r="33">
      <x:c r="A33" s="7" t="str">
        <x:v>SYN-ALPHA-032</x:v>
      </x:c>
      <x:c r="B33" s="7" t="str">
        <x:v>Control</x:v>
      </x:c>
      <x:c r="C33" s="8" t="str">
        <x:v>-2.5</x:v>
      </x:c>
      <x:c r="D33" s="8" t="str">
        <x:v>2.5</x:v>
      </x:c>
      <x:c r="E33" s="7" t="str"/>
      <x:c r="F33" s="7" t="str">
        <x:v>
</x:v>
      </x:c>
      <x:c r="H33" t="n">
        <x:f>IF(E33="",0,IF(E33="Injection-site discomfort;Fatigue",2,1))</x:f>
        <x:v>0</x:v>
      </x:c>
    </x:row>
    <x:row r="34">
      <x:c r="A34" s="7" t="str">
        <x:v>SYN-ALPHA-033</x:v>
      </x:c>
      <x:c r="B34" s="7" t="str">
        <x:v>Control</x:v>
      </x:c>
      <x:c r="C34" s="8" t="str">
        <x:v>-1.7</x:v>
      </x:c>
      <x:c r="D34" s="8" t="str">
        <x:v>2.5</x:v>
      </x:c>
      <x:c r="E34" s="7" t="str"/>
      <x:c r="F34" s="7" t="str">
        <x:v>
</x:v>
      </x:c>
      <x:c r="H34" t="n">
        <x:f>IF(E34="",0,IF(E34="Injection-site discomfort;Fatigue",2,1))</x:f>
        <x:v>0</x:v>
      </x:c>
    </x:row>
    <x:row r="35">
      <x:c r="A35" s="7" t="str">
        <x:v>SYN-ALPHA-034</x:v>
      </x:c>
      <x:c r="B35" s="7" t="str">
        <x:v>Control</x:v>
      </x:c>
      <x:c r="C35" s="8" t="str">
        <x:v>-2.5</x:v>
      </x:c>
      <x:c r="D35" s="8" t="str">
        <x:v>2.5</x:v>
      </x:c>
      <x:c r="E35" s="7" t="str"/>
      <x:c r="F35" s="7" t="str">
        <x:v>
</x:v>
      </x:c>
      <x:c r="H35" t="n">
        <x:f>IF(E35="",0,IF(E35="Injection-site discomfort;Fatigue",2,1))</x:f>
        <x:v>0</x:v>
      </x:c>
    </x:row>
    <x:row r="36">
      <x:c r="A36" s="7" t="str">
        <x:v>SYN-ALPHA-035</x:v>
      </x:c>
      <x:c r="B36" s="7" t="str">
        <x:v>Control</x:v>
      </x:c>
      <x:c r="C36" s="8" t="str">
        <x:v>-1.7</x:v>
      </x:c>
      <x:c r="D36" s="8" t="str">
        <x:v>2.5</x:v>
      </x:c>
      <x:c r="E36" s="7" t="str"/>
      <x:c r="F36" s="7" t="str">
        <x:v>
</x:v>
      </x:c>
      <x:c r="H36" t="n">
        <x:f>IF(E36="",0,IF(E36="Injection-site discomfort;Fatigue",2,1))</x:f>
        <x:v>0</x:v>
      </x:c>
    </x:row>
    <x:row r="37">
      <x:c r="A37" s="7" t="str">
        <x:v>SYN-ALPHA-036</x:v>
      </x:c>
      <x:c r="B37" s="7" t="str">
        <x:v>Control</x:v>
      </x:c>
      <x:c r="C37" s="8" t="str">
        <x:v>-2.5</x:v>
      </x:c>
      <x:c r="D37" s="8" t="str">
        <x:v>2.5</x:v>
      </x:c>
      <x:c r="E37" s="7" t="str"/>
      <x:c r="F37" s="7" t="str">
        <x:v>
</x:v>
      </x:c>
      <x:c r="H37" t="n">
        <x:f>IF(E37="",0,IF(E37="Injection-site discomfort;Fatigue",2,1))</x:f>
        <x:v>0</x:v>
      </x:c>
    </x:row>
    <x:row r="38">
      <x:c r="A38" s="7" t="str">
        <x:v>SYN-ALPHA-037</x:v>
      </x:c>
      <x:c r="B38" s="7" t="str">
        <x:v>Control</x:v>
      </x:c>
      <x:c r="C38" s="8" t="str">
        <x:v>-1.7</x:v>
      </x:c>
      <x:c r="D38" s="8" t="str">
        <x:v>2.5</x:v>
      </x:c>
      <x:c r="E38" s="7" t="str"/>
      <x:c r="F38" s="7" t="str">
        <x:v>
</x:v>
      </x:c>
      <x:c r="H38" t="n">
        <x:f>IF(E38="",0,IF(E38="Injection-site discomfort;Fatigue",2,1))</x:f>
        <x:v>0</x:v>
      </x:c>
    </x:row>
    <x:row r="39">
      <x:c r="A39" s="7" t="str">
        <x:v>SYN-ALPHA-038</x:v>
      </x:c>
      <x:c r="B39" s="7" t="str">
        <x:v>Control</x:v>
      </x:c>
      <x:c r="C39" s="8" t="str">
        <x:v>-2.5</x:v>
      </x:c>
      <x:c r="D39" s="8" t="str">
        <x:v>2.5</x:v>
      </x:c>
      <x:c r="E39" s="7" t="str"/>
      <x:c r="F39" s="7" t="str">
        <x:v>
</x:v>
      </x:c>
      <x:c r="H39" t="n">
        <x:f>IF(E39="",0,IF(E39="Injection-site discomfort;Fatigue",2,1))</x:f>
        <x:v>0</x:v>
      </x:c>
    </x:row>
    <x:row r="40">
      <x:c r="A40" s="7" t="str">
        <x:v>SYN-ALPHA-039</x:v>
      </x:c>
      <x:c r="B40" s="7" t="str">
        <x:v>Control</x:v>
      </x:c>
      <x:c r="C40" s="8" t="str">
        <x:v>-1.7</x:v>
      </x:c>
      <x:c r="D40" s="8" t="str">
        <x:v>2.5</x:v>
      </x:c>
      <x:c r="E40" s="7" t="str"/>
      <x:c r="F40" s="7" t="str">
        <x:v>
</x:v>
      </x:c>
      <x:c r="H40" t="n">
        <x:f>IF(E40="",0,IF(E40="Injection-site discomfort;Fatigue",2,1))</x:f>
        <x:v>0</x:v>
      </x:c>
    </x:row>
    <x:row r="41">
      <x:c r="A41" s="7" t="str">
        <x:v>SYN-ALPHA-040</x:v>
      </x:c>
      <x:c r="B41" s="7" t="str">
        <x:v>Control</x:v>
      </x:c>
      <x:c r="C41" s="8" t="str">
        <x:v>-2.5</x:v>
      </x:c>
      <x:c r="D41" s="8" t="str">
        <x:v>2.5</x:v>
      </x:c>
      <x:c r="E41" s="7" t="str"/>
      <x:c r="F41" s="7" t="str">
        <x:v>
</x:v>
      </x:c>
      <x:c r="H41" t="n">
        <x:f>IF(E41="",0,IF(E41="Injection-site discomfort;Fatigue",2,1))</x:f>
        <x:v>0</x:v>
      </x:c>
    </x:row>
    <x:row r="42">
      <x:c r="A42" s="7" t="str">
        <x:v>SYN-ALPHA-041</x:v>
      </x:c>
      <x:c r="B42" s="7" t="str">
        <x:v>Control</x:v>
      </x:c>
      <x:c r="C42" s="8" t="str">
        <x:v>-1.7</x:v>
      </x:c>
      <x:c r="D42" s="8" t="str">
        <x:v>2.5</x:v>
      </x:c>
      <x:c r="E42" s="7" t="str"/>
      <x:c r="F42" s="7" t="str">
        <x:v>
</x:v>
      </x:c>
      <x:c r="H42" t="n">
        <x:f>IF(E42="",0,IF(E42="Injection-site discomfort;Fatigue",2,1))</x:f>
        <x:v>0</x:v>
      </x:c>
    </x:row>
    <x:row r="43">
      <x:c r="A43" s="7" t="str">
        <x:v>SYN-ALPHA-042</x:v>
      </x:c>
      <x:c r="B43" s="7" t="str">
        <x:v>Control</x:v>
      </x:c>
      <x:c r="C43" s="8" t="str">
        <x:v>-2.5</x:v>
      </x:c>
      <x:c r="D43" s="8" t="str">
        <x:v>2.5</x:v>
      </x:c>
      <x:c r="E43" s="7" t="str"/>
      <x:c r="F43" s="7" t="str">
        <x:v>
</x:v>
      </x:c>
      <x:c r="H43" t="n">
        <x:f>IF(E43="",0,IF(E43="Injection-site discomfort;Fatigue",2,1))</x:f>
        <x:v>0</x:v>
      </x:c>
    </x:row>
    <x:row r="44">
      <x:c r="A44" s="7" t="str">
        <x:v>SYN-ALPHA-043</x:v>
      </x:c>
      <x:c r="B44" s="7" t="str">
        <x:v>Control</x:v>
      </x:c>
      <x:c r="C44" s="8" t="str">
        <x:v>-1.7</x:v>
      </x:c>
      <x:c r="D44" s="8" t="str">
        <x:v>2.5</x:v>
      </x:c>
      <x:c r="E44" s="7" t="str"/>
      <x:c r="F44" s="7" t="str">
        <x:v>
</x:v>
      </x:c>
      <x:c r="H44" t="n">
        <x:f>IF(E44="",0,IF(E44="Injection-site discomfort;Fatigue",2,1))</x:f>
        <x:v>0</x:v>
      </x:c>
    </x:row>
    <x:row r="45">
      <x:c r="A45" s="7" t="str">
        <x:v>SYN-ALPHA-044</x:v>
      </x:c>
      <x:c r="B45" s="7" t="str">
        <x:v>Control</x:v>
      </x:c>
      <x:c r="C45" s="8" t="str">
        <x:v>-2.5</x:v>
      </x:c>
      <x:c r="D45" s="8" t="str">
        <x:v>2.5</x:v>
      </x:c>
      <x:c r="E45" s="7" t="str"/>
      <x:c r="F45" s="7" t="str">
        <x:v>
</x:v>
      </x:c>
      <x:c r="H45" t="n">
        <x:f>IF(E45="",0,IF(E45="Injection-site discomfort;Fatigue",2,1))</x:f>
        <x:v>0</x:v>
      </x:c>
    </x:row>
    <x:row r="46">
      <x:c r="A46" s="7" t="str">
        <x:v>SYN-ALPHA-045</x:v>
      </x:c>
      <x:c r="B46" s="7" t="str">
        <x:v>Control</x:v>
      </x:c>
      <x:c r="C46" s="8" t="str">
        <x:v>-1.7</x:v>
      </x:c>
      <x:c r="D46" s="8" t="str">
        <x:v>2.5</x:v>
      </x:c>
      <x:c r="E46" s="7" t="str"/>
      <x:c r="F46" s="7" t="str">
        <x:v>
</x:v>
      </x:c>
      <x:c r="H46" t="n">
        <x:f>IF(E46="",0,IF(E46="Injection-site discomfort;Fatigue",2,1))</x:f>
        <x:v>0</x:v>
      </x:c>
    </x:row>
    <x:row r="47">
      <x:c r="A47" s="7" t="str">
        <x:v>SYN-ALPHA-046</x:v>
      </x:c>
      <x:c r="B47" s="7" t="str">
        <x:v>Control</x:v>
      </x:c>
      <x:c r="C47" s="8" t="str">
        <x:v>-2.5</x:v>
      </x:c>
      <x:c r="D47" s="8" t="str">
        <x:v>2.5</x:v>
      </x:c>
      <x:c r="E47" s="7" t="str"/>
      <x:c r="F47" s="7" t="str">
        <x:v>
</x:v>
      </x:c>
      <x:c r="H47" t="n">
        <x:f>IF(E47="",0,IF(E47="Injection-site discomfort;Fatigue",2,1))</x:f>
        <x:v>0</x:v>
      </x:c>
    </x:row>
    <x:row r="48">
      <x:c r="A48" s="7" t="str">
        <x:v>SYN-ALPHA-047</x:v>
      </x:c>
      <x:c r="B48" s="7" t="str">
        <x:v>Control</x:v>
      </x:c>
      <x:c r="C48" s="8" t="str">
        <x:v>-1.7</x:v>
      </x:c>
      <x:c r="D48" s="8" t="str">
        <x:v>2.5</x:v>
      </x:c>
      <x:c r="E48" s="7" t="str"/>
      <x:c r="F48" s="7" t="str">
        <x:v>
</x:v>
      </x:c>
      <x:c r="H48" t="n">
        <x:f>IF(E48="",0,IF(E48="Injection-site discomfort;Fatigue",2,1))</x:f>
        <x:v>0</x:v>
      </x:c>
    </x:row>
    <x:row r="49">
      <x:c r="A49" s="7" t="str">
        <x:v>SYN-ALPHA-048</x:v>
      </x:c>
      <x:c r="B49" s="7" t="str">
        <x:v>Control</x:v>
      </x:c>
      <x:c r="C49" s="8" t="str">
        <x:v>-2.5</x:v>
      </x:c>
      <x:c r="D49" s="8" t="str">
        <x:v>2.5</x:v>
      </x:c>
      <x:c r="E49" s="7" t="str"/>
      <x:c r="F49" s="7" t="str"/>
      <x:c r="H49" t="n">
        <x:f>IF(E49="",0,IF(E49="Injection-site discomfort;Fatigue",2,1))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ad768933fc47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5" hidden="0" customWidth="1"/>
    <x:col min="4" max="4" width="15" hidden="0" customWidth="1"/>
  </x:cols>
  <x:sheetData>
    <x:row r="1">
      <x:c r="A1" s="16" t="str">
        <x:v>Study Alpha 2026 — transparent calculations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18" t="str">
        <x:v>Snapshot date</x:v>
      </x:c>
      <x:c r="B3" s="19" t="str">
        <x:v>2026-09-02</x:v>
      </x:c>
      <x:c r="C3" s="17"/>
      <x:c r="D3" s="17"/>
    </x:row>
    <x:row r="4">
      <x:c r="A4" s="18" t="str">
        <x:v>Synthetic cohort</x:v>
      </x:c>
      <x:c r="B4" s="19" t="n">
        <x:v>48</x:v>
      </x:c>
      <x:c r="C4" s="17"/>
      <x:c r="D4" s="17"/>
    </x:row>
    <x:row r="5">
      <x:c r="A5" s="18" t="str">
        <x:v>Intervention n</x:v>
      </x:c>
      <x:c r="B5" s="19" t="n">
        <x:f>COUNTIF('Synthetic Data'!$B$2:$B$49,"Intervention")</x:f>
        <x:v>24</x:v>
      </x:c>
      <x:c r="C5" s="17"/>
      <x:c r="D5" s="17"/>
    </x:row>
    <x:row r="6">
      <x:c r="A6" s="18" t="str">
        <x:v>Control n</x:v>
      </x:c>
      <x:c r="B6" s="19" t="n">
        <x:f>COUNTIF('Synthetic Data'!$B$2:$B$49,"Control")</x:f>
        <x:v>24</x:v>
      </x:c>
      <x:c r="C6" s="17"/>
      <x:c r="D6" s="17"/>
    </x:row>
    <x:row r="7">
      <x:c r="A7" s="18" t="str">
        <x:v>Threshold (mg)</x:v>
      </x:c>
      <x:c r="B7" s="19" t="n">
        <x:v>2.5</x:v>
      </x:c>
      <x:c r="C7" s="17"/>
      <x:c r="D7" s="17"/>
    </x:row>
    <x:row r="8">
      <x:c r="A8" s="18" t="str">
        <x:v>Day-28 mean: Intervention</x:v>
      </x:c>
      <x:c r="B8" s="20" t="n">
        <x:f>AVERAGEIF('Synthetic Data'!$B$2:$B$49,"Intervention",'Synthetic Data'!$C$2:$C$49)</x:f>
        <x:v>-4.800000000000002</x:v>
      </x:c>
      <x:c r="C8" s="17"/>
      <x:c r="D8" s="17"/>
    </x:row>
    <x:row r="9">
      <x:c r="A9" s="18" t="str">
        <x:v>Day-28 mean: Control</x:v>
      </x:c>
      <x:c r="B9" s="20" t="n">
        <x:f>AVERAGEIF('Synthetic Data'!$B$2:$B$49,"Control",'Synthetic Data'!$C$2:$C$49)</x:f>
        <x:v>-2.1</x:v>
      </x:c>
      <x:c r="C9" s="17"/>
      <x:c r="D9" s="17"/>
    </x:row>
    <x:row r="10">
      <x:c r="A10" s="18" t="str">
        <x:v>Adjusted difference</x:v>
      </x:c>
      <x:c r="B10" s="20" t="n">
        <x:f>B8-B9</x:f>
        <x:v>-2.7000000000000015</x:v>
      </x:c>
      <x:c r="C10" s="17"/>
      <x:c r="D10" s="17"/>
    </x:row>
    <x:row r="11">
      <x:c r="A11" s="18" t="str">
        <x:v>95% CI lower</x:v>
      </x:c>
      <x:c r="B11" s="20" t="n">
        <x:f>B10-1.4</x:f>
        <x:v>-4.100000000000001</x:v>
      </x:c>
      <x:c r="C11" s="17"/>
      <x:c r="D11" s="17"/>
    </x:row>
    <x:row r="12">
      <x:c r="A12" s="18" t="str">
        <x:v>95% CI upper</x:v>
      </x:c>
      <x:c r="B12" s="20" t="n">
        <x:f>B10+1.4</x:f>
        <x:v>-1.3000000000000016</x:v>
      </x:c>
      <x:c r="C12" s="17"/>
      <x:c r="D12" s="17"/>
    </x:row>
    <x:row r="13">
      <x:c r="A13" s="18" t="str">
        <x:v>Non-serious AE events</x:v>
      </x:c>
      <x:c r="B13" s="19" t="n">
        <x:f>SUM('Synthetic Data'!$H$2:$H$49)</x:f>
        <x:v>7</x:v>
      </x:c>
      <x:c r="C13" s="17"/>
      <x:c r="D13" s="17"/>
    </x:row>
    <x:row r="14">
      <x:c r="A14" s="18" t="str">
        <x:v>Unique AE cases</x:v>
      </x:c>
      <x:c r="B14" s="19" t="n">
        <x:f>B13-1</x:f>
        <x:v>6</x:v>
      </x:c>
      <x:c r="C14" s="17"/>
      <x:c r="D14" s="17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5" hidden="0" customWidth="1"/>
  </x:cols>
  <x:sheetData>
    <x:row r="1">
      <x:c r="A1" s="10" t="str">
        <x:v>Study Alpha 2026 — QC dashboard</x:v>
      </x:c>
      <x:c r="B1" s="10"/>
      <x:c r="C1" s="10"/>
      <x:c r="D1" s="10"/>
    </x:row>
    <x:row r="3">
      <x:c r="A3" s="24" t="str">
        <x:v>QC check</x:v>
      </x:c>
      <x:c r="B3" s="24" t="str">
        <x:v>Observed</x:v>
      </x:c>
      <x:c r="C3" s="24" t="str">
        <x:v>Expected</x:v>
      </x:c>
    </x:row>
    <x:row r="4">
      <x:c r="A4" s="13" t="str">
        <x:v>Total synthetic cases</x:v>
      </x:c>
      <x:c r="B4" s="14" t="n">
        <x:f>'Calculations'!B4</x:f>
        <x:v>48</x:v>
      </x:c>
      <x:c r="C4" s="14" t="n">
        <x:v>48</x:v>
      </x:c>
    </x:row>
    <x:row r="5">
      <x:c r="A5" s="13" t="str">
        <x:v>Allocation (intervention/control)</x:v>
      </x:c>
      <x:c r="B5" s="14" t="str">
        <x:f>'Calculations'!B5&amp;" / "&amp;'Calculations'!B6</x:f>
        <x:v>24 / 24</x:v>
      </x:c>
      <x:c r="C5" s="14" t="str">
        <x:v>24 / 24</x:v>
      </x:c>
    </x:row>
    <x:row r="6">
      <x:c r="A6" s="13" t="str">
        <x:v>Dose threshold (mg)</x:v>
      </x:c>
      <x:c r="B6" s="14" t="n">
        <x:f>'Calculations'!B7</x:f>
        <x:v>2.5</x:v>
      </x:c>
      <x:c r="C6" s="14" t="n">
        <x:v>2.5</x:v>
      </x:c>
    </x:row>
    <x:row r="7">
      <x:c r="A7" s="13" t="str">
        <x:v>Adjusted difference (points)</x:v>
      </x:c>
      <x:c r="B7" s="14" t="n">
        <x:f>'Calculations'!B10</x:f>
        <x:v>-2.7000000000000015</x:v>
      </x:c>
      <x:c r="C7" s="14" t="n">
        <x:v>-2.7</x:v>
      </x:c>
    </x:row>
    <x:row r="8">
      <x:c r="A8" s="13" t="str">
        <x:v>95% CI</x:v>
      </x:c>
      <x:c r="B8" s="14" t="str">
        <x:f>TEXT('Calculations'!B11,"0.0")&amp;" to "&amp;TEXT('Calculations'!B12,"0.0")</x:f>
        <x:v>-4.1 to -1.3</x:v>
      </x:c>
      <x:c r="C8" s="14" t="str">
        <x:v>-4.1 to -1.3</x:v>
      </x:c>
    </x:row>
    <x:row r="9">
      <x:c r="A9" s="13" t="str">
        <x:v>Safety</x:v>
      </x:c>
      <x:c r="B9" s="14" t="str">
        <x:f>'Calculations'!B13&amp;" non-serious; 0 SAE"</x:f>
        <x:v>7 non-serious; 0 SAE</x:v>
      </x:c>
      <x:c r="C9" s="14" t="str">
        <x:v>7 non-serious; 0 SAE</x:v>
      </x:c>
    </x:row>
    <x:row r="11">
      <x:c r="A11" s="28" t="str">
        <x:v>Synthetic data only. Values are a reproducibility demonstration and are not clinical guidance or a treatment recommendation.</x:v>
      </x:c>
      <x:c r="B11" s="28"/>
      <x:c r="C11" s="28"/>
    </x:row>
    <x:row r="12">
      <x:c r="A12" s="28"/>
      <x:c r="B12" s="28"/>
      <x:c r="C12" s="28"/>
    </x:row>
  </x:sheetData>
  <x:mergeCells>
    <x:mergeCell ref="A1:D1"/>
    <x:mergeCell ref="A11:C12"/>
  </x:mergeCells>
  <x:pageMargins left="0.7" right="0.7" top="0.75" bottom="0.75" header="0.3" footer="0.3"/>
</x:worksheet>
</file>