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4b0ac99913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 Plan" sheetId="1" r:id="R0e3eb66803664fbf"/>
    <x:sheet xmlns:r="http://schemas.openxmlformats.org/officeDocument/2006/relationships" name="Session Roster" sheetId="2" r:id="R73829744cb3f4230"/>
    <x:sheet xmlns:r="http://schemas.openxmlformats.org/officeDocument/2006/relationships" name="Summary" sheetId="3" r:id="Raba2a1c40f794d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EF4F8"/>
      </x:patternFill>
    </x:fill>
    <x:fill>
      <x:patternFill patternType="solid">
        <x:fgColor rgb="FF0F766E"/>
      </x:patternFill>
    </x:fill>
    <x:fill>
      <x:patternFill patternType="solid">
        <x:fgColor rgb="FFE8F1F8"/>
      </x:patternFill>
    </x:fill>
  </x:fills>
  <x:borders count="17">
    <x:border/>
    <x:border>
      <x:left style="thin">
        <x:color rgb="FF0B5B55"/>
      </x:left>
      <x:top style="thin">
        <x:color rgb="FF0B5B55"/>
      </x:top>
      <x:bottom style="thin">
        <x:color rgb="FF0B5B55"/>
      </x:bottom>
    </x:border>
    <x:border>
      <x:top style="thin">
        <x:color rgb="FF0B5B55"/>
      </x:top>
      <x:bottom style="thin">
        <x:color rgb="FF0B5B55"/>
      </x:bottom>
    </x:border>
    <x:border>
      <x:right style="thin">
        <x:color rgb="FF0B5B55"/>
      </x:right>
      <x:top style="thin">
        <x:color rgb="FF0B5B55"/>
      </x:top>
      <x:bottom style="thin">
        <x:color rgb="FF0B5B55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bottom style="double">
        <x:color rgb="FF16324F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3" xfId="0" applyNumberFormat="1" applyFont="1" applyFill="1" applyBorder="1"/>
    <x:xf numFmtId="200" fontId="4" fillId="5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065F46"/>
      </x:font>
      <x:fill>
        <x:patternFill patternType="solid">
          <x:bgColor rgb="FFDDF3EF"/>
        </x:patternFill>
      </x:fill>
    </x:dxf>
    <x:dxf>
      <x:font>
        <x:color rgb="FF065F46"/>
      </x:font>
      <x:fill>
        <x:patternFill patternType="solid">
          <x:bgColor rgb="FFDDF3EF"/>
        </x:patternFill>
      </x:fill>
    </x:dxf>
    <x:dxf>
      <x:font>
        <x:b/>
        <x:color rgb="FF065F46"/>
      </x:font>
      <x:fill>
        <x:patternFill patternType="solid">
          <x:bgColor rgb="FFDDF3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25f52c1be4365" /><Relationship Type="http://schemas.openxmlformats.org/officeDocument/2006/relationships/theme" Target="/xl/theme/theme1.xml" Id="Rd91e8e3184d447cf" /><Relationship Type="http://schemas.openxmlformats.org/officeDocument/2006/relationships/sharedStrings" Target="/xl/sharedStrings.xml" Id="R4cedf11467b74ee4" /><Relationship Type="http://schemas.openxmlformats.org/officeDocument/2006/relationships/worksheet" Target="/xl/worksheets/sheet1.xml" Id="R0e3eb66803664fbf" /><Relationship Type="http://schemas.openxmlformats.org/officeDocument/2006/relationships/worksheet" Target="/xl/worksheets/sheet2.xml" Id="R73829744cb3f4230" /><Relationship Type="http://schemas.openxmlformats.org/officeDocument/2006/relationships/worksheet" Target="/xl/worksheets/sheet3.xml" Id="Raba2a1c40f794d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2" hidden="0" customWidth="1"/>
    <x:col min="3" max="3" width="13" hidden="0" customWidth="1"/>
    <x:col min="4" max="4" width="14" hidden="0" customWidth="1"/>
    <x:col min="5" max="5" width="17" hidden="0" customWidth="1"/>
    <x:col min="6" max="6" width="16" hidden="0" customWidth="1"/>
    <x:col min="7" max="7" width="16" hidden="0" customWidth="1"/>
  </x:cols>
  <x:sheetData>
    <x:row r="1" ht="30" customHeight="1">
      <x:c r="A1" s="4" t="str">
        <x:v>Study Alpha — Participant Quota Monitor</x:v>
      </x:c>
      <x:c r="B1" s="4"/>
      <x:c r="C1" s="4"/>
      <x:c r="D1" s="4"/>
      <x:c r="E1" s="4"/>
      <x:c r="F1" s="4"/>
      <x:c r="G1" s="4"/>
    </x:row>
    <x:row r="2" ht="22" customHeight="1">
      <x:c r="A2" s="7" t="str">
        <x:v>Beacon Field Research | 2026-07-13 | UX-184 | synthetic operational planning | n=24</x:v>
      </x:c>
      <x:c r="B2" s="7"/>
      <x:c r="C2" s="7"/>
      <x:c r="D2" s="7"/>
      <x:c r="E2" s="7"/>
      <x:c r="F2" s="7"/>
      <x:c r="G2" s="7"/>
    </x:row>
    <x:row r="4" ht="26" customHeight="1">
      <x:c r="A4" s="19" t="str">
        <x:v>Planning segment</x:v>
      </x:c>
      <x:c r="B4" s="20" t="str">
        <x:v>Target</x:v>
      </x:c>
      <x:c r="C4" s="20" t="str">
        <x:v>Scheduled</x:v>
      </x:c>
      <x:c r="D4" s="20" t="str">
        <x:v>Completed</x:v>
      </x:c>
      <x:c r="E4" s="20" t="str">
        <x:v>Remaining target</x:v>
      </x:c>
      <x:c r="F4" s="20" t="str">
        <x:v>Completion rate</x:v>
      </x:c>
      <x:c r="G4" s="21" t="str">
        <x:v>Planning flag</x:v>
      </x:c>
    </x:row>
    <x:row r="5">
      <x:c r="A5" s="31" t="str">
        <x:v>Workflow A</x:v>
      </x:c>
      <x:c r="B5" s="32" t="n">
        <x:v>8</x:v>
      </x:c>
      <x:c r="C5" s="32" t="n">
        <x:f>COUNTIF('Session Roster'!$B$5:$B$28,A5)</x:f>
        <x:v>8</x:v>
      </x:c>
      <x:c r="D5" s="32" t="n">
        <x:f>COUNTIFS('Session Roster'!$B$5:$B$28,A5,'Session Roster'!$D$5:$D$28,"Complete")</x:f>
        <x:v>8</x:v>
      </x:c>
      <x:c r="E5" s="32" t="n">
        <x:f>B5-D5</x:f>
        <x:v>0</x:v>
      </x:c>
      <x:c r="F5" s="40" t="n">
        <x:f>D5/B5</x:f>
        <x:v>1</x:v>
      </x:c>
      <x:c r="G5" s="33" t="str">
        <x:f>IF(E5=0,"Met","Monitor")</x:f>
        <x:v>Met</x:v>
      </x:c>
    </x:row>
    <x:row r="6">
      <x:c r="A6" s="34" t="str">
        <x:v>Workflow B</x:v>
      </x:c>
      <x:c r="B6" s="35" t="n">
        <x:v>8</x:v>
      </x:c>
      <x:c r="C6" s="35" t="n">
        <x:f>COUNTIF('Session Roster'!$B$5:$B$28,A6)</x:f>
        <x:v>8</x:v>
      </x:c>
      <x:c r="D6" s="35" t="n">
        <x:f>COUNTIFS('Session Roster'!$B$5:$B$28,A6,'Session Roster'!$D$5:$D$28,"Complete")</x:f>
        <x:v>8</x:v>
      </x:c>
      <x:c r="E6" s="35" t="n">
        <x:f>B6-D6</x:f>
        <x:v>0</x:v>
      </x:c>
      <x:c r="F6" s="41" t="n">
        <x:f>D6/B6</x:f>
        <x:v>1</x:v>
      </x:c>
      <x:c r="G6" s="36" t="str">
        <x:f>IF(E6=0,"Met","Monitor")</x:f>
        <x:v>Met</x:v>
      </x:c>
    </x:row>
    <x:row r="7">
      <x:c r="A7" s="37" t="str">
        <x:v>Workflow C</x:v>
      </x:c>
      <x:c r="B7" s="38" t="n">
        <x:v>8</x:v>
      </x:c>
      <x:c r="C7" s="38" t="n">
        <x:f>COUNTIF('Session Roster'!$B$5:$B$28,A7)</x:f>
        <x:v>8</x:v>
      </x:c>
      <x:c r="D7" s="38" t="n">
        <x:f>COUNTIFS('Session Roster'!$B$5:$B$28,A7,'Session Roster'!$D$5:$D$28,"Complete")</x:f>
        <x:v>8</x:v>
      </x:c>
      <x:c r="E7" s="38" t="n">
        <x:f>B7-D7</x:f>
        <x:v>0</x:v>
      </x:c>
      <x:c r="F7" s="42" t="n">
        <x:f>D7/B7</x:f>
        <x:v>1</x:v>
      </x:c>
      <x:c r="G7" s="39" t="str">
        <x:f>IF(E7=0,"Met","Monitor")</x:f>
        <x:v>Met</x:v>
      </x:c>
    </x:row>
    <x:row r="10">
      <x:c r="A10" s="45" t="str">
        <x:v>Total</x:v>
      </x:c>
      <x:c r="B10" s="45" t="n">
        <x:f>SUM(B5:B7)</x:f>
        <x:v>24</x:v>
      </x:c>
      <x:c r="C10" s="45" t="n">
        <x:f>SUM(C5:C7)</x:f>
        <x:v>24</x:v>
      </x:c>
      <x:c r="D10" s="45" t="n">
        <x:f>SUM(D5:D7)</x:f>
        <x:v>24</x:v>
      </x:c>
      <x:c r="E10" s="45" t="n">
        <x:f>SUM(E5:E7)</x:f>
        <x:v>0</x:v>
      </x:c>
      <x:c r="F10" s="46" t="n">
        <x:f>D10/B10</x:f>
        <x:v>1</x:v>
      </x:c>
      <x:c r="G10" s="45" t="str">
        <x:f>IF(E10=0,"Met","Monitor")</x:f>
        <x:v>Met</x:v>
      </x:c>
    </x:row>
    <x:row r="13" ht="26" customHeight="1">
      <x:c r="A13" s="19" t="str">
        <x:v>Operational note</x:v>
      </x:c>
      <x:c r="B13" s="20" t="str">
        <x:v>Synthetic-only data</x:v>
      </x:c>
      <x:c r="C13" s="20" t="str">
        <x:v>No participant demographics</x:v>
      </x:c>
      <x:c r="D13" s="20" t="str">
        <x:v>Use</x:v>
      </x:c>
      <x:c r="E13" s="20" t="str">
        <x:v>Quota status</x:v>
      </x:c>
      <x:c r="F13" s="20" t="str">
        <x:v>Program</x:v>
      </x:c>
      <x:c r="G13" s="21" t="str">
        <x:v>Date</x:v>
      </x:c>
    </x:row>
    <x:row r="14">
      <x:c r="A14" s="50" t="str">
        <x:v>Planning segments only</x:v>
      </x:c>
      <x:c r="B14" s="51" t="str">
        <x:v>S01–S24 coded sessions</x:v>
      </x:c>
      <x:c r="C14" s="51" t="str">
        <x:v>None captured</x:v>
      </x:c>
      <x:c r="D14" s="51" t="str">
        <x:v>Staffing &amp; coverage</x:v>
      </x:c>
      <x:c r="E14" s="51" t="str">
        <x:v>Formula monitored</x:v>
      </x:c>
      <x:c r="F14" s="51" t="str">
        <x:v>Study Alpha / UX-184</x:v>
      </x:c>
      <x:c r="G14" s="53" t="n">
        <x:v>46216</x:v>
      </x:c>
    </x:row>
  </x:sheetData>
  <x:mergeCells>
    <x:mergeCell ref="A1:G1"/>
    <x:mergeCell ref="A2:G2"/>
  </x:mergeCells>
  <x:conditionalFormatting sqref="G5:G7">
    <x:cfRule type="containsText" dxfId="0" priority="1" operator="containsText" text="Met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5" hidden="0" customWidth="1"/>
    <x:col min="4" max="4" width="16" hidden="0" customWidth="1"/>
    <x:col min="5" max="5" width="16" hidden="0" customWidth="1"/>
    <x:col min="6" max="6" width="13" hidden="0" customWidth="1"/>
    <x:col min="7" max="7" width="16" hidden="0" customWidth="1"/>
  </x:cols>
  <x:sheetData>
    <x:row r="1" ht="30" customHeight="1">
      <x:c r="A1" s="4" t="str">
        <x:v>Study Alpha — Synthetic Session Roster</x:v>
      </x:c>
      <x:c r="B1" s="4"/>
      <x:c r="C1" s="4"/>
      <x:c r="D1" s="4"/>
      <x:c r="E1" s="4"/>
      <x:c r="F1" s="4"/>
      <x:c r="G1" s="4"/>
    </x:row>
    <x:row r="2" ht="22" customHeight="1">
      <x:c r="A2" s="7" t="str">
        <x:v>Codes S01–S24; planning segments only, with no demographic or identifying data</x:v>
      </x:c>
      <x:c r="B2" s="7"/>
      <x:c r="C2" s="7"/>
      <x:c r="D2" s="7"/>
      <x:c r="E2" s="7"/>
      <x:c r="F2" s="7"/>
      <x:c r="G2" s="7"/>
    </x:row>
    <x:row r="4" ht="26" customHeight="1">
      <x:c r="A4" s="19" t="str">
        <x:v>Session code</x:v>
      </x:c>
      <x:c r="B4" s="20" t="str">
        <x:v>Planning segment</x:v>
      </x:c>
      <x:c r="C4" s="20" t="str">
        <x:v>Scheduled date</x:v>
      </x:c>
      <x:c r="D4" s="20" t="str">
        <x:v>Session status</x:v>
      </x:c>
      <x:c r="E4" s="20" t="str">
        <x:v>Study</x:v>
      </x:c>
      <x:c r="F4" s="20" t="str">
        <x:v>Program ID</x:v>
      </x:c>
      <x:c r="G4" s="21" t="str">
        <x:v>Coverage state</x:v>
      </x:c>
    </x:row>
    <x:row r="5">
      <x:c r="A5" s="31" t="str">
        <x:v>S01</x:v>
      </x:c>
      <x:c r="B5" s="32" t="str">
        <x:v>Workflow A</x:v>
      </x:c>
      <x:c r="C5" s="54" t="n">
        <x:v>46216</x:v>
      </x:c>
      <x:c r="D5" s="32" t="str">
        <x:v>Complete</x:v>
      </x:c>
      <x:c r="E5" s="32" t="str">
        <x:v>Study Alpha</x:v>
      </x:c>
      <x:c r="F5" s="32" t="str">
        <x:v>UX-184</x:v>
      </x:c>
      <x:c r="G5" s="33" t="str">
        <x:v>Covered</x:v>
      </x:c>
    </x:row>
    <x:row r="6">
      <x:c r="A6" s="34" t="str">
        <x:v>S02</x:v>
      </x:c>
      <x:c r="B6" s="35" t="str">
        <x:v>Workflow A</x:v>
      </x:c>
      <x:c r="C6" s="55" t="n">
        <x:v>46216</x:v>
      </x:c>
      <x:c r="D6" s="35" t="str">
        <x:v>Complete</x:v>
      </x:c>
      <x:c r="E6" s="35" t="str">
        <x:v>Study Alpha</x:v>
      </x:c>
      <x:c r="F6" s="35" t="str">
        <x:v>UX-184</x:v>
      </x:c>
      <x:c r="G6" s="36" t="str">
        <x:v>Covered</x:v>
      </x:c>
    </x:row>
    <x:row r="7">
      <x:c r="A7" s="34" t="str">
        <x:v>S03</x:v>
      </x:c>
      <x:c r="B7" s="35" t="str">
        <x:v>Workflow A</x:v>
      </x:c>
      <x:c r="C7" s="55" t="n">
        <x:v>46216</x:v>
      </x:c>
      <x:c r="D7" s="35" t="str">
        <x:v>Complete</x:v>
      </x:c>
      <x:c r="E7" s="35" t="str">
        <x:v>Study Alpha</x:v>
      </x:c>
      <x:c r="F7" s="35" t="str">
        <x:v>UX-184</x:v>
      </x:c>
      <x:c r="G7" s="36" t="str">
        <x:v>Covered</x:v>
      </x:c>
    </x:row>
    <x:row r="8">
      <x:c r="A8" s="34" t="str">
        <x:v>S04</x:v>
      </x:c>
      <x:c r="B8" s="35" t="str">
        <x:v>Workflow A</x:v>
      </x:c>
      <x:c r="C8" s="55" t="n">
        <x:v>46216</x:v>
      </x:c>
      <x:c r="D8" s="35" t="str">
        <x:v>Complete</x:v>
      </x:c>
      <x:c r="E8" s="35" t="str">
        <x:v>Study Alpha</x:v>
      </x:c>
      <x:c r="F8" s="35" t="str">
        <x:v>UX-184</x:v>
      </x:c>
      <x:c r="G8" s="36" t="str">
        <x:v>Covered</x:v>
      </x:c>
    </x:row>
    <x:row r="9">
      <x:c r="A9" s="34" t="str">
        <x:v>S05</x:v>
      </x:c>
      <x:c r="B9" s="35" t="str">
        <x:v>Workflow A</x:v>
      </x:c>
      <x:c r="C9" s="55" t="n">
        <x:v>46216</x:v>
      </x:c>
      <x:c r="D9" s="35" t="str">
        <x:v>Complete</x:v>
      </x:c>
      <x:c r="E9" s="35" t="str">
        <x:v>Study Alpha</x:v>
      </x:c>
      <x:c r="F9" s="35" t="str">
        <x:v>UX-184</x:v>
      </x:c>
      <x:c r="G9" s="36" t="str">
        <x:v>Covered</x:v>
      </x:c>
    </x:row>
    <x:row r="10">
      <x:c r="A10" s="34" t="str">
        <x:v>S06</x:v>
      </x:c>
      <x:c r="B10" s="35" t="str">
        <x:v>Workflow A</x:v>
      </x:c>
      <x:c r="C10" s="55" t="n">
        <x:v>46216</x:v>
      </x:c>
      <x:c r="D10" s="35" t="str">
        <x:v>Complete</x:v>
      </x:c>
      <x:c r="E10" s="35" t="str">
        <x:v>Study Alpha</x:v>
      </x:c>
      <x:c r="F10" s="35" t="str">
        <x:v>UX-184</x:v>
      </x:c>
      <x:c r="G10" s="36" t="str">
        <x:v>Covered</x:v>
      </x:c>
    </x:row>
    <x:row r="11">
      <x:c r="A11" s="34" t="str">
        <x:v>S07</x:v>
      </x:c>
      <x:c r="B11" s="35" t="str">
        <x:v>Workflow A</x:v>
      </x:c>
      <x:c r="C11" s="55" t="n">
        <x:v>46216</x:v>
      </x:c>
      <x:c r="D11" s="35" t="str">
        <x:v>Complete</x:v>
      </x:c>
      <x:c r="E11" s="35" t="str">
        <x:v>Study Alpha</x:v>
      </x:c>
      <x:c r="F11" s="35" t="str">
        <x:v>UX-184</x:v>
      </x:c>
      <x:c r="G11" s="36" t="str">
        <x:v>Covered</x:v>
      </x:c>
    </x:row>
    <x:row r="12">
      <x:c r="A12" s="34" t="str">
        <x:v>S08</x:v>
      </x:c>
      <x:c r="B12" s="35" t="str">
        <x:v>Workflow A</x:v>
      </x:c>
      <x:c r="C12" s="55" t="n">
        <x:v>46216</x:v>
      </x:c>
      <x:c r="D12" s="35" t="str">
        <x:v>Complete</x:v>
      </x:c>
      <x:c r="E12" s="35" t="str">
        <x:v>Study Alpha</x:v>
      </x:c>
      <x:c r="F12" s="35" t="str">
        <x:v>UX-184</x:v>
      </x:c>
      <x:c r="G12" s="36" t="str">
        <x:v>Covered</x:v>
      </x:c>
    </x:row>
    <x:row r="13">
      <x:c r="A13" s="34" t="str">
        <x:v>S09</x:v>
      </x:c>
      <x:c r="B13" s="35" t="str">
        <x:v>Workflow B</x:v>
      </x:c>
      <x:c r="C13" s="55" t="n">
        <x:v>46216</x:v>
      </x:c>
      <x:c r="D13" s="35" t="str">
        <x:v>Complete</x:v>
      </x:c>
      <x:c r="E13" s="35" t="str">
        <x:v>Study Alpha</x:v>
      </x:c>
      <x:c r="F13" s="35" t="str">
        <x:v>UX-184</x:v>
      </x:c>
      <x:c r="G13" s="36" t="str">
        <x:v>Covered</x:v>
      </x:c>
    </x:row>
    <x:row r="14">
      <x:c r="A14" s="34" t="str">
        <x:v>S10</x:v>
      </x:c>
      <x:c r="B14" s="35" t="str">
        <x:v>Workflow B</x:v>
      </x:c>
      <x:c r="C14" s="55" t="n">
        <x:v>46216</x:v>
      </x:c>
      <x:c r="D14" s="35" t="str">
        <x:v>Complete</x:v>
      </x:c>
      <x:c r="E14" s="35" t="str">
        <x:v>Study Alpha</x:v>
      </x:c>
      <x:c r="F14" s="35" t="str">
        <x:v>UX-184</x:v>
      </x:c>
      <x:c r="G14" s="36" t="str">
        <x:v>Covered</x:v>
      </x:c>
    </x:row>
    <x:row r="15">
      <x:c r="A15" s="34" t="str">
        <x:v>S11</x:v>
      </x:c>
      <x:c r="B15" s="35" t="str">
        <x:v>Workflow B</x:v>
      </x:c>
      <x:c r="C15" s="55" t="n">
        <x:v>46216</x:v>
      </x:c>
      <x:c r="D15" s="35" t="str">
        <x:v>Complete</x:v>
      </x:c>
      <x:c r="E15" s="35" t="str">
        <x:v>Study Alpha</x:v>
      </x:c>
      <x:c r="F15" s="35" t="str">
        <x:v>UX-184</x:v>
      </x:c>
      <x:c r="G15" s="36" t="str">
        <x:v>Covered</x:v>
      </x:c>
    </x:row>
    <x:row r="16">
      <x:c r="A16" s="34" t="str">
        <x:v>S12</x:v>
      </x:c>
      <x:c r="B16" s="35" t="str">
        <x:v>Workflow B</x:v>
      </x:c>
      <x:c r="C16" s="55" t="n">
        <x:v>46216</x:v>
      </x:c>
      <x:c r="D16" s="35" t="str">
        <x:v>Complete</x:v>
      </x:c>
      <x:c r="E16" s="35" t="str">
        <x:v>Study Alpha</x:v>
      </x:c>
      <x:c r="F16" s="35" t="str">
        <x:v>UX-184</x:v>
      </x:c>
      <x:c r="G16" s="36" t="str">
        <x:v>Covered</x:v>
      </x:c>
    </x:row>
    <x:row r="17">
      <x:c r="A17" s="34" t="str">
        <x:v>S13</x:v>
      </x:c>
      <x:c r="B17" s="35" t="str">
        <x:v>Workflow B</x:v>
      </x:c>
      <x:c r="C17" s="55" t="n">
        <x:v>46216</x:v>
      </x:c>
      <x:c r="D17" s="35" t="str">
        <x:v>Complete</x:v>
      </x:c>
      <x:c r="E17" s="35" t="str">
        <x:v>Study Alpha</x:v>
      </x:c>
      <x:c r="F17" s="35" t="str">
        <x:v>UX-184</x:v>
      </x:c>
      <x:c r="G17" s="36" t="str">
        <x:v>Covered</x:v>
      </x:c>
    </x:row>
    <x:row r="18">
      <x:c r="A18" s="34" t="str">
        <x:v>S14</x:v>
      </x:c>
      <x:c r="B18" s="35" t="str">
        <x:v>Workflow B</x:v>
      </x:c>
      <x:c r="C18" s="55" t="n">
        <x:v>46216</x:v>
      </x:c>
      <x:c r="D18" s="35" t="str">
        <x:v>Complete</x:v>
      </x:c>
      <x:c r="E18" s="35" t="str">
        <x:v>Study Alpha</x:v>
      </x:c>
      <x:c r="F18" s="35" t="str">
        <x:v>UX-184</x:v>
      </x:c>
      <x:c r="G18" s="36" t="str">
        <x:v>Covered</x:v>
      </x:c>
    </x:row>
    <x:row r="19">
      <x:c r="A19" s="34" t="str">
        <x:v>S15</x:v>
      </x:c>
      <x:c r="B19" s="35" t="str">
        <x:v>Workflow B</x:v>
      </x:c>
      <x:c r="C19" s="55" t="n">
        <x:v>46216</x:v>
      </x:c>
      <x:c r="D19" s="35" t="str">
        <x:v>Complete</x:v>
      </x:c>
      <x:c r="E19" s="35" t="str">
        <x:v>Study Alpha</x:v>
      </x:c>
      <x:c r="F19" s="35" t="str">
        <x:v>UX-184</x:v>
      </x:c>
      <x:c r="G19" s="36" t="str">
        <x:v>Covered</x:v>
      </x:c>
    </x:row>
    <x:row r="20">
      <x:c r="A20" s="34" t="str">
        <x:v>S16</x:v>
      </x:c>
      <x:c r="B20" s="35" t="str">
        <x:v>Workflow B</x:v>
      </x:c>
      <x:c r="C20" s="55" t="n">
        <x:v>46216</x:v>
      </x:c>
      <x:c r="D20" s="35" t="str">
        <x:v>Complete</x:v>
      </x:c>
      <x:c r="E20" s="35" t="str">
        <x:v>Study Alpha</x:v>
      </x:c>
      <x:c r="F20" s="35" t="str">
        <x:v>UX-184</x:v>
      </x:c>
      <x:c r="G20" s="36" t="str">
        <x:v>Covered</x:v>
      </x:c>
    </x:row>
    <x:row r="21">
      <x:c r="A21" s="34" t="str">
        <x:v>S17</x:v>
      </x:c>
      <x:c r="B21" s="35" t="str">
        <x:v>Workflow C</x:v>
      </x:c>
      <x:c r="C21" s="55" t="n">
        <x:v>46216</x:v>
      </x:c>
      <x:c r="D21" s="35" t="str">
        <x:v>Complete</x:v>
      </x:c>
      <x:c r="E21" s="35" t="str">
        <x:v>Study Alpha</x:v>
      </x:c>
      <x:c r="F21" s="35" t="str">
        <x:v>UX-184</x:v>
      </x:c>
      <x:c r="G21" s="36" t="str">
        <x:v>Covered</x:v>
      </x:c>
    </x:row>
    <x:row r="22">
      <x:c r="A22" s="34" t="str">
        <x:v>S18</x:v>
      </x:c>
      <x:c r="B22" s="35" t="str">
        <x:v>Workflow C</x:v>
      </x:c>
      <x:c r="C22" s="55" t="n">
        <x:v>46216</x:v>
      </x:c>
      <x:c r="D22" s="35" t="str">
        <x:v>Complete</x:v>
      </x:c>
      <x:c r="E22" s="35" t="str">
        <x:v>Study Alpha</x:v>
      </x:c>
      <x:c r="F22" s="35" t="str">
        <x:v>UX-184</x:v>
      </x:c>
      <x:c r="G22" s="36" t="str">
        <x:v>Covered</x:v>
      </x:c>
    </x:row>
    <x:row r="23">
      <x:c r="A23" s="34" t="str">
        <x:v>S19</x:v>
      </x:c>
      <x:c r="B23" s="35" t="str">
        <x:v>Workflow C</x:v>
      </x:c>
      <x:c r="C23" s="55" t="n">
        <x:v>46216</x:v>
      </x:c>
      <x:c r="D23" s="35" t="str">
        <x:v>Complete</x:v>
      </x:c>
      <x:c r="E23" s="35" t="str">
        <x:v>Study Alpha</x:v>
      </x:c>
      <x:c r="F23" s="35" t="str">
        <x:v>UX-184</x:v>
      </x:c>
      <x:c r="G23" s="36" t="str">
        <x:v>Covered</x:v>
      </x:c>
    </x:row>
    <x:row r="24">
      <x:c r="A24" s="34" t="str">
        <x:v>S20</x:v>
      </x:c>
      <x:c r="B24" s="35" t="str">
        <x:v>Workflow C</x:v>
      </x:c>
      <x:c r="C24" s="55" t="n">
        <x:v>46216</x:v>
      </x:c>
      <x:c r="D24" s="35" t="str">
        <x:v>Complete</x:v>
      </x:c>
      <x:c r="E24" s="35" t="str">
        <x:v>Study Alpha</x:v>
      </x:c>
      <x:c r="F24" s="35" t="str">
        <x:v>UX-184</x:v>
      </x:c>
      <x:c r="G24" s="36" t="str">
        <x:v>Covered</x:v>
      </x:c>
    </x:row>
    <x:row r="25">
      <x:c r="A25" s="34" t="str">
        <x:v>S21</x:v>
      </x:c>
      <x:c r="B25" s="35" t="str">
        <x:v>Workflow C</x:v>
      </x:c>
      <x:c r="C25" s="55" t="n">
        <x:v>46216</x:v>
      </x:c>
      <x:c r="D25" s="35" t="str">
        <x:v>Complete</x:v>
      </x:c>
      <x:c r="E25" s="35" t="str">
        <x:v>Study Alpha</x:v>
      </x:c>
      <x:c r="F25" s="35" t="str">
        <x:v>UX-184</x:v>
      </x:c>
      <x:c r="G25" s="36" t="str">
        <x:v>Covered</x:v>
      </x:c>
    </x:row>
    <x:row r="26">
      <x:c r="A26" s="34" t="str">
        <x:v>S22</x:v>
      </x:c>
      <x:c r="B26" s="35" t="str">
        <x:v>Workflow C</x:v>
      </x:c>
      <x:c r="C26" s="55" t="n">
        <x:v>46216</x:v>
      </x:c>
      <x:c r="D26" s="35" t="str">
        <x:v>Complete</x:v>
      </x:c>
      <x:c r="E26" s="35" t="str">
        <x:v>Study Alpha</x:v>
      </x:c>
      <x:c r="F26" s="35" t="str">
        <x:v>UX-184</x:v>
      </x:c>
      <x:c r="G26" s="36" t="str">
        <x:v>Covered</x:v>
      </x:c>
    </x:row>
    <x:row r="27">
      <x:c r="A27" s="34" t="str">
        <x:v>S23</x:v>
      </x:c>
      <x:c r="B27" s="35" t="str">
        <x:v>Workflow C</x:v>
      </x:c>
      <x:c r="C27" s="55" t="n">
        <x:v>46216</x:v>
      </x:c>
      <x:c r="D27" s="35" t="str">
        <x:v>Complete</x:v>
      </x:c>
      <x:c r="E27" s="35" t="str">
        <x:v>Study Alpha</x:v>
      </x:c>
      <x:c r="F27" s="35" t="str">
        <x:v>UX-184</x:v>
      </x:c>
      <x:c r="G27" s="36" t="str">
        <x:v>Covered</x:v>
      </x:c>
    </x:row>
    <x:row r="28">
      <x:c r="A28" s="37" t="str">
        <x:v>S24</x:v>
      </x:c>
      <x:c r="B28" s="38" t="str">
        <x:v>Workflow C</x:v>
      </x:c>
      <x:c r="C28" s="56" t="n">
        <x:v>46216</x:v>
      </x:c>
      <x:c r="D28" s="38" t="str">
        <x:v>Complete</x:v>
      </x:c>
      <x:c r="E28" s="38" t="str">
        <x:v>Study Alpha</x:v>
      </x:c>
      <x:c r="F28" s="38" t="str">
        <x:v>UX-184</x:v>
      </x:c>
      <x:c r="G28" s="39" t="str">
        <x:v>Covered</x:v>
      </x:c>
    </x:row>
  </x:sheetData>
  <x:mergeCells>
    <x:mergeCell ref="A1:G1"/>
    <x:mergeCell ref="A2:G2"/>
  </x:mergeCells>
  <x:conditionalFormatting sqref="G5:G28">
    <x:cfRule type="containsText" dxfId="1" priority="1" operator="containsText" text="Cover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5" hidden="0" customWidth="1"/>
    <x:col min="3" max="3" width="28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Quota Monitor — Formula-led Summary</x:v>
      </x:c>
      <x:c r="B1" s="4"/>
      <x:c r="C1" s="4"/>
      <x:c r="D1" s="4"/>
      <x:c r="E1" s="4"/>
    </x:row>
    <x:row r="2" ht="22" customHeight="1">
      <x:c r="A2" s="7" t="str">
        <x:v>Synthetic coverage snapshot for Beacon Field Research / Study Alpha</x:v>
      </x:c>
      <x:c r="B2" s="7"/>
      <x:c r="C2" s="7"/>
      <x:c r="D2" s="7"/>
      <x:c r="E2" s="7"/>
    </x:row>
    <x:row r="4" ht="26" customHeight="1">
      <x:c r="A4" s="19" t="str">
        <x:v>Metric</x:v>
      </x:c>
      <x:c r="B4" s="20" t="str">
        <x:v>Value</x:v>
      </x:c>
      <x:c r="C4" s="21" t="str">
        <x:v>Formula source</x:v>
      </x:c>
    </x:row>
    <x:row r="5">
      <x:c r="A5" s="31" t="str">
        <x:v>Target n</x:v>
      </x:c>
      <x:c r="B5" s="32" t="n">
        <x:f>'Quota Plan'!B10</x:f>
        <x:v>24</x:v>
      </x:c>
      <x:c r="C5" s="33" t="str">
        <x:v>Quota Plan total target</x:v>
      </x:c>
    </x:row>
    <x:row r="6">
      <x:c r="A6" s="34" t="str">
        <x:v>Scheduled n</x:v>
      </x:c>
      <x:c r="B6" s="35" t="n">
        <x:f>'Quota Plan'!C10</x:f>
        <x:v>24</x:v>
      </x:c>
      <x:c r="C6" s="36" t="str">
        <x:v>Quota Plan scheduled total</x:v>
      </x:c>
    </x:row>
    <x:row r="7">
      <x:c r="A7" s="34" t="str">
        <x:v>Completed n</x:v>
      </x:c>
      <x:c r="B7" s="35" t="n">
        <x:f>'Quota Plan'!D10</x:f>
        <x:v>24</x:v>
      </x:c>
      <x:c r="C7" s="36" t="str">
        <x:v>Quota Plan completed total</x:v>
      </x:c>
    </x:row>
    <x:row r="8">
      <x:c r="A8" s="34" t="str">
        <x:v>Remaining n</x:v>
      </x:c>
      <x:c r="B8" s="35" t="n">
        <x:f>'Quota Plan'!E10</x:f>
        <x:v>0</x:v>
      </x:c>
      <x:c r="C8" s="36" t="str">
        <x:v>Quota Plan remaining total</x:v>
      </x:c>
    </x:row>
    <x:row r="9">
      <x:c r="A9" s="34" t="str">
        <x:v>Coverage rate</x:v>
      </x:c>
      <x:c r="B9" s="41" t="n">
        <x:f>'Quota Plan'!F10</x:f>
        <x:v>1</x:v>
      </x:c>
      <x:c r="C9" s="36" t="str">
        <x:v>Completed / target</x:v>
      </x:c>
    </x:row>
    <x:row r="10">
      <x:c r="A10" s="37" t="str">
        <x:v>Planning segments met</x:v>
      </x:c>
      <x:c r="B10" s="38" t="n">
        <x:f>COUNTIF('Quota Plan'!$G$5:$G$7,"Met")</x:f>
        <x:v>3</x:v>
      </x:c>
      <x:c r="C10" s="39" t="str">
        <x:v>Planning flag count</x:v>
      </x:c>
    </x:row>
    <x:row r="13" ht="26" customHeight="1">
      <x:c r="A13" s="19" t="str">
        <x:v>Planning segment</x:v>
      </x:c>
      <x:c r="B13" s="20" t="str">
        <x:v>Target</x:v>
      </x:c>
      <x:c r="C13" s="20" t="str">
        <x:v>Completed</x:v>
      </x:c>
      <x:c r="D13" s="20" t="str">
        <x:v>Gap</x:v>
      </x:c>
      <x:c r="E13" s="21" t="str">
        <x:v>Flag</x:v>
      </x:c>
    </x:row>
    <x:row r="14">
      <x:c r="A14" s="31" t="str">
        <x:f>'Quota Plan'!A5</x:f>
        <x:v>Workflow A</x:v>
      </x:c>
      <x:c r="B14" s="32" t="n">
        <x:f>'Quota Plan'!B5</x:f>
        <x:v>8</x:v>
      </x:c>
      <x:c r="C14" s="32" t="n">
        <x:f>'Quota Plan'!D5</x:f>
        <x:v>8</x:v>
      </x:c>
      <x:c r="D14" s="32" t="n">
        <x:f>B14-C14</x:f>
        <x:v>0</x:v>
      </x:c>
      <x:c r="E14" s="33" t="str">
        <x:f>'Quota Plan'!G5</x:f>
        <x:v>Met</x:v>
      </x:c>
    </x:row>
    <x:row r="15">
      <x:c r="A15" s="34" t="str">
        <x:f>'Quota Plan'!A6</x:f>
        <x:v>Workflow B</x:v>
      </x:c>
      <x:c r="B15" s="35" t="n">
        <x:f>'Quota Plan'!B6</x:f>
        <x:v>8</x:v>
      </x:c>
      <x:c r="C15" s="35" t="n">
        <x:f>'Quota Plan'!D6</x:f>
        <x:v>8</x:v>
      </x:c>
      <x:c r="D15" s="35" t="n">
        <x:f>B15-C15</x:f>
        <x:v>0</x:v>
      </x:c>
      <x:c r="E15" s="36" t="str">
        <x:f>'Quota Plan'!G6</x:f>
        <x:v>Met</x:v>
      </x:c>
    </x:row>
    <x:row r="16">
      <x:c r="A16" s="37" t="str">
        <x:f>'Quota Plan'!A7</x:f>
        <x:v>Workflow C</x:v>
      </x:c>
      <x:c r="B16" s="38" t="n">
        <x:f>'Quota Plan'!B7</x:f>
        <x:v>8</x:v>
      </x:c>
      <x:c r="C16" s="38" t="n">
        <x:f>'Quota Plan'!D7</x:f>
        <x:v>8</x:v>
      </x:c>
      <x:c r="D16" s="38" t="n">
        <x:f>B16-C16</x:f>
        <x:v>0</x:v>
      </x:c>
      <x:c r="E16" s="39" t="str">
        <x:f>'Quota Plan'!G7</x:f>
        <x:v>Met</x:v>
      </x:c>
    </x:row>
  </x:sheetData>
  <x:mergeCells>
    <x:mergeCell ref="A1:E1"/>
    <x:mergeCell ref="A2:E2"/>
  </x:mergeCells>
  <x:conditionalFormatting sqref="E14:E16">
    <x:cfRule type="containsText" dxfId="2" priority="1" operator="containsText" text="Met"/>
  </x:conditionalFormatting>
  <x:pageMargins left="0.7" right="0.7" top="0.75" bottom="0.75" header="0.3" footer="0.3"/>
</x:worksheet>
</file>