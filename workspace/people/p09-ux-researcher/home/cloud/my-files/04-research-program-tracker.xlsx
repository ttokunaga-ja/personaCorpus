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5feda6c14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bc26bcf97754352"/>
    <x:sheet xmlns:r="http://schemas.openxmlformats.org/officeDocument/2006/relationships" name="Sessions" sheetId="2" r:id="Re794f4f5dd4c49c5"/>
    <x:sheet xmlns:r="http://schemas.openxmlformats.org/officeDocument/2006/relationships" name="Metrics" sheetId="3" r:id="R7b666e76de91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4748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EF4F8"/>
      </x:patternFill>
    </x:fill>
    <x:fill>
      <x:patternFill patternType="solid">
        <x:fgColor rgb="FF0F766E"/>
      </x:patternFill>
    </x:fill>
  </x:fills>
  <x:borders count="16">
    <x:border/>
    <x:border>
      <x:left style="thin">
        <x:color rgb="FF0B5B55"/>
      </x:left>
      <x:top style="thin">
        <x:color rgb="FF0B5B55"/>
      </x:top>
      <x:bottom style="thin">
        <x:color rgb="FF0B5B55"/>
      </x:bottom>
    </x:border>
    <x:border>
      <x:top style="thin">
        <x:color rgb="FF0B5B55"/>
      </x:top>
      <x:bottom style="thin">
        <x:color rgb="FF0B5B55"/>
      </x:bottom>
    </x:border>
    <x:border>
      <x:right style="thin">
        <x:color rgb="FF0B5B55"/>
      </x:right>
      <x:top style="thin">
        <x:color rgb="FF0B5B55"/>
      </x:top>
      <x:bottom style="thin">
        <x:color rgb="FF0B5B55"/>
      </x:bottom>
    </x:border>
    <x:border>
      <x:right style="thin">
        <x:color rgb="FFD9E2EC"/>
      </x:right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065F46"/>
      </x:font>
      <x:fill>
        <x:patternFill patternType="solid">
          <x:bgColor rgb="FFDDF3EF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065F46"/>
      </x:font>
      <x:fill>
        <x:patternFill patternType="solid">
          <x:bgColor rgb="FFDDF3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2f22fdf6846f4" /><Relationship Type="http://schemas.openxmlformats.org/officeDocument/2006/relationships/theme" Target="/xl/theme/theme1.xml" Id="R7ecfc0fe47cd4be3" /><Relationship Type="http://schemas.openxmlformats.org/officeDocument/2006/relationships/sharedStrings" Target="/xl/sharedStrings.xml" Id="R27dc46e0d0e94545" /><Relationship Type="http://schemas.openxmlformats.org/officeDocument/2006/relationships/worksheet" Target="/xl/worksheets/sheet1.xml" Id="R3bc26bcf97754352" /><Relationship Type="http://schemas.openxmlformats.org/officeDocument/2006/relationships/worksheet" Target="/xl/worksheets/sheet2.xml" Id="Re794f4f5dd4c49c5" /><Relationship Type="http://schemas.openxmlformats.org/officeDocument/2006/relationships/worksheet" Target="/xl/worksheets/sheet3.xml" Id="R7b666e76de9143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4" hidden="0" customWidth="1"/>
    <x:col min="4" max="4" width="15" hidden="0" customWidth="1"/>
    <x:col min="5" max="5" width="19" hidden="0" customWidth="1"/>
    <x:col min="6" max="6" width="12" hidden="0" customWidth="1"/>
    <x:col min="7" max="7" width="12" hidden="0" customWidth="1"/>
    <x:col min="8" max="8" width="24" hidden="0" customWidth="1"/>
  </x:cols>
  <x:sheetData>
    <x:row r="1" ht="30" customHeight="1">
      <x:c r="A1" s="4" t="str">
        <x:v>Beacon Field Research — Program Tracker</x:v>
      </x:c>
      <x:c r="B1" s="4"/>
      <x:c r="C1" s="4"/>
      <x:c r="D1" s="4"/>
      <x:c r="E1" s="4"/>
      <x:c r="F1" s="4"/>
      <x:c r="G1" s="4"/>
      <x:c r="H1" s="4"/>
    </x:row>
    <x:row r="2" ht="22" customHeight="1">
      <x:c r="A2" s="7" t="str">
        <x:v>Study Alpha | 2026-07-13 | session UX-184 | synthetic planning data | n=24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9" t="str">
        <x:v>Study</x:v>
      </x:c>
      <x:c r="B4" s="20" t="str">
        <x:v>Program ID</x:v>
      </x:c>
      <x:c r="C4" s="20" t="str">
        <x:v>Fieldwork date</x:v>
      </x:c>
      <x:c r="D4" s="20" t="str">
        <x:v>Planned n</x:v>
      </x:c>
      <x:c r="E4" s="20" t="str">
        <x:v>Completed</x:v>
      </x:c>
      <x:c r="F4" s="20" t="str">
        <x:v>Synthesis complete</x:v>
      </x:c>
      <x:c r="G4" s="20" t="str">
        <x:v>Open notes</x:v>
      </x:c>
      <x:c r="H4" s="21" t="str">
        <x:v>Overall status</x:v>
      </x:c>
    </x:row>
    <x:row r="5">
      <x:c r="A5" s="25" t="str">
        <x:v>Study Alpha</x:v>
      </x:c>
      <x:c r="B5" s="26" t="str">
        <x:v>UX-184</x:v>
      </x:c>
      <x:c r="C5" s="28" t="n">
        <x:v>46216</x:v>
      </x:c>
      <x:c r="D5" s="26" t="n">
        <x:v>24</x:v>
      </x:c>
      <x:c r="E5" s="26" t="n">
        <x:f>COUNTIF('Sessions'!$F$5:$F$28,"Complete")</x:f>
        <x:v>24</x:v>
      </x:c>
      <x:c r="F5" s="26" t="n">
        <x:f>COUNTIF('Sessions'!$G$5:$G$28,"Synthesized")</x:f>
        <x:v>18</x:v>
      </x:c>
      <x:c r="G5" s="26" t="n">
        <x:f>COUNTIF('Sessions'!$H$5:$H$28,"Open")</x:f>
        <x:v>6</x:v>
      </x:c>
      <x:c r="H5" s="27" t="str">
        <x:f>IF(E5=D5,"On track","In fieldwork")</x:f>
        <x:v>On track</x:v>
      </x:c>
    </x:row>
    <x:row r="8" ht="26" customHeight="1">
      <x:c r="A8" s="19" t="str">
        <x:v>Milestone</x:v>
      </x:c>
      <x:c r="B8" s="20" t="str">
        <x:v>Owner role</x:v>
      </x:c>
      <x:c r="C8" s="20" t="str">
        <x:v>Due date</x:v>
      </x:c>
      <x:c r="D8" s="20" t="str">
        <x:v>Status</x:v>
      </x:c>
      <x:c r="E8" s="20" t="str">
        <x:v>Evidence</x:v>
      </x:c>
      <x:c r="F8" s="20" t="str">
        <x:v>Progress</x:v>
      </x:c>
      <x:c r="G8" s="20" t="str">
        <x:v>Risk</x:v>
      </x:c>
      <x:c r="H8" s="21" t="str">
        <x:v>Notes</x:v>
      </x:c>
    </x:row>
    <x:row r="9">
      <x:c r="A9" s="38" t="str">
        <x:v>Recruitment close</x:v>
      </x:c>
      <x:c r="B9" s="39" t="str">
        <x:v>Research ops</x:v>
      </x:c>
      <x:c r="C9" s="47" t="n">
        <x:v>46213</x:v>
      </x:c>
      <x:c r="D9" s="39" t="str">
        <x:v>Complete</x:v>
      </x:c>
      <x:c r="E9" s="39" t="str">
        <x:v>Quota monitor</x:v>
      </x:c>
      <x:c r="F9" s="50" t="n">
        <x:f>1</x:f>
        <x:v>1</x:v>
      </x:c>
      <x:c r="G9" s="39" t="str">
        <x:v>Low</x:v>
      </x:c>
      <x:c r="H9" s="40" t="str">
        <x:v>Synthetic cohort locked</x:v>
      </x:c>
    </x:row>
    <x:row r="10">
      <x:c r="A10" s="41" t="str">
        <x:v>Fieldwork</x:v>
      </x:c>
      <x:c r="B10" s="42" t="str">
        <x:v>UX research</x:v>
      </x:c>
      <x:c r="C10" s="48" t="n">
        <x:v>46216</x:v>
      </x:c>
      <x:c r="D10" s="42" t="str">
        <x:v>Complete</x:v>
      </x:c>
      <x:c r="E10" s="42" t="str">
        <x:v>Session roster</x:v>
      </x:c>
      <x:c r="F10" s="51" t="n">
        <x:f>1</x:f>
        <x:v>1</x:v>
      </x:c>
      <x:c r="G10" s="42" t="str">
        <x:v>Low</x:v>
      </x:c>
      <x:c r="H10" s="43" t="str">
        <x:v>24 synthetic sessions</x:v>
      </x:c>
    </x:row>
    <x:row r="11">
      <x:c r="A11" s="41" t="str">
        <x:v>Synthesis</x:v>
      </x:c>
      <x:c r="B11" s="42" t="str">
        <x:v>Research team</x:v>
      </x:c>
      <x:c r="C11" s="48" t="n">
        <x:v>46218</x:v>
      </x:c>
      <x:c r="D11" s="42" t="str">
        <x:v>In progress</x:v>
      </x:c>
      <x:c r="E11" s="42" t="str">
        <x:v>Synthesis canvas</x:v>
      </x:c>
      <x:c r="F11" s="51" t="n">
        <x:f>F5/D5</x:f>
        <x:v>0.75</x:v>
      </x:c>
      <x:c r="G11" s="42" t="str">
        <x:v>Medium</x:v>
      </x:c>
      <x:c r="H11" s="43" t="str">
        <x:v>18 of 24 coded</x:v>
      </x:c>
    </x:row>
    <x:row r="12">
      <x:c r="A12" s="44" t="str">
        <x:v>Readout</x:v>
      </x:c>
      <x:c r="B12" s="45" t="str">
        <x:v>Program lead</x:v>
      </x:c>
      <x:c r="C12" s="49" t="n">
        <x:v>46220</x:v>
      </x:c>
      <x:c r="D12" s="45" t="str">
        <x:v>Planned</x:v>
      </x:c>
      <x:c r="E12" s="45" t="str">
        <x:v>Research dashboard</x:v>
      </x:c>
      <x:c r="F12" s="52" t="n">
        <x:f>0.25</x:f>
        <x:v>0.25</x:v>
      </x:c>
      <x:c r="G12" s="45" t="str">
        <x:v>Low</x:v>
      </x:c>
      <x:c r="H12" s="46" t="str">
        <x:v>Draft narrative queued</x:v>
      </x:c>
    </x:row>
  </x:sheetData>
  <x:mergeCells>
    <x:mergeCell ref="A1:H1"/>
    <x:mergeCell ref="A2:H2"/>
  </x:mergeCells>
  <x:conditionalFormatting sqref="D9:D12">
    <x:cfRule type="containsText" dxfId="0" priority="1" operator="containsText" text="Complete"/>
  </x:conditionalFormatting>
  <x:conditionalFormatting sqref="G9:G12">
    <x:cfRule type="containsText" dxfId="1" priority="2" operator="containsText" text="Medium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3" hidden="0" customWidth="1"/>
    <x:col min="4" max="4" width="10" hidden="0" customWidth="1"/>
    <x:col min="5" max="5" width="13" hidden="0" customWidth="1"/>
    <x:col min="6" max="6" width="16" hidden="0" customWidth="1"/>
    <x:col min="7" max="7" width="18" hidden="0" customWidth="1"/>
    <x:col min="8" max="8" width="12" hidden="0" customWidth="1"/>
    <x:col min="9" max="9" width="13" hidden="0" customWidth="1"/>
  </x:cols>
  <x:sheetData>
    <x:row r="1" ht="30" customHeight="1">
      <x:c r="A1" s="4" t="str">
        <x:v>Study Alpha — Synthetic Session Log</x:v>
      </x:c>
      <x:c r="B1" s="4"/>
      <x:c r="C1" s="4"/>
      <x:c r="D1" s="4"/>
      <x:c r="E1" s="4"/>
      <x:c r="F1" s="4"/>
      <x:c r="G1" s="4"/>
      <x:c r="H1" s="4"/>
      <x:c r="I1" s="4"/>
    </x:row>
    <x:row r="2" ht="22" customHeight="1">
      <x:c r="A2" s="7" t="str">
        <x:v>Beacon Field Research | 2026-07-13 | UX-184 | codes S01–S24 only</x:v>
      </x:c>
      <x:c r="B2" s="7"/>
      <x:c r="C2" s="7"/>
      <x:c r="D2" s="7"/>
      <x:c r="E2" s="7"/>
      <x:c r="F2" s="7"/>
      <x:c r="G2" s="7"/>
      <x:c r="H2" s="7"/>
      <x:c r="I2" s="7"/>
    </x:row>
    <x:row r="4" ht="26" customHeight="1">
      <x:c r="A4" s="19" t="str">
        <x:v>Session code</x:v>
      </x:c>
      <x:c r="B4" s="20" t="str">
        <x:v>Study</x:v>
      </x:c>
      <x:c r="C4" s="20" t="str">
        <x:v>Date</x:v>
      </x:c>
      <x:c r="D4" s="20" t="str">
        <x:v>Slot</x:v>
      </x:c>
      <x:c r="E4" s="20" t="str">
        <x:v>Mode</x:v>
      </x:c>
      <x:c r="F4" s="20" t="str">
        <x:v>Session status</x:v>
      </x:c>
      <x:c r="G4" s="20" t="str">
        <x:v>Synthesis status</x:v>
      </x:c>
      <x:c r="H4" s="20" t="str">
        <x:v>Notes state</x:v>
      </x:c>
      <x:c r="I4" s="21" t="str">
        <x:v>Signal count</x:v>
      </x:c>
    </x:row>
    <x:row r="5">
      <x:c r="A5" s="38" t="str">
        <x:v>S01</x:v>
      </x:c>
      <x:c r="B5" s="39" t="str">
        <x:v>Study Alpha</x:v>
      </x:c>
      <x:c r="C5" s="47" t="n">
        <x:v>46216</x:v>
      </x:c>
      <x:c r="D5" s="39" t="str">
        <x:v>09:00</x:v>
      </x:c>
      <x:c r="E5" s="39" t="str">
        <x:v>Remote</x:v>
      </x:c>
      <x:c r="F5" s="39" t="str">
        <x:v>Complete</x:v>
      </x:c>
      <x:c r="G5" s="39" t="str">
        <x:v>Synthesized</x:v>
      </x:c>
      <x:c r="H5" s="39" t="str">
        <x:v>Closed</x:v>
      </x:c>
      <x:c r="I5" s="40" t="n">
        <x:v>2</x:v>
      </x:c>
    </x:row>
    <x:row r="6">
      <x:c r="A6" s="41" t="str">
        <x:v>S02</x:v>
      </x:c>
      <x:c r="B6" s="42" t="str">
        <x:v>Study Alpha</x:v>
      </x:c>
      <x:c r="C6" s="48" t="n">
        <x:v>46216</x:v>
      </x:c>
      <x:c r="D6" s="42" t="str">
        <x:v>09:30</x:v>
      </x:c>
      <x:c r="E6" s="42" t="str">
        <x:v>Remote</x:v>
      </x:c>
      <x:c r="F6" s="42" t="str">
        <x:v>Complete</x:v>
      </x:c>
      <x:c r="G6" s="42" t="str">
        <x:v>Synthesized</x:v>
      </x:c>
      <x:c r="H6" s="42" t="str">
        <x:v>Closed</x:v>
      </x:c>
      <x:c r="I6" s="43" t="n">
        <x:v>3</x:v>
      </x:c>
    </x:row>
    <x:row r="7">
      <x:c r="A7" s="41" t="str">
        <x:v>S03</x:v>
      </x:c>
      <x:c r="B7" s="42" t="str">
        <x:v>Study Alpha</x:v>
      </x:c>
      <x:c r="C7" s="48" t="n">
        <x:v>46216</x:v>
      </x:c>
      <x:c r="D7" s="42" t="str">
        <x:v>10:00</x:v>
      </x:c>
      <x:c r="E7" s="42" t="str">
        <x:v>Remote</x:v>
      </x:c>
      <x:c r="F7" s="42" t="str">
        <x:v>Complete</x:v>
      </x:c>
      <x:c r="G7" s="42" t="str">
        <x:v>Synthesized</x:v>
      </x:c>
      <x:c r="H7" s="42" t="str">
        <x:v>Closed</x:v>
      </x:c>
      <x:c r="I7" s="43" t="n">
        <x:v>4</x:v>
      </x:c>
    </x:row>
    <x:row r="8">
      <x:c r="A8" s="41" t="str">
        <x:v>S04</x:v>
      </x:c>
      <x:c r="B8" s="42" t="str">
        <x:v>Study Alpha</x:v>
      </x:c>
      <x:c r="C8" s="48" t="n">
        <x:v>46216</x:v>
      </x:c>
      <x:c r="D8" s="42" t="str">
        <x:v>10:30</x:v>
      </x:c>
      <x:c r="E8" s="42" t="str">
        <x:v>Remote</x:v>
      </x:c>
      <x:c r="F8" s="42" t="str">
        <x:v>Complete</x:v>
      </x:c>
      <x:c r="G8" s="42" t="str">
        <x:v>Synthesized</x:v>
      </x:c>
      <x:c r="H8" s="42" t="str">
        <x:v>Closed</x:v>
      </x:c>
      <x:c r="I8" s="43" t="n">
        <x:v>5</x:v>
      </x:c>
    </x:row>
    <x:row r="9">
      <x:c r="A9" s="41" t="str">
        <x:v>S05</x:v>
      </x:c>
      <x:c r="B9" s="42" t="str">
        <x:v>Study Alpha</x:v>
      </x:c>
      <x:c r="C9" s="48" t="n">
        <x:v>46216</x:v>
      </x:c>
      <x:c r="D9" s="42" t="str">
        <x:v>11:00</x:v>
      </x:c>
      <x:c r="E9" s="42" t="str">
        <x:v>Remote</x:v>
      </x:c>
      <x:c r="F9" s="42" t="str">
        <x:v>Complete</x:v>
      </x:c>
      <x:c r="G9" s="42" t="str">
        <x:v>Synthesized</x:v>
      </x:c>
      <x:c r="H9" s="42" t="str">
        <x:v>Closed</x:v>
      </x:c>
      <x:c r="I9" s="43" t="n">
        <x:v>2</x:v>
      </x:c>
    </x:row>
    <x:row r="10">
      <x:c r="A10" s="41" t="str">
        <x:v>S06</x:v>
      </x:c>
      <x:c r="B10" s="42" t="str">
        <x:v>Study Alpha</x:v>
      </x:c>
      <x:c r="C10" s="48" t="n">
        <x:v>46216</x:v>
      </x:c>
      <x:c r="D10" s="42" t="str">
        <x:v>11:30</x:v>
      </x:c>
      <x:c r="E10" s="42" t="str">
        <x:v>Remote</x:v>
      </x:c>
      <x:c r="F10" s="42" t="str">
        <x:v>Complete</x:v>
      </x:c>
      <x:c r="G10" s="42" t="str">
        <x:v>Synthesized</x:v>
      </x:c>
      <x:c r="H10" s="42" t="str">
        <x:v>Closed</x:v>
      </x:c>
      <x:c r="I10" s="43" t="n">
        <x:v>3</x:v>
      </x:c>
    </x:row>
    <x:row r="11">
      <x:c r="A11" s="41" t="str">
        <x:v>S07</x:v>
      </x:c>
      <x:c r="B11" s="42" t="str">
        <x:v>Study Alpha</x:v>
      </x:c>
      <x:c r="C11" s="48" t="n">
        <x:v>46216</x:v>
      </x:c>
      <x:c r="D11" s="42" t="str">
        <x:v>13:00</x:v>
      </x:c>
      <x:c r="E11" s="42" t="str">
        <x:v>Remote</x:v>
      </x:c>
      <x:c r="F11" s="42" t="str">
        <x:v>Complete</x:v>
      </x:c>
      <x:c r="G11" s="42" t="str">
        <x:v>Synthesized</x:v>
      </x:c>
      <x:c r="H11" s="42" t="str">
        <x:v>Closed</x:v>
      </x:c>
      <x:c r="I11" s="43" t="n">
        <x:v>4</x:v>
      </x:c>
    </x:row>
    <x:row r="12">
      <x:c r="A12" s="41" t="str">
        <x:v>S08</x:v>
      </x:c>
      <x:c r="B12" s="42" t="str">
        <x:v>Study Alpha</x:v>
      </x:c>
      <x:c r="C12" s="48" t="n">
        <x:v>46216</x:v>
      </x:c>
      <x:c r="D12" s="42" t="str">
        <x:v>13:30</x:v>
      </x:c>
      <x:c r="E12" s="42" t="str">
        <x:v>Remote</x:v>
      </x:c>
      <x:c r="F12" s="42" t="str">
        <x:v>Complete</x:v>
      </x:c>
      <x:c r="G12" s="42" t="str">
        <x:v>Synthesized</x:v>
      </x:c>
      <x:c r="H12" s="42" t="str">
        <x:v>Closed</x:v>
      </x:c>
      <x:c r="I12" s="43" t="n">
        <x:v>5</x:v>
      </x:c>
    </x:row>
    <x:row r="13">
      <x:c r="A13" s="41" t="str">
        <x:v>S09</x:v>
      </x:c>
      <x:c r="B13" s="42" t="str">
        <x:v>Study Alpha</x:v>
      </x:c>
      <x:c r="C13" s="48" t="n">
        <x:v>46216</x:v>
      </x:c>
      <x:c r="D13" s="42" t="str">
        <x:v>09:00</x:v>
      </x:c>
      <x:c r="E13" s="42" t="str">
        <x:v>Remote</x:v>
      </x:c>
      <x:c r="F13" s="42" t="str">
        <x:v>Complete</x:v>
      </x:c>
      <x:c r="G13" s="42" t="str">
        <x:v>Synthesized</x:v>
      </x:c>
      <x:c r="H13" s="42" t="str">
        <x:v>Closed</x:v>
      </x:c>
      <x:c r="I13" s="43" t="n">
        <x:v>2</x:v>
      </x:c>
    </x:row>
    <x:row r="14">
      <x:c r="A14" s="41" t="str">
        <x:v>S10</x:v>
      </x:c>
      <x:c r="B14" s="42" t="str">
        <x:v>Study Alpha</x:v>
      </x:c>
      <x:c r="C14" s="48" t="n">
        <x:v>46216</x:v>
      </x:c>
      <x:c r="D14" s="42" t="str">
        <x:v>09:30</x:v>
      </x:c>
      <x:c r="E14" s="42" t="str">
        <x:v>Remote</x:v>
      </x:c>
      <x:c r="F14" s="42" t="str">
        <x:v>Complete</x:v>
      </x:c>
      <x:c r="G14" s="42" t="str">
        <x:v>Synthesized</x:v>
      </x:c>
      <x:c r="H14" s="42" t="str">
        <x:v>Closed</x:v>
      </x:c>
      <x:c r="I14" s="43" t="n">
        <x:v>3</x:v>
      </x:c>
    </x:row>
    <x:row r="15">
      <x:c r="A15" s="41" t="str">
        <x:v>S11</x:v>
      </x:c>
      <x:c r="B15" s="42" t="str">
        <x:v>Study Alpha</x:v>
      </x:c>
      <x:c r="C15" s="48" t="n">
        <x:v>46216</x:v>
      </x:c>
      <x:c r="D15" s="42" t="str">
        <x:v>10:00</x:v>
      </x:c>
      <x:c r="E15" s="42" t="str">
        <x:v>Remote</x:v>
      </x:c>
      <x:c r="F15" s="42" t="str">
        <x:v>Complete</x:v>
      </x:c>
      <x:c r="G15" s="42" t="str">
        <x:v>Synthesized</x:v>
      </x:c>
      <x:c r="H15" s="42" t="str">
        <x:v>Closed</x:v>
      </x:c>
      <x:c r="I15" s="43" t="n">
        <x:v>4</x:v>
      </x:c>
    </x:row>
    <x:row r="16">
      <x:c r="A16" s="41" t="str">
        <x:v>S12</x:v>
      </x:c>
      <x:c r="B16" s="42" t="str">
        <x:v>Study Alpha</x:v>
      </x:c>
      <x:c r="C16" s="48" t="n">
        <x:v>46216</x:v>
      </x:c>
      <x:c r="D16" s="42" t="str">
        <x:v>10:30</x:v>
      </x:c>
      <x:c r="E16" s="42" t="str">
        <x:v>Remote</x:v>
      </x:c>
      <x:c r="F16" s="42" t="str">
        <x:v>Complete</x:v>
      </x:c>
      <x:c r="G16" s="42" t="str">
        <x:v>Synthesized</x:v>
      </x:c>
      <x:c r="H16" s="42" t="str">
        <x:v>Closed</x:v>
      </x:c>
      <x:c r="I16" s="43" t="n">
        <x:v>5</x:v>
      </x:c>
    </x:row>
    <x:row r="17">
      <x:c r="A17" s="41" t="str">
        <x:v>S13</x:v>
      </x:c>
      <x:c r="B17" s="42" t="str">
        <x:v>Study Alpha</x:v>
      </x:c>
      <x:c r="C17" s="48" t="n">
        <x:v>46216</x:v>
      </x:c>
      <x:c r="D17" s="42" t="str">
        <x:v>11:00</x:v>
      </x:c>
      <x:c r="E17" s="42" t="str">
        <x:v>In-person</x:v>
      </x:c>
      <x:c r="F17" s="42" t="str">
        <x:v>Complete</x:v>
      </x:c>
      <x:c r="G17" s="42" t="str">
        <x:v>Synthesized</x:v>
      </x:c>
      <x:c r="H17" s="42" t="str">
        <x:v>Closed</x:v>
      </x:c>
      <x:c r="I17" s="43" t="n">
        <x:v>2</x:v>
      </x:c>
    </x:row>
    <x:row r="18">
      <x:c r="A18" s="41" t="str">
        <x:v>S14</x:v>
      </x:c>
      <x:c r="B18" s="42" t="str">
        <x:v>Study Alpha</x:v>
      </x:c>
      <x:c r="C18" s="48" t="n">
        <x:v>46216</x:v>
      </x:c>
      <x:c r="D18" s="42" t="str">
        <x:v>11:30</x:v>
      </x:c>
      <x:c r="E18" s="42" t="str">
        <x:v>In-person</x:v>
      </x:c>
      <x:c r="F18" s="42" t="str">
        <x:v>Complete</x:v>
      </x:c>
      <x:c r="G18" s="42" t="str">
        <x:v>Synthesized</x:v>
      </x:c>
      <x:c r="H18" s="42" t="str">
        <x:v>Closed</x:v>
      </x:c>
      <x:c r="I18" s="43" t="n">
        <x:v>3</x:v>
      </x:c>
    </x:row>
    <x:row r="19">
      <x:c r="A19" s="41" t="str">
        <x:v>S15</x:v>
      </x:c>
      <x:c r="B19" s="42" t="str">
        <x:v>Study Alpha</x:v>
      </x:c>
      <x:c r="C19" s="48" t="n">
        <x:v>46216</x:v>
      </x:c>
      <x:c r="D19" s="42" t="str">
        <x:v>13:00</x:v>
      </x:c>
      <x:c r="E19" s="42" t="str">
        <x:v>In-person</x:v>
      </x:c>
      <x:c r="F19" s="42" t="str">
        <x:v>Complete</x:v>
      </x:c>
      <x:c r="G19" s="42" t="str">
        <x:v>Synthesized</x:v>
      </x:c>
      <x:c r="H19" s="42" t="str">
        <x:v>Closed</x:v>
      </x:c>
      <x:c r="I19" s="43" t="n">
        <x:v>4</x:v>
      </x:c>
    </x:row>
    <x:row r="20">
      <x:c r="A20" s="41" t="str">
        <x:v>S16</x:v>
      </x:c>
      <x:c r="B20" s="42" t="str">
        <x:v>Study Alpha</x:v>
      </x:c>
      <x:c r="C20" s="48" t="n">
        <x:v>46216</x:v>
      </x:c>
      <x:c r="D20" s="42" t="str">
        <x:v>13:30</x:v>
      </x:c>
      <x:c r="E20" s="42" t="str">
        <x:v>In-person</x:v>
      </x:c>
      <x:c r="F20" s="42" t="str">
        <x:v>Complete</x:v>
      </x:c>
      <x:c r="G20" s="42" t="str">
        <x:v>Synthesized</x:v>
      </x:c>
      <x:c r="H20" s="42" t="str">
        <x:v>Closed</x:v>
      </x:c>
      <x:c r="I20" s="43" t="n">
        <x:v>5</x:v>
      </x:c>
    </x:row>
    <x:row r="21">
      <x:c r="A21" s="41" t="str">
        <x:v>S17</x:v>
      </x:c>
      <x:c r="B21" s="42" t="str">
        <x:v>Study Alpha</x:v>
      </x:c>
      <x:c r="C21" s="48" t="n">
        <x:v>46216</x:v>
      </x:c>
      <x:c r="D21" s="42" t="str">
        <x:v>09:00</x:v>
      </x:c>
      <x:c r="E21" s="42" t="str">
        <x:v>In-person</x:v>
      </x:c>
      <x:c r="F21" s="42" t="str">
        <x:v>Complete</x:v>
      </x:c>
      <x:c r="G21" s="42" t="str">
        <x:v>Synthesized</x:v>
      </x:c>
      <x:c r="H21" s="42" t="str">
        <x:v>Closed</x:v>
      </x:c>
      <x:c r="I21" s="43" t="n">
        <x:v>2</x:v>
      </x:c>
    </x:row>
    <x:row r="22">
      <x:c r="A22" s="41" t="str">
        <x:v>S18</x:v>
      </x:c>
      <x:c r="B22" s="42" t="str">
        <x:v>Study Alpha</x:v>
      </x:c>
      <x:c r="C22" s="48" t="n">
        <x:v>46216</x:v>
      </x:c>
      <x:c r="D22" s="42" t="str">
        <x:v>09:30</x:v>
      </x:c>
      <x:c r="E22" s="42" t="str">
        <x:v>In-person</x:v>
      </x:c>
      <x:c r="F22" s="42" t="str">
        <x:v>Complete</x:v>
      </x:c>
      <x:c r="G22" s="42" t="str">
        <x:v>Synthesized</x:v>
      </x:c>
      <x:c r="H22" s="42" t="str">
        <x:v>Closed</x:v>
      </x:c>
      <x:c r="I22" s="43" t="n">
        <x:v>3</x:v>
      </x:c>
    </x:row>
    <x:row r="23">
      <x:c r="A23" s="41" t="str">
        <x:v>S19</x:v>
      </x:c>
      <x:c r="B23" s="42" t="str">
        <x:v>Study Alpha</x:v>
      </x:c>
      <x:c r="C23" s="48" t="n">
        <x:v>46216</x:v>
      </x:c>
      <x:c r="D23" s="42" t="str">
        <x:v>10:00</x:v>
      </x:c>
      <x:c r="E23" s="42" t="str">
        <x:v>In-person</x:v>
      </x:c>
      <x:c r="F23" s="42" t="str">
        <x:v>Complete</x:v>
      </x:c>
      <x:c r="G23" s="42" t="str">
        <x:v>Queued</x:v>
      </x:c>
      <x:c r="H23" s="42" t="str">
        <x:v>Open</x:v>
      </x:c>
      <x:c r="I23" s="43" t="n">
        <x:v>4</x:v>
      </x:c>
    </x:row>
    <x:row r="24">
      <x:c r="A24" s="41" t="str">
        <x:v>S20</x:v>
      </x:c>
      <x:c r="B24" s="42" t="str">
        <x:v>Study Alpha</x:v>
      </x:c>
      <x:c r="C24" s="48" t="n">
        <x:v>46216</x:v>
      </x:c>
      <x:c r="D24" s="42" t="str">
        <x:v>10:30</x:v>
      </x:c>
      <x:c r="E24" s="42" t="str">
        <x:v>In-person</x:v>
      </x:c>
      <x:c r="F24" s="42" t="str">
        <x:v>Complete</x:v>
      </x:c>
      <x:c r="G24" s="42" t="str">
        <x:v>Queued</x:v>
      </x:c>
      <x:c r="H24" s="42" t="str">
        <x:v>Open</x:v>
      </x:c>
      <x:c r="I24" s="43" t="n">
        <x:v>5</x:v>
      </x:c>
    </x:row>
    <x:row r="25">
      <x:c r="A25" s="41" t="str">
        <x:v>S21</x:v>
      </x:c>
      <x:c r="B25" s="42" t="str">
        <x:v>Study Alpha</x:v>
      </x:c>
      <x:c r="C25" s="48" t="n">
        <x:v>46216</x:v>
      </x:c>
      <x:c r="D25" s="42" t="str">
        <x:v>11:00</x:v>
      </x:c>
      <x:c r="E25" s="42" t="str">
        <x:v>In-person</x:v>
      </x:c>
      <x:c r="F25" s="42" t="str">
        <x:v>Complete</x:v>
      </x:c>
      <x:c r="G25" s="42" t="str">
        <x:v>Queued</x:v>
      </x:c>
      <x:c r="H25" s="42" t="str">
        <x:v>Open</x:v>
      </x:c>
      <x:c r="I25" s="43" t="n">
        <x:v>2</x:v>
      </x:c>
    </x:row>
    <x:row r="26">
      <x:c r="A26" s="41" t="str">
        <x:v>S22</x:v>
      </x:c>
      <x:c r="B26" s="42" t="str">
        <x:v>Study Alpha</x:v>
      </x:c>
      <x:c r="C26" s="48" t="n">
        <x:v>46216</x:v>
      </x:c>
      <x:c r="D26" s="42" t="str">
        <x:v>11:30</x:v>
      </x:c>
      <x:c r="E26" s="42" t="str">
        <x:v>In-person</x:v>
      </x:c>
      <x:c r="F26" s="42" t="str">
        <x:v>Complete</x:v>
      </x:c>
      <x:c r="G26" s="42" t="str">
        <x:v>Queued</x:v>
      </x:c>
      <x:c r="H26" s="42" t="str">
        <x:v>Open</x:v>
      </x:c>
      <x:c r="I26" s="43" t="n">
        <x:v>3</x:v>
      </x:c>
    </x:row>
    <x:row r="27">
      <x:c r="A27" s="41" t="str">
        <x:v>S23</x:v>
      </x:c>
      <x:c r="B27" s="42" t="str">
        <x:v>Study Alpha</x:v>
      </x:c>
      <x:c r="C27" s="48" t="n">
        <x:v>46216</x:v>
      </x:c>
      <x:c r="D27" s="42" t="str">
        <x:v>13:00</x:v>
      </x:c>
      <x:c r="E27" s="42" t="str">
        <x:v>In-person</x:v>
      </x:c>
      <x:c r="F27" s="42" t="str">
        <x:v>Complete</x:v>
      </x:c>
      <x:c r="G27" s="42" t="str">
        <x:v>Queued</x:v>
      </x:c>
      <x:c r="H27" s="42" t="str">
        <x:v>Open</x:v>
      </x:c>
      <x:c r="I27" s="43" t="n">
        <x:v>4</x:v>
      </x:c>
    </x:row>
    <x:row r="28">
      <x:c r="A28" s="44" t="str">
        <x:v>S24</x:v>
      </x:c>
      <x:c r="B28" s="45" t="str">
        <x:v>Study Alpha</x:v>
      </x:c>
      <x:c r="C28" s="49" t="n">
        <x:v>46216</x:v>
      </x:c>
      <x:c r="D28" s="45" t="str">
        <x:v>13:30</x:v>
      </x:c>
      <x:c r="E28" s="45" t="str">
        <x:v>In-person</x:v>
      </x:c>
      <x:c r="F28" s="45" t="str">
        <x:v>Complete</x:v>
      </x:c>
      <x:c r="G28" s="45" t="str">
        <x:v>Queued</x:v>
      </x:c>
      <x:c r="H28" s="45" t="str">
        <x:v>Open</x:v>
      </x:c>
      <x:c r="I28" s="46" t="n">
        <x:v>5</x:v>
      </x:c>
    </x:row>
  </x:sheetData>
  <x:mergeCells>
    <x:mergeCell ref="A1:I1"/>
    <x:mergeCell ref="A2:I2"/>
  </x:mergeCells>
  <x:conditionalFormatting sqref="F5:H28">
    <x:cfRule type="containsText" dxfId="2" priority="1" operator="containsText" text="Queued"/>
  </x:conditionalFormatting>
  <x:conditionalFormatting sqref="H5:H28">
    <x:cfRule type="containsText" dxfId="3" priority="2" operator="containsText" text="Ope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3" hidden="0" customWidth="1"/>
    <x:col min="5" max="5" width="15" hidden="0" customWidth="1"/>
    <x:col min="6" max="6" width="13" hidden="0" customWidth="1"/>
  </x:cols>
  <x:sheetData>
    <x:row r="1" ht="30" customHeight="1">
      <x:c r="A1" s="4" t="str">
        <x:v>Study Alpha — Formula-led Metrics</x:v>
      </x:c>
      <x:c r="B1" s="4"/>
      <x:c r="C1" s="4"/>
      <x:c r="D1" s="4"/>
      <x:c r="E1" s="4"/>
      <x:c r="F1" s="4"/>
    </x:row>
    <x:row r="2" ht="22" customHeight="1">
      <x:c r="A2" s="7" t="str">
        <x:v>Synthetic operational measures; sourced from the Session Log sheet</x:v>
      </x:c>
      <x:c r="B2" s="7"/>
      <x:c r="C2" s="7"/>
      <x:c r="D2" s="7"/>
      <x:c r="E2" s="7"/>
      <x:c r="F2" s="7"/>
    </x:row>
    <x:row r="4" ht="26" customHeight="1">
      <x:c r="A4" s="19" t="str">
        <x:v>Metric</x:v>
      </x:c>
      <x:c r="B4" s="20" t="str">
        <x:v>Value</x:v>
      </x:c>
      <x:c r="C4" s="21" t="str">
        <x:v>Definition</x:v>
      </x:c>
    </x:row>
    <x:row r="5">
      <x:c r="A5" s="38" t="str">
        <x:v>Planned sessions</x:v>
      </x:c>
      <x:c r="B5" s="39" t="n">
        <x:f>COUNTA('Sessions'!$A$5:$A$28)</x:f>
        <x:v>24</x:v>
      </x:c>
      <x:c r="C5" s="40" t="str">
        <x:v>Target sample n</x:v>
      </x:c>
    </x:row>
    <x:row r="6">
      <x:c r="A6" s="41" t="str">
        <x:v>Completed sessions</x:v>
      </x:c>
      <x:c r="B6" s="42" t="n">
        <x:f>COUNTIF('Sessions'!$F$5:$F$28,"Complete")</x:f>
        <x:v>24</x:v>
      </x:c>
      <x:c r="C6" s="43" t="str">
        <x:v>Sessions marked Complete</x:v>
      </x:c>
    </x:row>
    <x:row r="7">
      <x:c r="A7" s="41" t="str">
        <x:v>Synthesis complete</x:v>
      </x:c>
      <x:c r="B7" s="42" t="n">
        <x:f>COUNTIF('Sessions'!$G$5:$G$28,"Synthesized")</x:f>
        <x:v>18</x:v>
      </x:c>
      <x:c r="C7" s="43" t="str">
        <x:v>Sessions marked Synthesized</x:v>
      </x:c>
    </x:row>
    <x:row r="8">
      <x:c r="A8" s="41" t="str">
        <x:v>Synthesis rate</x:v>
      </x:c>
      <x:c r="B8" s="53" t="n">
        <x:f>B7/B5</x:f>
        <x:v>0.75</x:v>
      </x:c>
      <x:c r="C8" s="43" t="str">
        <x:v>Synthesized / planned</x:v>
      </x:c>
    </x:row>
    <x:row r="9">
      <x:c r="A9" s="41" t="str">
        <x:v>Open notes</x:v>
      </x:c>
      <x:c r="B9" s="42" t="n">
        <x:f>COUNTIF('Sessions'!$H$5:$H$28,"Open")</x:f>
        <x:v>6</x:v>
      </x:c>
      <x:c r="C9" s="43" t="str">
        <x:v>Sessions with notes state Open</x:v>
      </x:c>
    </x:row>
    <x:row r="10">
      <x:c r="A10" s="44" t="str">
        <x:v>Mean signals / session</x:v>
      </x:c>
      <x:c r="B10" s="45" t="n">
        <x:f>AVERAGE('Sessions'!$I$5:$I$28)</x:f>
        <x:v>3.5</x:v>
      </x:c>
      <x:c r="C10" s="46" t="str">
        <x:v>Synthetic signal count average</x:v>
      </x:c>
    </x:row>
    <x:row r="13" ht="26" customHeight="1">
      <x:c r="A13" s="19" t="str">
        <x:v>Session code</x:v>
      </x:c>
      <x:c r="B13" s="20" t="str">
        <x:v>Synthesis</x:v>
      </x:c>
      <x:c r="C13" s="20" t="str">
        <x:v>Signal count</x:v>
      </x:c>
      <x:c r="D13" s="20" t="str">
        <x:v>Complete?</x:v>
      </x:c>
      <x:c r="E13" s="20" t="str">
        <x:v>Synthesis flag</x:v>
      </x:c>
      <x:c r="F13" s="21" t="str">
        <x:v>Notes state</x:v>
      </x:c>
    </x:row>
    <x:row r="14">
      <x:c r="A14" s="38" t="str">
        <x:f>'Sessions'!A5</x:f>
        <x:v>S01</x:v>
      </x:c>
      <x:c r="B14" s="39" t="str">
        <x:f>'Sessions'!G5</x:f>
        <x:v>Synthesized</x:v>
      </x:c>
      <x:c r="C14" s="39" t="n">
        <x:f>'Sessions'!I5</x:f>
        <x:v>2</x:v>
      </x:c>
      <x:c r="D14" s="39" t="n">
        <x:f>IF('Sessions'!F5="Complete",1,0)</x:f>
        <x:v>1</x:v>
      </x:c>
      <x:c r="E14" s="39" t="n">
        <x:f>IF(B14="Synthesized",1,0)</x:f>
        <x:v>1</x:v>
      </x:c>
      <x:c r="F14" s="40" t="str">
        <x:f>'Sessions'!H5</x:f>
        <x:v>Closed</x:v>
      </x:c>
    </x:row>
    <x:row r="15">
      <x:c r="A15" s="41" t="str">
        <x:f>'Sessions'!A6</x:f>
        <x:v>S02</x:v>
      </x:c>
      <x:c r="B15" s="42" t="str">
        <x:f>'Sessions'!G6</x:f>
        <x:v>Synthesized</x:v>
      </x:c>
      <x:c r="C15" s="42" t="n">
        <x:f>'Sessions'!I6</x:f>
        <x:v>3</x:v>
      </x:c>
      <x:c r="D15" s="42" t="n">
        <x:f>IF('Sessions'!F6="Complete",1,0)</x:f>
        <x:v>1</x:v>
      </x:c>
      <x:c r="E15" s="42" t="n">
        <x:f>IF(B15="Synthesized",1,0)</x:f>
        <x:v>1</x:v>
      </x:c>
      <x:c r="F15" s="43" t="str">
        <x:f>'Sessions'!H6</x:f>
        <x:v>Closed</x:v>
      </x:c>
    </x:row>
    <x:row r="16">
      <x:c r="A16" s="41" t="str">
        <x:f>'Sessions'!A7</x:f>
        <x:v>S03</x:v>
      </x:c>
      <x:c r="B16" s="42" t="str">
        <x:f>'Sessions'!G7</x:f>
        <x:v>Synthesized</x:v>
      </x:c>
      <x:c r="C16" s="42" t="n">
        <x:f>'Sessions'!I7</x:f>
        <x:v>4</x:v>
      </x:c>
      <x:c r="D16" s="42" t="n">
        <x:f>IF('Sessions'!F7="Complete",1,0)</x:f>
        <x:v>1</x:v>
      </x:c>
      <x:c r="E16" s="42" t="n">
        <x:f>IF(B16="Synthesized",1,0)</x:f>
        <x:v>1</x:v>
      </x:c>
      <x:c r="F16" s="43" t="str">
        <x:f>'Sessions'!H7</x:f>
        <x:v>Closed</x:v>
      </x:c>
    </x:row>
    <x:row r="17">
      <x:c r="A17" s="41" t="str">
        <x:f>'Sessions'!A8</x:f>
        <x:v>S04</x:v>
      </x:c>
      <x:c r="B17" s="42" t="str">
        <x:f>'Sessions'!G8</x:f>
        <x:v>Synthesized</x:v>
      </x:c>
      <x:c r="C17" s="42" t="n">
        <x:f>'Sessions'!I8</x:f>
        <x:v>5</x:v>
      </x:c>
      <x:c r="D17" s="42" t="n">
        <x:f>IF('Sessions'!F8="Complete",1,0)</x:f>
        <x:v>1</x:v>
      </x:c>
      <x:c r="E17" s="42" t="n">
        <x:f>IF(B17="Synthesized",1,0)</x:f>
        <x:v>1</x:v>
      </x:c>
      <x:c r="F17" s="43" t="str">
        <x:f>'Sessions'!H8</x:f>
        <x:v>Closed</x:v>
      </x:c>
    </x:row>
    <x:row r="18">
      <x:c r="A18" s="41" t="str">
        <x:f>'Sessions'!A9</x:f>
        <x:v>S05</x:v>
      </x:c>
      <x:c r="B18" s="42" t="str">
        <x:f>'Sessions'!G9</x:f>
        <x:v>Synthesized</x:v>
      </x:c>
      <x:c r="C18" s="42" t="n">
        <x:f>'Sessions'!I9</x:f>
        <x:v>2</x:v>
      </x:c>
      <x:c r="D18" s="42" t="n">
        <x:f>IF('Sessions'!F9="Complete",1,0)</x:f>
        <x:v>1</x:v>
      </x:c>
      <x:c r="E18" s="42" t="n">
        <x:f>IF(B18="Synthesized",1,0)</x:f>
        <x:v>1</x:v>
      </x:c>
      <x:c r="F18" s="43" t="str">
        <x:f>'Sessions'!H9</x:f>
        <x:v>Closed</x:v>
      </x:c>
    </x:row>
    <x:row r="19">
      <x:c r="A19" s="41" t="str">
        <x:f>'Sessions'!A10</x:f>
        <x:v>S06</x:v>
      </x:c>
      <x:c r="B19" s="42" t="str">
        <x:f>'Sessions'!G10</x:f>
        <x:v>Synthesized</x:v>
      </x:c>
      <x:c r="C19" s="42" t="n">
        <x:f>'Sessions'!I10</x:f>
        <x:v>3</x:v>
      </x:c>
      <x:c r="D19" s="42" t="n">
        <x:f>IF('Sessions'!F10="Complete",1,0)</x:f>
        <x:v>1</x:v>
      </x:c>
      <x:c r="E19" s="42" t="n">
        <x:f>IF(B19="Synthesized",1,0)</x:f>
        <x:v>1</x:v>
      </x:c>
      <x:c r="F19" s="43" t="str">
        <x:f>'Sessions'!H10</x:f>
        <x:v>Closed</x:v>
      </x:c>
    </x:row>
    <x:row r="20">
      <x:c r="A20" s="41" t="str">
        <x:f>'Sessions'!A11</x:f>
        <x:v>S07</x:v>
      </x:c>
      <x:c r="B20" s="42" t="str">
        <x:f>'Sessions'!G11</x:f>
        <x:v>Synthesized</x:v>
      </x:c>
      <x:c r="C20" s="42" t="n">
        <x:f>'Sessions'!I11</x:f>
        <x:v>4</x:v>
      </x:c>
      <x:c r="D20" s="42" t="n">
        <x:f>IF('Sessions'!F11="Complete",1,0)</x:f>
        <x:v>1</x:v>
      </x:c>
      <x:c r="E20" s="42" t="n">
        <x:f>IF(B20="Synthesized",1,0)</x:f>
        <x:v>1</x:v>
      </x:c>
      <x:c r="F20" s="43" t="str">
        <x:f>'Sessions'!H11</x:f>
        <x:v>Closed</x:v>
      </x:c>
    </x:row>
    <x:row r="21">
      <x:c r="A21" s="41" t="str">
        <x:f>'Sessions'!A12</x:f>
        <x:v>S08</x:v>
      </x:c>
      <x:c r="B21" s="42" t="str">
        <x:f>'Sessions'!G12</x:f>
        <x:v>Synthesized</x:v>
      </x:c>
      <x:c r="C21" s="42" t="n">
        <x:f>'Sessions'!I12</x:f>
        <x:v>5</x:v>
      </x:c>
      <x:c r="D21" s="42" t="n">
        <x:f>IF('Sessions'!F12="Complete",1,0)</x:f>
        <x:v>1</x:v>
      </x:c>
      <x:c r="E21" s="42" t="n">
        <x:f>IF(B21="Synthesized",1,0)</x:f>
        <x:v>1</x:v>
      </x:c>
      <x:c r="F21" s="43" t="str">
        <x:f>'Sessions'!H12</x:f>
        <x:v>Closed</x:v>
      </x:c>
    </x:row>
    <x:row r="22">
      <x:c r="A22" s="41" t="str">
        <x:f>'Sessions'!A13</x:f>
        <x:v>S09</x:v>
      </x:c>
      <x:c r="B22" s="42" t="str">
        <x:f>'Sessions'!G13</x:f>
        <x:v>Synthesized</x:v>
      </x:c>
      <x:c r="C22" s="42" t="n">
        <x:f>'Sessions'!I13</x:f>
        <x:v>2</x:v>
      </x:c>
      <x:c r="D22" s="42" t="n">
        <x:f>IF('Sessions'!F13="Complete",1,0)</x:f>
        <x:v>1</x:v>
      </x:c>
      <x:c r="E22" s="42" t="n">
        <x:f>IF(B22="Synthesized",1,0)</x:f>
        <x:v>1</x:v>
      </x:c>
      <x:c r="F22" s="43" t="str">
        <x:f>'Sessions'!H13</x:f>
        <x:v>Closed</x:v>
      </x:c>
    </x:row>
    <x:row r="23">
      <x:c r="A23" s="41" t="str">
        <x:f>'Sessions'!A14</x:f>
        <x:v>S10</x:v>
      </x:c>
      <x:c r="B23" s="42" t="str">
        <x:f>'Sessions'!G14</x:f>
        <x:v>Synthesized</x:v>
      </x:c>
      <x:c r="C23" s="42" t="n">
        <x:f>'Sessions'!I14</x:f>
        <x:v>3</x:v>
      </x:c>
      <x:c r="D23" s="42" t="n">
        <x:f>IF('Sessions'!F14="Complete",1,0)</x:f>
        <x:v>1</x:v>
      </x:c>
      <x:c r="E23" s="42" t="n">
        <x:f>IF(B23="Synthesized",1,0)</x:f>
        <x:v>1</x:v>
      </x:c>
      <x:c r="F23" s="43" t="str">
        <x:f>'Sessions'!H14</x:f>
        <x:v>Closed</x:v>
      </x:c>
    </x:row>
    <x:row r="24">
      <x:c r="A24" s="41" t="str">
        <x:f>'Sessions'!A15</x:f>
        <x:v>S11</x:v>
      </x:c>
      <x:c r="B24" s="42" t="str">
        <x:f>'Sessions'!G15</x:f>
        <x:v>Synthesized</x:v>
      </x:c>
      <x:c r="C24" s="42" t="n">
        <x:f>'Sessions'!I15</x:f>
        <x:v>4</x:v>
      </x:c>
      <x:c r="D24" s="42" t="n">
        <x:f>IF('Sessions'!F15="Complete",1,0)</x:f>
        <x:v>1</x:v>
      </x:c>
      <x:c r="E24" s="42" t="n">
        <x:f>IF(B24="Synthesized",1,0)</x:f>
        <x:v>1</x:v>
      </x:c>
      <x:c r="F24" s="43" t="str">
        <x:f>'Sessions'!H15</x:f>
        <x:v>Closed</x:v>
      </x:c>
    </x:row>
    <x:row r="25">
      <x:c r="A25" s="41" t="str">
        <x:f>'Sessions'!A16</x:f>
        <x:v>S12</x:v>
      </x:c>
      <x:c r="B25" s="42" t="str">
        <x:f>'Sessions'!G16</x:f>
        <x:v>Synthesized</x:v>
      </x:c>
      <x:c r="C25" s="42" t="n">
        <x:f>'Sessions'!I16</x:f>
        <x:v>5</x:v>
      </x:c>
      <x:c r="D25" s="42" t="n">
        <x:f>IF('Sessions'!F16="Complete",1,0)</x:f>
        <x:v>1</x:v>
      </x:c>
      <x:c r="E25" s="42" t="n">
        <x:f>IF(B25="Synthesized",1,0)</x:f>
        <x:v>1</x:v>
      </x:c>
      <x:c r="F25" s="43" t="str">
        <x:f>'Sessions'!H16</x:f>
        <x:v>Closed</x:v>
      </x:c>
    </x:row>
    <x:row r="26">
      <x:c r="A26" s="41" t="str">
        <x:f>'Sessions'!A17</x:f>
        <x:v>S13</x:v>
      </x:c>
      <x:c r="B26" s="42" t="str">
        <x:f>'Sessions'!G17</x:f>
        <x:v>Synthesized</x:v>
      </x:c>
      <x:c r="C26" s="42" t="n">
        <x:f>'Sessions'!I17</x:f>
        <x:v>2</x:v>
      </x:c>
      <x:c r="D26" s="42" t="n">
        <x:f>IF('Sessions'!F17="Complete",1,0)</x:f>
        <x:v>1</x:v>
      </x:c>
      <x:c r="E26" s="42" t="n">
        <x:f>IF(B26="Synthesized",1,0)</x:f>
        <x:v>1</x:v>
      </x:c>
      <x:c r="F26" s="43" t="str">
        <x:f>'Sessions'!H17</x:f>
        <x:v>Closed</x:v>
      </x:c>
    </x:row>
    <x:row r="27">
      <x:c r="A27" s="41" t="str">
        <x:f>'Sessions'!A18</x:f>
        <x:v>S14</x:v>
      </x:c>
      <x:c r="B27" s="42" t="str">
        <x:f>'Sessions'!G18</x:f>
        <x:v>Synthesized</x:v>
      </x:c>
      <x:c r="C27" s="42" t="n">
        <x:f>'Sessions'!I18</x:f>
        <x:v>3</x:v>
      </x:c>
      <x:c r="D27" s="42" t="n">
        <x:f>IF('Sessions'!F18="Complete",1,0)</x:f>
        <x:v>1</x:v>
      </x:c>
      <x:c r="E27" s="42" t="n">
        <x:f>IF(B27="Synthesized",1,0)</x:f>
        <x:v>1</x:v>
      </x:c>
      <x:c r="F27" s="43" t="str">
        <x:f>'Sessions'!H18</x:f>
        <x:v>Closed</x:v>
      </x:c>
    </x:row>
    <x:row r="28">
      <x:c r="A28" s="41" t="str">
        <x:f>'Sessions'!A19</x:f>
        <x:v>S15</x:v>
      </x:c>
      <x:c r="B28" s="42" t="str">
        <x:f>'Sessions'!G19</x:f>
        <x:v>Synthesized</x:v>
      </x:c>
      <x:c r="C28" s="42" t="n">
        <x:f>'Sessions'!I19</x:f>
        <x:v>4</x:v>
      </x:c>
      <x:c r="D28" s="42" t="n">
        <x:f>IF('Sessions'!F19="Complete",1,0)</x:f>
        <x:v>1</x:v>
      </x:c>
      <x:c r="E28" s="42" t="n">
        <x:f>IF(B28="Synthesized",1,0)</x:f>
        <x:v>1</x:v>
      </x:c>
      <x:c r="F28" s="43" t="str">
        <x:f>'Sessions'!H19</x:f>
        <x:v>Closed</x:v>
      </x:c>
    </x:row>
    <x:row r="29">
      <x:c r="A29" s="41" t="str">
        <x:f>'Sessions'!A20</x:f>
        <x:v>S16</x:v>
      </x:c>
      <x:c r="B29" s="42" t="str">
        <x:f>'Sessions'!G20</x:f>
        <x:v>Synthesized</x:v>
      </x:c>
      <x:c r="C29" s="42" t="n">
        <x:f>'Sessions'!I20</x:f>
        <x:v>5</x:v>
      </x:c>
      <x:c r="D29" s="42" t="n">
        <x:f>IF('Sessions'!F20="Complete",1,0)</x:f>
        <x:v>1</x:v>
      </x:c>
      <x:c r="E29" s="42" t="n">
        <x:f>IF(B29="Synthesized",1,0)</x:f>
        <x:v>1</x:v>
      </x:c>
      <x:c r="F29" s="43" t="str">
        <x:f>'Sessions'!H20</x:f>
        <x:v>Closed</x:v>
      </x:c>
    </x:row>
    <x:row r="30">
      <x:c r="A30" s="41" t="str">
        <x:f>'Sessions'!A21</x:f>
        <x:v>S17</x:v>
      </x:c>
      <x:c r="B30" s="42" t="str">
        <x:f>'Sessions'!G21</x:f>
        <x:v>Synthesized</x:v>
      </x:c>
      <x:c r="C30" s="42" t="n">
        <x:f>'Sessions'!I21</x:f>
        <x:v>2</x:v>
      </x:c>
      <x:c r="D30" s="42" t="n">
        <x:f>IF('Sessions'!F21="Complete",1,0)</x:f>
        <x:v>1</x:v>
      </x:c>
      <x:c r="E30" s="42" t="n">
        <x:f>IF(B30="Synthesized",1,0)</x:f>
        <x:v>1</x:v>
      </x:c>
      <x:c r="F30" s="43" t="str">
        <x:f>'Sessions'!H21</x:f>
        <x:v>Closed</x:v>
      </x:c>
    </x:row>
    <x:row r="31">
      <x:c r="A31" s="41" t="str">
        <x:f>'Sessions'!A22</x:f>
        <x:v>S18</x:v>
      </x:c>
      <x:c r="B31" s="42" t="str">
        <x:f>'Sessions'!G22</x:f>
        <x:v>Synthesized</x:v>
      </x:c>
      <x:c r="C31" s="42" t="n">
        <x:f>'Sessions'!I22</x:f>
        <x:v>3</x:v>
      </x:c>
      <x:c r="D31" s="42" t="n">
        <x:f>IF('Sessions'!F22="Complete",1,0)</x:f>
        <x:v>1</x:v>
      </x:c>
      <x:c r="E31" s="42" t="n">
        <x:f>IF(B31="Synthesized",1,0)</x:f>
        <x:v>1</x:v>
      </x:c>
      <x:c r="F31" s="43" t="str">
        <x:f>'Sessions'!H22</x:f>
        <x:v>Closed</x:v>
      </x:c>
    </x:row>
    <x:row r="32">
      <x:c r="A32" s="41" t="str">
        <x:f>'Sessions'!A23</x:f>
        <x:v>S19</x:v>
      </x:c>
      <x:c r="B32" s="42" t="str">
        <x:f>'Sessions'!G23</x:f>
        <x:v>Queued</x:v>
      </x:c>
      <x:c r="C32" s="42" t="n">
        <x:f>'Sessions'!I23</x:f>
        <x:v>4</x:v>
      </x:c>
      <x:c r="D32" s="42" t="n">
        <x:f>IF('Sessions'!F23="Complete",1,0)</x:f>
        <x:v>1</x:v>
      </x:c>
      <x:c r="E32" s="42" t="n">
        <x:f>IF(B32="Synthesized",1,0)</x:f>
        <x:v>0</x:v>
      </x:c>
      <x:c r="F32" s="43" t="str">
        <x:f>'Sessions'!H23</x:f>
        <x:v>Open</x:v>
      </x:c>
    </x:row>
    <x:row r="33">
      <x:c r="A33" s="41" t="str">
        <x:f>'Sessions'!A24</x:f>
        <x:v>S20</x:v>
      </x:c>
      <x:c r="B33" s="42" t="str">
        <x:f>'Sessions'!G24</x:f>
        <x:v>Queued</x:v>
      </x:c>
      <x:c r="C33" s="42" t="n">
        <x:f>'Sessions'!I24</x:f>
        <x:v>5</x:v>
      </x:c>
      <x:c r="D33" s="42" t="n">
        <x:f>IF('Sessions'!F24="Complete",1,0)</x:f>
        <x:v>1</x:v>
      </x:c>
      <x:c r="E33" s="42" t="n">
        <x:f>IF(B33="Synthesized",1,0)</x:f>
        <x:v>0</x:v>
      </x:c>
      <x:c r="F33" s="43" t="str">
        <x:f>'Sessions'!H24</x:f>
        <x:v>Open</x:v>
      </x:c>
    </x:row>
    <x:row r="34">
      <x:c r="A34" s="41" t="str">
        <x:f>'Sessions'!A25</x:f>
        <x:v>S21</x:v>
      </x:c>
      <x:c r="B34" s="42" t="str">
        <x:f>'Sessions'!G25</x:f>
        <x:v>Queued</x:v>
      </x:c>
      <x:c r="C34" s="42" t="n">
        <x:f>'Sessions'!I25</x:f>
        <x:v>2</x:v>
      </x:c>
      <x:c r="D34" s="42" t="n">
        <x:f>IF('Sessions'!F25="Complete",1,0)</x:f>
        <x:v>1</x:v>
      </x:c>
      <x:c r="E34" s="42" t="n">
        <x:f>IF(B34="Synthesized",1,0)</x:f>
        <x:v>0</x:v>
      </x:c>
      <x:c r="F34" s="43" t="str">
        <x:f>'Sessions'!H25</x:f>
        <x:v>Open</x:v>
      </x:c>
    </x:row>
    <x:row r="35">
      <x:c r="A35" s="41" t="str">
        <x:f>'Sessions'!A26</x:f>
        <x:v>S22</x:v>
      </x:c>
      <x:c r="B35" s="42" t="str">
        <x:f>'Sessions'!G26</x:f>
        <x:v>Queued</x:v>
      </x:c>
      <x:c r="C35" s="42" t="n">
        <x:f>'Sessions'!I26</x:f>
        <x:v>3</x:v>
      </x:c>
      <x:c r="D35" s="42" t="n">
        <x:f>IF('Sessions'!F26="Complete",1,0)</x:f>
        <x:v>1</x:v>
      </x:c>
      <x:c r="E35" s="42" t="n">
        <x:f>IF(B35="Synthesized",1,0)</x:f>
        <x:v>0</x:v>
      </x:c>
      <x:c r="F35" s="43" t="str">
        <x:f>'Sessions'!H26</x:f>
        <x:v>Open</x:v>
      </x:c>
    </x:row>
    <x:row r="36">
      <x:c r="A36" s="41" t="str">
        <x:f>'Sessions'!A27</x:f>
        <x:v>S23</x:v>
      </x:c>
      <x:c r="B36" s="42" t="str">
        <x:f>'Sessions'!G27</x:f>
        <x:v>Queued</x:v>
      </x:c>
      <x:c r="C36" s="42" t="n">
        <x:f>'Sessions'!I27</x:f>
        <x:v>4</x:v>
      </x:c>
      <x:c r="D36" s="42" t="n">
        <x:f>IF('Sessions'!F27="Complete",1,0)</x:f>
        <x:v>1</x:v>
      </x:c>
      <x:c r="E36" s="42" t="n">
        <x:f>IF(B36="Synthesized",1,0)</x:f>
        <x:v>0</x:v>
      </x:c>
      <x:c r="F36" s="43" t="str">
        <x:f>'Sessions'!H27</x:f>
        <x:v>Open</x:v>
      </x:c>
    </x:row>
    <x:row r="37">
      <x:c r="A37" s="44" t="str">
        <x:f>'Sessions'!A28</x:f>
        <x:v>S24</x:v>
      </x:c>
      <x:c r="B37" s="45" t="str">
        <x:f>'Sessions'!G28</x:f>
        <x:v>Queued</x:v>
      </x:c>
      <x:c r="C37" s="45" t="n">
        <x:f>'Sessions'!I28</x:f>
        <x:v>5</x:v>
      </x:c>
      <x:c r="D37" s="45" t="n">
        <x:f>IF('Sessions'!F28="Complete",1,0)</x:f>
        <x:v>1</x:v>
      </x:c>
      <x:c r="E37" s="45" t="n">
        <x:f>IF(B37="Synthesized",1,0)</x:f>
        <x:v>0</x:v>
      </x:c>
      <x:c r="F37" s="46" t="str">
        <x:f>'Sessions'!H28</x:f>
        <x:v>Open</x:v>
      </x:c>
    </x:row>
  </x:sheetData>
  <x:mergeCells>
    <x:mergeCell ref="A1:F1"/>
    <x:mergeCell ref="A2:F2"/>
  </x:mergeCells>
  <x:conditionalFormatting sqref="E14:E37">
    <x:cfRule type="cellIs" dxfId="4" priority="1" operator="equal">
      <x:formula>1</x:formula>
    </x:cfRule>
  </x:conditionalFormatting>
  <x:pageMargins left="0.7" right="0.7" top="0.75" bottom="0.75" header="0.3" footer="0.3"/>
</x:worksheet>
</file>