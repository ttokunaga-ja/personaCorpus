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d95b8616d40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ruitment Tracker" sheetId="1" r:id="Rbbde127656d542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616B"/>
      <x:name val="Carlito"/>
    </x:font>
    <x:font>
      <x:b/>
      <x:sz val="11"/>
      <x:color rgb="FF1F4D78"/>
      <x:name val="Carlito"/>
    </x:font>
    <x:font>
      <x:b/>
      <x:sz val="10"/>
      <x:color rgb="FFFFFFFF"/>
      <x:name val="Arial"/>
    </x:font>
    <x:font>
      <x:i/>
      <x:sz val="10"/>
      <x:color rgb="FF52616B"/>
      <x:name val="Arial"/>
    </x:font>
    <x:font>
      <x:sz val="10"/>
      <x:name val="Arial"/>
    </x:font>
    <x:font>
      <x:b/>
      <x:sz val="10"/>
      <x:color rgb="FF1F4D78"/>
      <x:name val="Arial"/>
    </x:font>
    <x:font>
      <x:b/>
      <x:sz val="16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8D4DF"/>
      </x:left>
      <x:right style="thin">
        <x:color rgb="FFC8D4DF"/>
      </x:right>
      <x:top style="thin">
        <x:color rgb="FFC8D4DF"/>
      </x:top>
      <x:bottom style="thin">
        <x:color rgb="FFC8D4DF"/>
      </x:bottom>
    </x:border>
  </x:borders>
  <x:cellStyleXfs count="1">
    <x:xf numFmtId="0" fontId="0" fillId="0" borderId="0"/>
  </x:cellStyleXfs>
  <x:cellXfs count="30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wrapText="1"/>
    </x:xf>
    <x:xf numFmtId="0" fontId="6" fillId="0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left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"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1fb3b1d6a4386" /><Relationship Type="http://schemas.openxmlformats.org/officeDocument/2006/relationships/theme" Target="/xl/theme/theme1.xml" Id="R19c0c94378a345a4" /><Relationship Type="http://schemas.openxmlformats.org/officeDocument/2006/relationships/sharedStrings" Target="/xl/sharedStrings.xml" Id="R65b913e1c43043fc" /><Relationship Type="http://schemas.openxmlformats.org/officeDocument/2006/relationships/worksheet" Target="/xl/worksheets/sheet1.xml" Id="Rbbde127656d542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3" hidden="0" customWidth="1"/>
    <x:col min="4" max="4" width="16" hidden="0" customWidth="1"/>
    <x:col min="5" max="5" width="22" hidden="0" customWidth="1"/>
    <x:col min="6" max="6" width="14" hidden="0" customWidth="1"/>
    <x:col min="7" max="7" width="22" hidden="0" customWidth="1"/>
    <x:col min="8" max="8" width="22" hidden="0" customWidth="1"/>
  </x:cols>
  <x:sheetData>
    <x:row r="1" ht="26" customHeight="1">
      <x:c r="A1" s="29" t="str">
        <x:v>Beacon Field Research - Study Beta Recruitment Tracker</x:v>
      </x:c>
      <x:c r="B1" s="23"/>
      <x:c r="C1" s="23"/>
      <x:c r="D1" s="23"/>
      <x:c r="E1" s="23"/>
      <x:c r="F1" s="23"/>
      <x:c r="G1" s="23"/>
      <x:c r="H1" s="23"/>
    </x:row>
    <x:row r="2" ht="20" customHeight="1">
      <x:c r="A2" s="24" t="str">
        <x:v>Synthetic planning only | Study Alpha: 2026-07-13 / UX-184 / n=24 | Study Beta n=8</x:v>
      </x:c>
      <x:c r="B2" s="24"/>
      <x:c r="C2" s="24"/>
      <x:c r="D2" s="24"/>
      <x:c r="E2" s="24"/>
      <x:c r="F2" s="24"/>
      <x:c r="G2" s="24"/>
      <x:c r="H2" s="24"/>
    </x:row>
    <x:row r="3">
      <x:c r="A3" s="25"/>
      <x:c r="B3" s="25"/>
      <x:c r="C3" s="25"/>
      <x:c r="D3" s="25"/>
      <x:c r="E3" s="25"/>
      <x:c r="F3" s="25"/>
      <x:c r="G3" s="25"/>
      <x:c r="H3" s="25"/>
    </x:row>
    <x:row r="4" ht="20" customHeight="1">
      <x:c r="A4" s="26" t="str">
        <x:v>Metric</x:v>
      </x:c>
      <x:c r="B4" s="26" t="str">
        <x:v>Value</x:v>
      </x:c>
      <x:c r="C4" s="26" t="str">
        <x:v>Decision use</x:v>
      </x:c>
      <x:c r="D4" s="26" t="str">
        <x:v>Formula note</x:v>
      </x:c>
      <x:c r="E4" s="25"/>
      <x:c r="F4" s="25"/>
      <x:c r="G4" s="25"/>
      <x:c r="H4" s="25"/>
    </x:row>
    <x:row r="5">
      <x:c r="A5" s="27" t="str">
        <x:v>Planned sessions</x:v>
      </x:c>
      <x:c r="B5" s="27" t="n">
        <x:f>COUNTA(A11:A18)</x:f>
        <x:v>8</x:v>
      </x:c>
      <x:c r="C5" s="27" t="str">
        <x:v>Confirm n=8 coverage</x:v>
      </x:c>
      <x:c r="D5" s="27" t="str">
        <x:v>COUNTA session IDs</x:v>
      </x:c>
      <x:c r="E5" s="25"/>
      <x:c r="F5" s="25"/>
      <x:c r="G5" s="25"/>
      <x:c r="H5" s="25"/>
    </x:row>
    <x:row r="6">
      <x:c r="A6" s="27" t="str">
        <x:v>Scheduled</x:v>
      </x:c>
      <x:c r="B6" s="27" t="n">
        <x:f>COUNTIF(F11:F18,"Scheduled")</x:f>
        <x:v>8</x:v>
      </x:c>
      <x:c r="C6" s="27" t="str">
        <x:v>Daily staffing</x:v>
      </x:c>
      <x:c r="D6" s="27" t="str">
        <x:v>COUNTIF status</x:v>
      </x:c>
      <x:c r="E6" s="25"/>
      <x:c r="F6" s="25"/>
      <x:c r="G6" s="25"/>
      <x:c r="H6" s="25"/>
    </x:row>
    <x:row r="7">
      <x:c r="A7" s="27" t="str">
        <x:v>Confirmed</x:v>
      </x:c>
      <x:c r="B7" s="27" t="n">
        <x:f>COUNTIF(F11:F18,"Confirmed")</x:f>
        <x:v>0</x:v>
      </x:c>
      <x:c r="C7" s="27" t="str">
        <x:v>Go/no-go check</x:v>
      </x:c>
      <x:c r="D7" s="27" t="str">
        <x:v>COUNTIF status</x:v>
      </x:c>
      <x:c r="E7" s="25"/>
      <x:c r="F7" s="25"/>
      <x:c r="G7" s="25"/>
      <x:c r="H7" s="25"/>
    </x:row>
    <x:row r="8">
      <x:c r="A8" s="27" t="str">
        <x:v>Access supports noted</x:v>
      </x:c>
      <x:c r="B8" s="27" t="n">
        <x:f>COUNTIF(G11:G18,"&lt;&gt;None reported")</x:f>
        <x:v>7</x:v>
      </x:c>
      <x:c r="C8" s="27" t="str">
        <x:v>Facilitation setup</x:v>
      </x:c>
      <x:c r="D8" s="27" t="str">
        <x:v>COUNTIF non-default support</x:v>
      </x:c>
      <x:c r="E8" s="25"/>
      <x:c r="F8" s="25"/>
      <x:c r="G8" s="25"/>
      <x:c r="H8" s="25"/>
    </x:row>
    <x:row r="9">
      <x:c r="A9" s="25"/>
      <x:c r="B9" s="25"/>
      <x:c r="C9" s="25"/>
      <x:c r="D9" s="25"/>
      <x:c r="E9" s="25"/>
      <x:c r="F9" s="25"/>
      <x:c r="G9" s="25"/>
      <x:c r="H9" s="25"/>
    </x:row>
    <x:row r="10" ht="28" customHeight="1">
      <x:c r="A10" s="26" t="str">
        <x:v>Session ID</x:v>
      </x:c>
      <x:c r="B10" s="26" t="str">
        <x:v>Participant code</x:v>
      </x:c>
      <x:c r="C10" s="26" t="str">
        <x:v>Session date</x:v>
      </x:c>
      <x:c r="D10" s="26" t="str">
        <x:v>Experience band</x:v>
      </x:c>
      <x:c r="E10" s="26" t="str">
        <x:v>Focus</x:v>
      </x:c>
      <x:c r="F10" s="26" t="str">
        <x:v>Status</x:v>
      </x:c>
      <x:c r="G10" s="26" t="str">
        <x:v>Requested support</x:v>
      </x:c>
      <x:c r="H10" s="26" t="str">
        <x:v>Facilitator note</x:v>
      </x:c>
    </x:row>
    <x:row r="11">
      <x:c r="A11" s="27" t="str">
        <x:v>UX-201</x:v>
      </x:c>
      <x:c r="B11" s="27" t="str">
        <x:v>P-B201</x:v>
      </x:c>
      <x:c r="C11" s="28" t="n">
        <x:v>46223</x:v>
      </x:c>
      <x:c r="D11" s="27" t="str">
        <x:v>Newer</x:v>
      </x:c>
      <x:c r="E11" s="27" t="str">
        <x:v>Baseline capture</x:v>
      </x:c>
      <x:c r="F11" s="27" t="str">
        <x:v>Scheduled</x:v>
      </x:c>
      <x:c r="G11" s="27" t="str">
        <x:v>Captions</x:v>
      </x:c>
      <x:c r="H11" s="27" t="str"/>
    </x:row>
    <x:row r="12">
      <x:c r="A12" s="27" t="str">
        <x:v>UX-202</x:v>
      </x:c>
      <x:c r="B12" s="27" t="str">
        <x:v>P-B202</x:v>
      </x:c>
      <x:c r="C12" s="28" t="n">
        <x:v>46223</x:v>
      </x:c>
      <x:c r="D12" s="27" t="str">
        <x:v>Experienced</x:v>
      </x:c>
      <x:c r="E12" s="27" t="str">
        <x:v>Keyboard pathway</x:v>
      </x:c>
      <x:c r="F12" s="27" t="str">
        <x:v>Scheduled</x:v>
      </x:c>
      <x:c r="G12" s="27" t="str">
        <x:v>Keyboard navigation</x:v>
      </x:c>
      <x:c r="H12" s="27" t="str"/>
    </x:row>
    <x:row r="13">
      <x:c r="A13" s="27" t="str">
        <x:v>UX-203</x:v>
      </x:c>
      <x:c r="B13" s="27" t="str">
        <x:v>P-B203</x:v>
      </x:c>
      <x:c r="C13" s="28" t="n">
        <x:v>46224</x:v>
      </x:c>
      <x:c r="D13" s="27" t="str">
        <x:v>Newer</x:v>
      </x:c>
      <x:c r="E13" s="27" t="str">
        <x:v>Attachment review</x:v>
      </x:c>
      <x:c r="F13" s="27" t="str">
        <x:v>Scheduled</x:v>
      </x:c>
      <x:c r="G13" s="27" t="str">
        <x:v>None reported</x:v>
      </x:c>
      <x:c r="H13" s="27" t="str"/>
    </x:row>
    <x:row r="14">
      <x:c r="A14" s="27" t="str">
        <x:v>UX-204</x:v>
      </x:c>
      <x:c r="B14" s="27" t="str">
        <x:v>P-B204</x:v>
      </x:c>
      <x:c r="C14" s="28" t="n">
        <x:v>46224</x:v>
      </x:c>
      <x:c r="D14" s="27" t="str">
        <x:v>Experienced</x:v>
      </x:c>
      <x:c r="E14" s="27" t="str">
        <x:v>Magnification check</x:v>
      </x:c>
      <x:c r="F14" s="27" t="str">
        <x:v>Scheduled</x:v>
      </x:c>
      <x:c r="G14" s="27" t="str">
        <x:v>Screen magnification</x:v>
      </x:c>
      <x:c r="H14" s="27" t="str"/>
    </x:row>
    <x:row r="15">
      <x:c r="A15" s="27" t="str">
        <x:v>UX-205</x:v>
      </x:c>
      <x:c r="B15" s="27" t="str">
        <x:v>P-B205</x:v>
      </x:c>
      <x:c r="C15" s="28" t="n">
        <x:v>46225</x:v>
      </x:c>
      <x:c r="D15" s="27" t="str">
        <x:v>Newer</x:v>
      </x:c>
      <x:c r="E15" s="27" t="str">
        <x:v>Handoff language</x:v>
      </x:c>
      <x:c r="F15" s="27" t="str">
        <x:v>Scheduled</x:v>
      </x:c>
      <x:c r="G15" s="27" t="str">
        <x:v>No camera</x:v>
      </x:c>
      <x:c r="H15" s="27" t="str"/>
    </x:row>
    <x:row r="16">
      <x:c r="A16" s="27" t="str">
        <x:v>UX-206</x:v>
      </x:c>
      <x:c r="B16" s="27" t="str">
        <x:v>P-B206</x:v>
      </x:c>
      <x:c r="C16" s="28" t="n">
        <x:v>46225</x:v>
      </x:c>
      <x:c r="D16" s="27" t="str">
        <x:v>Experienced</x:v>
      </x:c>
      <x:c r="E16" s="27" t="str">
        <x:v>Captions/low bandwidth</x:v>
      </x:c>
      <x:c r="F16" s="27" t="str">
        <x:v>Scheduled</x:v>
      </x:c>
      <x:c r="G16" s="27" t="str">
        <x:v>Captions; audio fallback</x:v>
      </x:c>
      <x:c r="H16" s="27" t="str"/>
    </x:row>
    <x:row r="17">
      <x:c r="A17" s="27" t="str">
        <x:v>UX-207</x:v>
      </x:c>
      <x:c r="B17" s="27" t="str">
        <x:v>P-B207</x:v>
      </x:c>
      <x:c r="C17" s="28" t="n">
        <x:v>46226</x:v>
      </x:c>
      <x:c r="D17" s="27" t="str">
        <x:v>Newer</x:v>
      </x:c>
      <x:c r="E17" s="27" t="str">
        <x:v>Recovery pathway</x:v>
      </x:c>
      <x:c r="F17" s="27" t="str">
        <x:v>Scheduled</x:v>
      </x:c>
      <x:c r="G17" s="27" t="str">
        <x:v>Extra time</x:v>
      </x:c>
      <x:c r="H17" s="27" t="str"/>
    </x:row>
    <x:row r="18">
      <x:c r="A18" s="27" t="str">
        <x:v>UX-208</x:v>
      </x:c>
      <x:c r="B18" s="27" t="str">
        <x:v>P-B208</x:v>
      </x:c>
      <x:c r="C18" s="28" t="n">
        <x:v>46226</x:v>
      </x:c>
      <x:c r="D18" s="27" t="str">
        <x:v>Experienced</x:v>
      </x:c>
      <x:c r="E18" s="27" t="str">
        <x:v>Cross-case validation</x:v>
      </x:c>
      <x:c r="F18" s="27" t="str">
        <x:v>Scheduled</x:v>
      </x:c>
      <x:c r="G18" s="27" t="str">
        <x:v>Keyboard navigation</x:v>
      </x:c>
      <x:c r="H18" s="27" t="str"/>
    </x:row>
  </x:sheetData>
  <x:mergeCells>
    <x:mergeCell ref="A1:H1"/>
    <x:mergeCell ref="A2:H2"/>
  </x:mergeCells>
  <x:conditionalFormatting sqref="F11:F18">
    <x:cfRule type="containsText" dxfId="0" priority="1" operator="containsText" text="Confirmed"/>
  </x:conditionalFormatting>
  <x:dataValidations count="1">
    <x:dataValidation type="list" sqref="F11:F18">
      <x:formula1>"Scheduled,Confirmed,Completed,Canceled"</x:formula1>
    </x:dataValidation>
  </x:dataValidations>
  <x:pageMargins left="0.7" right="0.7" top="0.75" bottom="0.75" header="0.3" footer="0.3"/>
</x:worksheet>
</file>