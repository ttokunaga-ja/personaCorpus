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9b9ce2782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 inputs" sheetId="1" r:id="R08739faf1bda452a"/>
    <x:sheet xmlns:r="http://schemas.openxmlformats.org/officeDocument/2006/relationships" name="Prioritization" sheetId="2" r:id="Rca6ccfebcbbd4a16"/>
    <x:sheet xmlns:r="http://schemas.openxmlformats.org/officeDocument/2006/relationships" name="Scoring guide" sheetId="3" r:id="R205f2e12636c48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B2545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4F7F8"/>
      </x:patternFill>
    </x:fill>
    <x:fill>
      <x:patternFill patternType="solid">
        <x:fgColor rgb="FF008C95"/>
      </x:patternFill>
    </x:fill>
    <x:fill>
      <x:patternFill patternType="solid">
        <x:fgColor rgb="FFE7F2F2"/>
      </x:patternFill>
    </x:fill>
  </x:fills>
  <x:borders count="11">
    <x:border/>
    <x:border>
      <x:left style="thin">
        <x:color rgb="FFD4DEE5"/>
      </x:left>
      <x:top style="thin">
        <x:color rgb="FFD4DEE5"/>
      </x:top>
      <x:bottom style="thin">
        <x:color rgb="FFD4DEE5"/>
      </x:bottom>
    </x:border>
    <x:border>
      <x:top style="thin">
        <x:color rgb="FFD4DEE5"/>
      </x:top>
      <x:bottom style="thin">
        <x:color rgb="FFD4DEE5"/>
      </x:bottom>
    </x:border>
    <x:border>
      <x:right style="thin">
        <x:color rgb="FFD4DEE5"/>
      </x:right>
      <x:top style="thin">
        <x:color rgb="FFD4DEE5"/>
      </x:top>
      <x:bottom style="thin">
        <x:color rgb="FFD4DEE5"/>
      </x:bottom>
    </x:border>
    <x:border>
      <x:right style="thin">
        <x:color rgb="FFD4DEE5"/>
      </x:right>
      <x:bottom style="thin">
        <x:color rgb="FFD4DEE5"/>
      </x:bottom>
    </x:border>
    <x:border>
      <x:left style="thin">
        <x:color rgb="FFD4DEE5"/>
      </x:left>
      <x:right style="thin">
        <x:color rgb="FFD4DEE5"/>
      </x:right>
      <x:bottom style="thin">
        <x:color rgb="FFD4DEE5"/>
      </x:bottom>
    </x:border>
    <x:border>
      <x:left style="thin">
        <x:color rgb="FFD4DEE5"/>
      </x:left>
      <x:bottom style="thin">
        <x:color rgb="FFD4DEE5"/>
      </x:bottom>
    </x:border>
    <x:border>
      <x:left style="thin">
        <x:color rgb="FFD4DEE5"/>
      </x:left>
      <x:right style="thin">
        <x:color rgb="FFD4DEE5"/>
      </x:right>
      <x:top style="thin">
        <x:color rgb="FFD4DEE5"/>
      </x:top>
      <x:bottom style="thin">
        <x:color rgb="FFD4DEE5"/>
      </x:bottom>
    </x:border>
    <x:border>
      <x:right style="thin">
        <x:color rgb="FFD4DEE5"/>
      </x:right>
      <x:top style="thin">
        <x:color rgb="FFD4DEE5"/>
      </x:top>
    </x:border>
    <x:border>
      <x:left style="thin">
        <x:color rgb="FFD4DEE5"/>
      </x:left>
      <x:right style="thin">
        <x:color rgb="FFD4DEE5"/>
      </x:right>
      <x:top style="thin">
        <x:color rgb="FFD4DEE5"/>
      </x:top>
    </x:border>
    <x:border>
      <x:left style="thin">
        <x:color rgb="FFD4DEE5"/>
      </x:left>
      <x:top style="thin">
        <x:color rgb="FFD4DEE5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5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/>
    <x:xf numFmtId="200" fontId="4" fillId="5" borderId="0" xfId="0" applyNumberFormat="1" applyFont="1" applyFill="1" applyBorder="1"/>
    <x:xf numFmtId="202" fontId="0" fillId="0" borderId="5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B2C20"/>
      </x:font>
      <x:fill>
        <x:patternFill patternType="solid">
          <x:bgColor rgb="FFFDE8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c9560e3934b21" /><Relationship Type="http://schemas.openxmlformats.org/officeDocument/2006/relationships/theme" Target="/xl/theme/theme1.xml" Id="R70b6cb08acc94f98" /><Relationship Type="http://schemas.openxmlformats.org/officeDocument/2006/relationships/sharedStrings" Target="/xl/sharedStrings.xml" Id="R9a13fde5ca8942fe" /><Relationship Type="http://schemas.openxmlformats.org/officeDocument/2006/relationships/worksheet" Target="/xl/worksheets/sheet1.xml" Id="R08739faf1bda452a" /><Relationship Type="http://schemas.openxmlformats.org/officeDocument/2006/relationships/worksheet" Target="/xl/worksheets/sheet2.xml" Id="Rca6ccfebcbbd4a16" /><Relationship Type="http://schemas.openxmlformats.org/officeDocument/2006/relationships/worksheet" Target="/xl/worksheets/sheet3.xml" Id="R205f2e12636c48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6.33000183105469" hidden="0" customWidth="1"/>
    <x:col min="2" max="2" width="18" hidden="0" customWidth="1"/>
    <x:col min="3" max="3" width="27" hidden="0" customWidth="1"/>
    <x:col min="4" max="4" width="10.779999732971191" hidden="0" customWidth="1"/>
    <x:col min="5" max="5" width="10.5600004196167" hidden="0" customWidth="1"/>
    <x:col min="6" max="6" width="10" hidden="0" customWidth="1"/>
    <x:col min="7" max="7" width="6.78000020980835" hidden="0" customWidth="1"/>
    <x:col min="8" max="8" width="8.890000343322754" hidden="0" customWidth="1"/>
    <x:col min="9" max="9" width="15.109999656677246" hidden="0" customWidth="1"/>
  </x:cols>
  <x:sheetData>
    <x:row r="1" ht="30" customHeight="1">
      <x:c r="A1" s="4" t="str">
        <x:v>Study Beta issue inputs — source table</x:v>
      </x:c>
      <x:c r="B1" s="4"/>
      <x:c r="C1" s="4"/>
      <x:c r="D1" s="4"/>
      <x:c r="E1" s="4"/>
      <x:c r="F1" s="4"/>
      <x:c r="G1" s="4"/>
      <x:c r="H1" s="4"/>
      <x:c r="I1" s="4"/>
    </x:row>
    <x:row r="2" ht="26" customHeight="1">
      <x:c r="A2" s="7" t="str">
        <x:v>Synthetic Beacon Field Research. Inputs are editable; derived scores appear on Prioritization. Anchor: Study Alpha / 2026-07-13 / UX-184 / n=24.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6" t="str">
        <x:v>Issue ID</x:v>
      </x:c>
      <x:c r="B4" s="17" t="str">
        <x:v>Theme</x:v>
      </x:c>
      <x:c r="C4" s="17" t="str">
        <x:v>Issue</x:v>
      </x:c>
      <x:c r="D4" s="17" t="str">
        <x:v>Observations</x:v>
      </x:c>
      <x:c r="E4" s="17" t="str">
        <x:v>Affected rate</x:v>
      </x:c>
      <x:c r="F4" s="17" t="str">
        <x:v>Impact (1–5)</x:v>
      </x:c>
      <x:c r="G4" s="17" t="str">
        <x:v>Severity</x:v>
      </x:c>
      <x:c r="H4" s="17" t="str">
        <x:v>Effort (1–5)</x:v>
      </x:c>
      <x:c r="I4" s="18" t="str">
        <x:v>Evidence scope</x:v>
      </x:c>
    </x:row>
    <x:row r="5">
      <x:c r="A5" s="37" t="str">
        <x:v>B01</x:v>
      </x:c>
      <x:c r="B5" s="38" t="str">
        <x:v>Comprehension barriers</x:v>
      </x:c>
      <x:c r="C5" s="38" t="str">
        <x:v>Unfamiliar labels</x:v>
      </x:c>
      <x:c r="D5" s="51" t="n">
        <x:v>10</x:v>
      </x:c>
      <x:c r="E5" s="54" t="n">
        <x:f>D5/$I$14</x:f>
        <x:v>0.4166666666666667</x:v>
      </x:c>
      <x:c r="F5" s="38" t="n">
        <x:v>5</x:v>
      </x:c>
      <x:c r="G5" s="38" t="str">
        <x:v>High</x:v>
      </x:c>
      <x:c r="H5" s="38" t="n">
        <x:v>2</x:v>
      </x:c>
      <x:c r="I5" s="39" t="str">
        <x:v>Synthetic aggregate</x:v>
      </x:c>
    </x:row>
    <x:row r="6">
      <x:c r="A6" s="40" t="str">
        <x:v>B02</x:v>
      </x:c>
      <x:c r="B6" s="41" t="str">
        <x:v>Comprehension barriers</x:v>
      </x:c>
      <x:c r="C6" s="41" t="str">
        <x:v>Missing context</x:v>
      </x:c>
      <x:c r="D6" s="52" t="n">
        <x:v>8</x:v>
      </x:c>
      <x:c r="E6" s="55" t="n">
        <x:f>D6/$I$14</x:f>
        <x:v>0.3333333333333333</x:v>
      </x:c>
      <x:c r="F6" s="41" t="n">
        <x:v>4</x:v>
      </x:c>
      <x:c r="G6" s="41" t="str">
        <x:v>High</x:v>
      </x:c>
      <x:c r="H6" s="41" t="n">
        <x:v>2</x:v>
      </x:c>
      <x:c r="I6" s="42" t="str">
        <x:v>Synthetic aggregate</x:v>
      </x:c>
    </x:row>
    <x:row r="7">
      <x:c r="A7" s="40" t="str">
        <x:v>B03</x:v>
      </x:c>
      <x:c r="B7" s="41" t="str">
        <x:v>Comprehension barriers</x:v>
      </x:c>
      <x:c r="C7" s="41" t="str">
        <x:v>Dense instructions</x:v>
      </x:c>
      <x:c r="D7" s="52" t="n">
        <x:v>7</x:v>
      </x:c>
      <x:c r="E7" s="55" t="n">
        <x:f>D7/$I$14</x:f>
        <x:v>0.2916666666666667</x:v>
      </x:c>
      <x:c r="F7" s="41" t="n">
        <x:v>4</x:v>
      </x:c>
      <x:c r="G7" s="41" t="str">
        <x:v>Medium</x:v>
      </x:c>
      <x:c r="H7" s="41" t="n">
        <x:v>2</x:v>
      </x:c>
      <x:c r="I7" s="42" t="str">
        <x:v>Synthetic aggregate</x:v>
      </x:c>
    </x:row>
    <x:row r="8">
      <x:c r="A8" s="40" t="str">
        <x:v>B04</x:v>
      </x:c>
      <x:c r="B8" s="41" t="str">
        <x:v>Comprehension barriers</x:v>
      </x:c>
      <x:c r="C8" s="41" t="str">
        <x:v>Unclear next step</x:v>
      </x:c>
      <x:c r="D8" s="52" t="n">
        <x:v>6</x:v>
      </x:c>
      <x:c r="E8" s="55" t="n">
        <x:f>D8/$I$14</x:f>
        <x:v>0.25</x:v>
      </x:c>
      <x:c r="F8" s="41" t="n">
        <x:v>4</x:v>
      </x:c>
      <x:c r="G8" s="41" t="str">
        <x:v>Medium</x:v>
      </x:c>
      <x:c r="H8" s="41" t="n">
        <x:v>2</x:v>
      </x:c>
      <x:c r="I8" s="42" t="str">
        <x:v>Synthetic aggregate</x:v>
      </x:c>
    </x:row>
    <x:row r="9">
      <x:c r="A9" s="40" t="str">
        <x:v>B05</x:v>
      </x:c>
      <x:c r="B9" s="41" t="str">
        <x:v>Navigation ambiguity</x:v>
      </x:c>
      <x:c r="C9" s="41" t="str">
        <x:v>Backtrack pattern</x:v>
      </x:c>
      <x:c r="D9" s="52" t="n">
        <x:v>9</x:v>
      </x:c>
      <x:c r="E9" s="55" t="n">
        <x:f>D9/$I$14</x:f>
        <x:v>0.375</x:v>
      </x:c>
      <x:c r="F9" s="41" t="n">
        <x:v>5</x:v>
      </x:c>
      <x:c r="G9" s="41" t="str">
        <x:v>High</x:v>
      </x:c>
      <x:c r="H9" s="41" t="n">
        <x:v>3</x:v>
      </x:c>
      <x:c r="I9" s="42" t="str">
        <x:v>Synthetic aggregate</x:v>
      </x:c>
    </x:row>
    <x:row r="10">
      <x:c r="A10" s="40" t="str">
        <x:v>B06</x:v>
      </x:c>
      <x:c r="B10" s="41" t="str">
        <x:v>Confidence signals</x:v>
      </x:c>
      <x:c r="C10" s="41" t="str">
        <x:v>Confirmation gap</x:v>
      </x:c>
      <x:c r="D10" s="52" t="n">
        <x:v>8</x:v>
      </x:c>
      <x:c r="E10" s="55" t="n">
        <x:f>D10/$I$14</x:f>
        <x:v>0.3333333333333333</x:v>
      </x:c>
      <x:c r="F10" s="41" t="n">
        <x:v>4</x:v>
      </x:c>
      <x:c r="G10" s="41" t="str">
        <x:v>Medium</x:v>
      </x:c>
      <x:c r="H10" s="41" t="n">
        <x:v>2</x:v>
      </x:c>
      <x:c r="I10" s="42" t="str">
        <x:v>Synthetic aggregate</x:v>
      </x:c>
    </x:row>
    <x:row r="11">
      <x:c r="A11" s="43" t="str">
        <x:v>B07</x:v>
      </x:c>
      <x:c r="B11" s="44" t="str">
        <x:v>Recovery support</x:v>
      </x:c>
      <x:c r="C11" s="44" t="str">
        <x:v>Recovery path hard to find</x:v>
      </x:c>
      <x:c r="D11" s="53" t="n">
        <x:v>7</x:v>
      </x:c>
      <x:c r="E11" s="56" t="n">
        <x:f>D11/$I$14</x:f>
        <x:v>0.2916666666666667</x:v>
      </x:c>
      <x:c r="F11" s="44" t="n">
        <x:v>4</x:v>
      </x:c>
      <x:c r="G11" s="44" t="str">
        <x:v>Medium</x:v>
      </x:c>
      <x:c r="H11" s="44" t="n">
        <x:v>2</x:v>
      </x:c>
      <x:c r="I11" s="45" t="str">
        <x:v>Synthetic aggregate</x:v>
      </x:c>
    </x:row>
    <x:row r="13">
      <x:c r="I13" s="48" t="str">
        <x:v>Anchor n</x:v>
      </x:c>
    </x:row>
    <x:row r="14">
      <x:c r="I14" s="50" t="n">
        <x:v>24</x:v>
      </x:c>
    </x:row>
  </x:sheetData>
  <x:mergeCells>
    <x:mergeCell ref="A1:I1"/>
    <x:mergeCell ref="A2:I2"/>
  </x:mergeCells>
  <x:dataValidations count="1">
    <x:dataValidation type="whole" operator="between" sqref="H5:H11">
      <x:formula1>1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1.33000183105469" hidden="0" customWidth="1"/>
    <x:col min="2" max="2" width="18" hidden="0" customWidth="1"/>
    <x:col min="3" max="3" width="27" hidden="0" customWidth="1"/>
    <x:col min="4" max="4" width="10.779999732971191" hidden="0" customWidth="1"/>
    <x:col min="5" max="5" width="10.5600004196167" hidden="0" customWidth="1"/>
    <x:col min="6" max="6" width="13.890000343322754" hidden="0" customWidth="1"/>
    <x:col min="7" max="7" width="12.5600004196167" hidden="0" customWidth="1"/>
    <x:col min="8" max="8" width="11.4399995803833" hidden="0" customWidth="1"/>
    <x:col min="9" max="9" width="10.4399995803833" hidden="0" customWidth="1"/>
    <x:col min="10" max="10" width="27" hidden="0" customWidth="1"/>
  </x:cols>
  <x:sheetData>
    <x:row r="1" ht="30" customHeight="1">
      <x:c r="A1" s="4" t="str">
        <x:v>Study Beta prioritization model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7" t="str">
        <x:v>Score = affected rate × impact × 100 ÷ effort. Priority bands: Focus now ≥ 70; Plan next ≥ 45; Monitor &lt; 45.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6" t="str">
        <x:v>Issue ID</x:v>
      </x:c>
      <x:c r="B4" s="17" t="str">
        <x:v>Theme</x:v>
      </x:c>
      <x:c r="C4" s="17" t="str">
        <x:v>Issue</x:v>
      </x:c>
      <x:c r="D4" s="17" t="str">
        <x:v>Observations</x:v>
      </x:c>
      <x:c r="E4" s="17" t="str">
        <x:v>Affected rate</x:v>
      </x:c>
      <x:c r="F4" s="17" t="str">
        <x:v>Impact</x:v>
      </x:c>
      <x:c r="G4" s="17" t="str">
        <x:v>Effort</x:v>
      </x:c>
      <x:c r="H4" s="17" t="str">
        <x:v>Score</x:v>
      </x:c>
      <x:c r="I4" s="17" t="str">
        <x:v>Priority band</x:v>
      </x:c>
      <x:c r="J4" s="18" t="str">
        <x:v>Recommendation</x:v>
      </x:c>
    </x:row>
    <x:row r="5">
      <x:c r="A5" s="37" t="str">
        <x:f>'Issue inputs'!A5</x:f>
        <x:v>B01</x:v>
      </x:c>
      <x:c r="B5" s="38" t="str">
        <x:f>'Issue inputs'!B5</x:f>
        <x:v>Comprehension barriers</x:v>
      </x:c>
      <x:c r="C5" s="38" t="str">
        <x:f>'Issue inputs'!C5</x:f>
        <x:v>Unfamiliar labels</x:v>
      </x:c>
      <x:c r="D5" s="38" t="n">
        <x:f>'Issue inputs'!D5</x:f>
        <x:v>10</x:v>
      </x:c>
      <x:c r="E5" s="54" t="n">
        <x:f>'Issue inputs'!E5</x:f>
        <x:v>0.4166666666666667</x:v>
      </x:c>
      <x:c r="F5" s="38" t="n">
        <x:f>'Issue inputs'!F5</x:f>
        <x:v>5</x:v>
      </x:c>
      <x:c r="G5" s="38" t="n">
        <x:f>'Issue inputs'!H5</x:f>
        <x:v>2</x:v>
      </x:c>
      <x:c r="H5" s="59" t="n">
        <x:f>E5*F5*100/G5</x:f>
        <x:v>104.16666666666667</x:v>
      </x:c>
      <x:c r="I5" s="38" t="str">
        <x:f>IF(H5&gt;=70,"Focus now",IF(H5&gt;=45,"Plan next","Monitor"))</x:f>
        <x:v>Focus now</x:v>
      </x:c>
      <x:c r="J5" s="39" t="str">
        <x:f>IF(I5="Focus now","Prototype and test first",IF(I5="Plan next","Schedule design iteration","Track in next study"))</x:f>
        <x:v>Prototype and test first</x:v>
      </x:c>
    </x:row>
    <x:row r="6">
      <x:c r="A6" s="40" t="str">
        <x:f>'Issue inputs'!A6</x:f>
        <x:v>B02</x:v>
      </x:c>
      <x:c r="B6" s="41" t="str">
        <x:f>'Issue inputs'!B6</x:f>
        <x:v>Comprehension barriers</x:v>
      </x:c>
      <x:c r="C6" s="41" t="str">
        <x:f>'Issue inputs'!C6</x:f>
        <x:v>Missing context</x:v>
      </x:c>
      <x:c r="D6" s="41" t="n">
        <x:f>'Issue inputs'!D6</x:f>
        <x:v>8</x:v>
      </x:c>
      <x:c r="E6" s="55" t="n">
        <x:f>'Issue inputs'!E6</x:f>
        <x:v>0.3333333333333333</x:v>
      </x:c>
      <x:c r="F6" s="41" t="n">
        <x:f>'Issue inputs'!F6</x:f>
        <x:v>4</x:v>
      </x:c>
      <x:c r="G6" s="41" t="n">
        <x:f>'Issue inputs'!H6</x:f>
        <x:v>2</x:v>
      </x:c>
      <x:c r="H6" s="60" t="n">
        <x:f>E6*F6*100/G6</x:f>
        <x:v>66.66666666666666</x:v>
      </x:c>
      <x:c r="I6" s="41" t="str">
        <x:f>IF(H6&gt;=70,"Focus now",IF(H6&gt;=45,"Plan next","Monitor"))</x:f>
        <x:v>Plan next</x:v>
      </x:c>
      <x:c r="J6" s="42" t="str">
        <x:f>IF(I6="Focus now","Prototype and test first",IF(I6="Plan next","Schedule design iteration","Track in next study"))</x:f>
        <x:v>Schedule design iteration</x:v>
      </x:c>
    </x:row>
    <x:row r="7">
      <x:c r="A7" s="40" t="str">
        <x:f>'Issue inputs'!A7</x:f>
        <x:v>B03</x:v>
      </x:c>
      <x:c r="B7" s="41" t="str">
        <x:f>'Issue inputs'!B7</x:f>
        <x:v>Comprehension barriers</x:v>
      </x:c>
      <x:c r="C7" s="41" t="str">
        <x:f>'Issue inputs'!C7</x:f>
        <x:v>Dense instructions</x:v>
      </x:c>
      <x:c r="D7" s="41" t="n">
        <x:f>'Issue inputs'!D7</x:f>
        <x:v>7</x:v>
      </x:c>
      <x:c r="E7" s="55" t="n">
        <x:f>'Issue inputs'!E7</x:f>
        <x:v>0.2916666666666667</x:v>
      </x:c>
      <x:c r="F7" s="41" t="n">
        <x:f>'Issue inputs'!F7</x:f>
        <x:v>4</x:v>
      </x:c>
      <x:c r="G7" s="41" t="n">
        <x:f>'Issue inputs'!H7</x:f>
        <x:v>2</x:v>
      </x:c>
      <x:c r="H7" s="60" t="n">
        <x:f>E7*F7*100/G7</x:f>
        <x:v>58.333333333333336</x:v>
      </x:c>
      <x:c r="I7" s="41" t="str">
        <x:f>IF(H7&gt;=70,"Focus now",IF(H7&gt;=45,"Plan next","Monitor"))</x:f>
        <x:v>Plan next</x:v>
      </x:c>
      <x:c r="J7" s="42" t="str">
        <x:f>IF(I7="Focus now","Prototype and test first",IF(I7="Plan next","Schedule design iteration","Track in next study"))</x:f>
        <x:v>Schedule design iteration</x:v>
      </x:c>
    </x:row>
    <x:row r="8">
      <x:c r="A8" s="40" t="str">
        <x:f>'Issue inputs'!A8</x:f>
        <x:v>B04</x:v>
      </x:c>
      <x:c r="B8" s="41" t="str">
        <x:f>'Issue inputs'!B8</x:f>
        <x:v>Comprehension barriers</x:v>
      </x:c>
      <x:c r="C8" s="41" t="str">
        <x:f>'Issue inputs'!C8</x:f>
        <x:v>Unclear next step</x:v>
      </x:c>
      <x:c r="D8" s="41" t="n">
        <x:f>'Issue inputs'!D8</x:f>
        <x:v>6</x:v>
      </x:c>
      <x:c r="E8" s="55" t="n">
        <x:f>'Issue inputs'!E8</x:f>
        <x:v>0.25</x:v>
      </x:c>
      <x:c r="F8" s="41" t="n">
        <x:f>'Issue inputs'!F8</x:f>
        <x:v>4</x:v>
      </x:c>
      <x:c r="G8" s="41" t="n">
        <x:f>'Issue inputs'!H8</x:f>
        <x:v>2</x:v>
      </x:c>
      <x:c r="H8" s="60" t="n">
        <x:f>E8*F8*100/G8</x:f>
        <x:v>50</x:v>
      </x:c>
      <x:c r="I8" s="41" t="str">
        <x:f>IF(H8&gt;=70,"Focus now",IF(H8&gt;=45,"Plan next","Monitor"))</x:f>
        <x:v>Plan next</x:v>
      </x:c>
      <x:c r="J8" s="42" t="str">
        <x:f>IF(I8="Focus now","Prototype and test first",IF(I8="Plan next","Schedule design iteration","Track in next study"))</x:f>
        <x:v>Schedule design iteration</x:v>
      </x:c>
    </x:row>
    <x:row r="9">
      <x:c r="A9" s="40" t="str">
        <x:f>'Issue inputs'!A9</x:f>
        <x:v>B05</x:v>
      </x:c>
      <x:c r="B9" s="41" t="str">
        <x:f>'Issue inputs'!B9</x:f>
        <x:v>Navigation ambiguity</x:v>
      </x:c>
      <x:c r="C9" s="41" t="str">
        <x:f>'Issue inputs'!C9</x:f>
        <x:v>Backtrack pattern</x:v>
      </x:c>
      <x:c r="D9" s="41" t="n">
        <x:f>'Issue inputs'!D9</x:f>
        <x:v>9</x:v>
      </x:c>
      <x:c r="E9" s="55" t="n">
        <x:f>'Issue inputs'!E9</x:f>
        <x:v>0.375</x:v>
      </x:c>
      <x:c r="F9" s="41" t="n">
        <x:f>'Issue inputs'!F9</x:f>
        <x:v>5</x:v>
      </x:c>
      <x:c r="G9" s="41" t="n">
        <x:f>'Issue inputs'!H9</x:f>
        <x:v>3</x:v>
      </x:c>
      <x:c r="H9" s="60" t="n">
        <x:f>E9*F9*100/G9</x:f>
        <x:v>62.5</x:v>
      </x:c>
      <x:c r="I9" s="41" t="str">
        <x:f>IF(H9&gt;=70,"Focus now",IF(H9&gt;=45,"Plan next","Monitor"))</x:f>
        <x:v>Plan next</x:v>
      </x:c>
      <x:c r="J9" s="42" t="str">
        <x:f>IF(I9="Focus now","Prototype and test first",IF(I9="Plan next","Schedule design iteration","Track in next study"))</x:f>
        <x:v>Schedule design iteration</x:v>
      </x:c>
    </x:row>
    <x:row r="10">
      <x:c r="A10" s="40" t="str">
        <x:f>'Issue inputs'!A10</x:f>
        <x:v>B06</x:v>
      </x:c>
      <x:c r="B10" s="41" t="str">
        <x:f>'Issue inputs'!B10</x:f>
        <x:v>Confidence signals</x:v>
      </x:c>
      <x:c r="C10" s="41" t="str">
        <x:f>'Issue inputs'!C10</x:f>
        <x:v>Confirmation gap</x:v>
      </x:c>
      <x:c r="D10" s="41" t="n">
        <x:f>'Issue inputs'!D10</x:f>
        <x:v>8</x:v>
      </x:c>
      <x:c r="E10" s="55" t="n">
        <x:f>'Issue inputs'!E10</x:f>
        <x:v>0.3333333333333333</x:v>
      </x:c>
      <x:c r="F10" s="41" t="n">
        <x:f>'Issue inputs'!F10</x:f>
        <x:v>4</x:v>
      </x:c>
      <x:c r="G10" s="41" t="n">
        <x:f>'Issue inputs'!H10</x:f>
        <x:v>2</x:v>
      </x:c>
      <x:c r="H10" s="60" t="n">
        <x:f>E10*F10*100/G10</x:f>
        <x:v>66.66666666666666</x:v>
      </x:c>
      <x:c r="I10" s="41" t="str">
        <x:f>IF(H10&gt;=70,"Focus now",IF(H10&gt;=45,"Plan next","Monitor"))</x:f>
        <x:v>Plan next</x:v>
      </x:c>
      <x:c r="J10" s="42" t="str">
        <x:f>IF(I10="Focus now","Prototype and test first",IF(I10="Plan next","Schedule design iteration","Track in next study"))</x:f>
        <x:v>Schedule design iteration</x:v>
      </x:c>
    </x:row>
    <x:row r="11">
      <x:c r="A11" s="43" t="str">
        <x:f>'Issue inputs'!A11</x:f>
        <x:v>B07</x:v>
      </x:c>
      <x:c r="B11" s="44" t="str">
        <x:f>'Issue inputs'!B11</x:f>
        <x:v>Recovery support</x:v>
      </x:c>
      <x:c r="C11" s="44" t="str">
        <x:f>'Issue inputs'!C11</x:f>
        <x:v>Recovery path hard to find</x:v>
      </x:c>
      <x:c r="D11" s="44" t="n">
        <x:f>'Issue inputs'!D11</x:f>
        <x:v>7</x:v>
      </x:c>
      <x:c r="E11" s="56" t="n">
        <x:f>'Issue inputs'!E11</x:f>
        <x:v>0.2916666666666667</x:v>
      </x:c>
      <x:c r="F11" s="44" t="n">
        <x:f>'Issue inputs'!F11</x:f>
        <x:v>4</x:v>
      </x:c>
      <x:c r="G11" s="44" t="n">
        <x:f>'Issue inputs'!H11</x:f>
        <x:v>2</x:v>
      </x:c>
      <x:c r="H11" s="61" t="n">
        <x:f>E11*F11*100/G11</x:f>
        <x:v>58.333333333333336</x:v>
      </x:c>
      <x:c r="I11" s="44" t="str">
        <x:f>IF(H11&gt;=70,"Focus now",IF(H11&gt;=45,"Plan next","Monitor"))</x:f>
        <x:v>Plan next</x:v>
      </x:c>
      <x:c r="J11" s="45" t="str">
        <x:f>IF(I11="Focus now","Prototype and test first",IF(I11="Plan next","Schedule design iteration","Track in next study"))</x:f>
        <x:v>Schedule design iteration</x:v>
      </x:c>
    </x:row>
    <x:row r="13">
      <x:c r="D13" s="16" t="str">
        <x:v>Top score</x:v>
      </x:c>
      <x:c r="E13" s="17" t="str">
        <x:v>Mean score</x:v>
      </x:c>
      <x:c r="F13" s="17" t="str">
        <x:v>Focus now count</x:v>
      </x:c>
      <x:c r="G13" s="17" t="str">
        <x:v>Plan next count</x:v>
      </x:c>
      <x:c r="H13" s="18" t="str">
        <x:v>Monitor count</x:v>
      </x:c>
    </x:row>
    <x:row r="14">
      <x:c r="D14" s="57" t="n">
        <x:f>MAX(H5:H11)</x:f>
        <x:v>104.16666666666667</x:v>
      </x:c>
      <x:c r="E14" s="57" t="n">
        <x:f>AVERAGE(H5:H11)</x:f>
        <x:v>66.66666666666666</x:v>
      </x:c>
      <x:c r="F14" s="58" t="n">
        <x:f>COUNTIF(I5:I11,"Focus now")</x:f>
        <x:v>1</x:v>
      </x:c>
      <x:c r="G14" s="58" t="n">
        <x:f>COUNTIF(I5:I11,"Plan next")</x:f>
        <x:v>6</x:v>
      </x:c>
      <x:c r="H14" s="58" t="n">
        <x:f>COUNTIF(I5:I11,"Monitor")</x:f>
        <x:v>0</x:v>
      </x:c>
    </x:row>
  </x:sheetData>
  <x:mergeCells>
    <x:mergeCell ref="A1:J1"/>
    <x:mergeCell ref="A2:J2"/>
  </x:mergeCells>
  <x:conditionalFormatting sqref="H5:H11">
    <x:cfRule type="colorScale" priority="1">
      <x:colorScale>
        <x:cfvo type="min"/>
        <x:cfvo type="percentile" val="50"/>
        <x:cfvo type="max"/>
        <x:color rgb="FFE7F2F2"/>
        <x:color rgb="FFF6D78B"/>
        <x:color rgb="FFE8654F"/>
      </x:colorScale>
    </x:cfRule>
  </x:conditionalFormatting>
  <x:conditionalFormatting sqref="I5:I11">
    <x:cfRule type="containsText" dxfId="0" priority="2" operator="containsText" text="Focus no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.55999755859375" hidden="0" customWidth="1"/>
    <x:col min="2" max="2" width="28" hidden="0" customWidth="1"/>
    <x:col min="3" max="3" width="28" hidden="0" customWidth="1"/>
    <x:col min="4" max="4" width="6.559999942779541" hidden="0" customWidth="1"/>
    <x:col min="5" max="5" width="18" hidden="0" customWidth="1"/>
  </x:cols>
  <x:sheetData>
    <x:row r="1" ht="30" customHeight="1">
      <x:c r="A1" s="4" t="str">
        <x:v>Scoring guide</x:v>
      </x:c>
      <x:c r="B1" s="4"/>
      <x:c r="C1" s="4"/>
      <x:c r="D1" s="4"/>
      <x:c r="E1" s="4"/>
    </x:row>
    <x:row r="2" ht="26" customHeight="1">
      <x:c r="A2" s="7" t="str">
        <x:v>All measures are synthetic, aggregate study evidence; no external claims or participant identifiers.</x:v>
      </x:c>
      <x:c r="B2" s="7"/>
      <x:c r="C2" s="7"/>
      <x:c r="D2" s="7"/>
      <x:c r="E2" s="7"/>
    </x:row>
    <x:row r="4">
      <x:c r="A4" s="16" t="str">
        <x:v>Measure</x:v>
      </x:c>
      <x:c r="B4" s="17" t="str">
        <x:v>Definition</x:v>
      </x:c>
      <x:c r="C4" s="17" t="str">
        <x:v>Formula / rule</x:v>
      </x:c>
      <x:c r="D4" s="17" t="str">
        <x:v>Scale</x:v>
      </x:c>
      <x:c r="E4" s="18" t="str">
        <x:v>Use</x:v>
      </x:c>
    </x:row>
    <x:row r="5">
      <x:c r="A5" s="37" t="str">
        <x:v>Affected rate</x:v>
      </x:c>
      <x:c r="B5" s="38" t="str">
        <x:v>Observed issue count divided by anchor n</x:v>
      </x:c>
      <x:c r="C5" s="38" t="str">
        <x:v>Observations ÷ 24</x:v>
      </x:c>
      <x:c r="D5" s="38" t="str">
        <x:v>0–100%</x:v>
      </x:c>
      <x:c r="E5" s="39" t="str">
        <x:v>Exposure</x:v>
      </x:c>
    </x:row>
    <x:row r="6">
      <x:c r="A6" s="40" t="str">
        <x:v>Impact</x:v>
      </x:c>
      <x:c r="B6" s="41" t="str">
        <x:v>Expected task disruption</x:v>
      </x:c>
      <x:c r="C6" s="41" t="str">
        <x:v>Input score</x:v>
      </x:c>
      <x:c r="D6" s="41" t="str">
        <x:v>1–5</x:v>
      </x:c>
      <x:c r="E6" s="42" t="str">
        <x:v>Consequence</x:v>
      </x:c>
    </x:row>
    <x:row r="7">
      <x:c r="A7" s="40" t="str">
        <x:v>Effort</x:v>
      </x:c>
      <x:c r="B7" s="41" t="str">
        <x:v>Estimated change complexity</x:v>
      </x:c>
      <x:c r="C7" s="41" t="str">
        <x:v>Input score</x:v>
      </x:c>
      <x:c r="D7" s="41" t="str">
        <x:v>1–5</x:v>
      </x:c>
      <x:c r="E7" s="42" t="str">
        <x:v>Feasibility</x:v>
      </x:c>
    </x:row>
    <x:row r="8">
      <x:c r="A8" s="43" t="str">
        <x:v>Priority score</x:v>
      </x:c>
      <x:c r="B8" s="44" t="str">
        <x:v>Balanced opportunity score</x:v>
      </x:c>
      <x:c r="C8" s="44" t="str">
        <x:v>Affected rate × impact × 100 ÷ effort</x:v>
      </x:c>
      <x:c r="D8" s="44" t="str">
        <x:v>0+</x:v>
      </x:c>
      <x:c r="E8" s="45" t="str">
        <x:v>Rank action</x:v>
      </x:c>
    </x:row>
  </x:sheetData>
  <x:mergeCells>
    <x:mergeCell ref="A1:E1"/>
    <x:mergeCell ref="A2:E2"/>
  </x:mergeCells>
  <x:pageMargins left="0.7" right="0.7" top="0.75" bottom="0.75" header="0.3" footer="0.3"/>
</x:worksheet>
</file>