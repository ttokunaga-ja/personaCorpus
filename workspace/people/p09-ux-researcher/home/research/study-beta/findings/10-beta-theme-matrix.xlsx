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39a73fa79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me data" sheetId="1" r:id="Rd8448826f8b449f9"/>
    <x:sheet xmlns:r="http://schemas.openxmlformats.org/officeDocument/2006/relationships" name="Theme matrix" sheetId="2" r:id="Rcd8132251561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B2545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4F7F8"/>
      </x:patternFill>
    </x:fill>
    <x:fill>
      <x:patternFill patternType="solid">
        <x:fgColor rgb="FF008C95"/>
      </x:patternFill>
    </x:fill>
    <x:fill>
      <x:patternFill patternType="solid">
        <x:fgColor rgb="FFE7F2F2"/>
      </x:patternFill>
    </x:fill>
  </x:fills>
  <x:borders count="11">
    <x:border/>
    <x:border>
      <x:left style="thin">
        <x:color rgb="FFD4DEE5"/>
      </x:left>
      <x:top style="thin">
        <x:color rgb="FFD4DEE5"/>
      </x:top>
      <x:bottom style="thin">
        <x:color rgb="FFD4DEE5"/>
      </x:bottom>
    </x:border>
    <x:border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bottom style="thin">
        <x:color rgb="FFD4DEE5"/>
      </x:bottom>
    </x:border>
    <x:border>
      <x:left style="thin">
        <x:color rgb="FFD4DEE5"/>
      </x:left>
      <x:right style="thin">
        <x:color rgb="FFD4DEE5"/>
      </x:right>
      <x:bottom style="thin">
        <x:color rgb="FFD4DEE5"/>
      </x:bottom>
    </x:border>
    <x:border>
      <x:left style="thin">
        <x:color rgb="FFD4DEE5"/>
      </x:left>
      <x:bottom style="thin">
        <x:color rgb="FFD4DEE5"/>
      </x:bottom>
    </x:border>
    <x:border>
      <x:left style="thin">
        <x:color rgb="FFD4DEE5"/>
      </x:left>
      <x:right style="thin">
        <x:color rgb="FFD4DEE5"/>
      </x:right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top style="thin">
        <x:color rgb="FFD4DEE5"/>
      </x:top>
    </x:border>
    <x:border>
      <x:left style="thin">
        <x:color rgb="FFD4DEE5"/>
      </x:left>
      <x:right style="thin">
        <x:color rgb="FFD4DEE5"/>
      </x:right>
      <x:top style="thin">
        <x:color rgb="FFD4DEE5"/>
      </x:top>
    </x:border>
    <x:border>
      <x:left style="thin">
        <x:color rgb="FFD4DEE5"/>
      </x:left>
      <x:top style="thin">
        <x:color rgb="FFD4DEE5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B2C20"/>
      </x:font>
      <x:fill>
        <x:patternFill patternType="solid">
          <x:bgColor rgb="FFFD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29e8a855b4882" /><Relationship Type="http://schemas.openxmlformats.org/officeDocument/2006/relationships/theme" Target="/xl/theme/theme1.xml" Id="R28287cf081be4d1b" /><Relationship Type="http://schemas.openxmlformats.org/officeDocument/2006/relationships/sharedStrings" Target="/xl/sharedStrings.xml" Id="Raa44cd52b72e4646" /><Relationship Type="http://schemas.openxmlformats.org/officeDocument/2006/relationships/worksheet" Target="/xl/worksheets/sheet1.xml" Id="Rd8448826f8b449f9" /><Relationship Type="http://schemas.openxmlformats.org/officeDocument/2006/relationships/worksheet" Target="/xl/worksheets/sheet2.xml" Id="Rcd813225156142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1.33000183105469" hidden="0" customWidth="1"/>
    <x:col min="2" max="2" width="10.779999732971191" hidden="0" customWidth="1"/>
    <x:col min="3" max="3" width="10.5600004196167" hidden="0" customWidth="1"/>
    <x:col min="4" max="4" width="10" hidden="0" customWidth="1"/>
    <x:col min="5" max="5" width="6.78000020980835" hidden="0" customWidth="1"/>
    <x:col min="6" max="6" width="14.5600004196167" hidden="0" customWidth="1"/>
    <x:col min="7" max="7" width="32" hidden="0" customWidth="1"/>
    <x:col min="8" max="8" width="15.109999656677246" hidden="0" customWidth="1"/>
  </x:cols>
  <x:sheetData>
    <x:row r="1" ht="30" customHeight="1">
      <x:c r="A1" s="4" t="str">
        <x:v>Study Beta theme evidence — source table</x:v>
      </x:c>
      <x:c r="B1" s="4"/>
      <x:c r="C1" s="4"/>
      <x:c r="D1" s="4"/>
      <x:c r="E1" s="4"/>
      <x:c r="F1" s="4"/>
      <x:c r="G1" s="4"/>
      <x:c r="H1" s="4"/>
    </x:row>
    <x:row r="2" ht="26" customHeight="1">
      <x:c r="A2" s="7" t="str">
        <x:v>Synthetic Beacon Field Research evidence. Study Beta · July 2026 · UX-201–UX-208. Anchor: Study Alpha / 2026-07-13 / UX-184 / n=24.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Theme</x:v>
      </x:c>
      <x:c r="B4" s="17" t="str">
        <x:v>Observations</x:v>
      </x:c>
      <x:c r="C4" s="17" t="str">
        <x:v>Affected rate</x:v>
      </x:c>
      <x:c r="D4" s="17" t="str">
        <x:v>Impact (1–5)</x:v>
      </x:c>
      <x:c r="E4" s="17" t="str">
        <x:v>Severity</x:v>
      </x:c>
      <x:c r="F4" s="17" t="str">
        <x:v>Confidence signal</x:v>
      </x:c>
      <x:c r="G4" s="17" t="str">
        <x:v>Recommendation</x:v>
      </x:c>
      <x:c r="H4" s="18" t="str">
        <x:v>Evidence scope</x:v>
      </x:c>
    </x:row>
    <x:row r="5" ht="15" hidden="0" customHeight="1">
      <x:c r="A5" s="37" t="str">
        <x:v>Comprehension barriers</x:v>
      </x:c>
      <x:c r="B5" s="52" t="n">
        <x:v>10</x:v>
      </x:c>
      <x:c r="C5" s="55" t="n">
        <x:f>B5/$H$11</x:f>
        <x:v>0.4166666666666667</x:v>
      </x:c>
      <x:c r="D5" s="38" t="n">
        <x:v>5</x:v>
      </x:c>
      <x:c r="E5" s="38" t="str">
        <x:v>High</x:v>
      </x:c>
      <x:c r="F5" s="38" t="str">
        <x:v>Label clarity</x:v>
      </x:c>
      <x:c r="G5" s="38" t="str">
        <x:v>Clarify labels and front-load task context</x:v>
      </x:c>
      <x:c r="H5" s="39" t="str">
        <x:v>Synthetic aggregate</x:v>
      </x:c>
    </x:row>
    <x:row r="6" ht="26.399999618530273" hidden="0" customHeight="1">
      <x:c r="A6" s="40" t="str">
        <x:v>Navigation ambiguity</x:v>
      </x:c>
      <x:c r="B6" s="53" t="n">
        <x:v>9</x:v>
      </x:c>
      <x:c r="C6" s="56" t="n">
        <x:f>B6/$H$11</x:f>
        <x:v>0.375</x:v>
      </x:c>
      <x:c r="D6" s="41" t="n">
        <x:v>5</x:v>
      </x:c>
      <x:c r="E6" s="41" t="str">
        <x:v>High</x:v>
      </x:c>
      <x:c r="F6" s="41" t="str">
        <x:v>Wayfinding</x:v>
      </x:c>
      <x:c r="G6" s="41" t="str">
        <x:v>Make sections and next steps easier to scan</x:v>
      </x:c>
      <x:c r="H6" s="42" t="str">
        <x:v>Synthetic aggregate</x:v>
      </x:c>
    </x:row>
    <x:row r="7" ht="15" hidden="0" customHeight="1">
      <x:c r="A7" s="40" t="str">
        <x:v>Confidence signals</x:v>
      </x:c>
      <x:c r="B7" s="53" t="n">
        <x:v>8</x:v>
      </x:c>
      <x:c r="C7" s="56" t="n">
        <x:f>B7/$H$11</x:f>
        <x:v>0.3333333333333333</x:v>
      </x:c>
      <x:c r="D7" s="41" t="n">
        <x:v>4</x:v>
      </x:c>
      <x:c r="E7" s="41" t="str">
        <x:v>Medium</x:v>
      </x:c>
      <x:c r="F7" s="41" t="str">
        <x:v>Confirmation</x:v>
      </x:c>
      <x:c r="G7" s="41" t="str">
        <x:v>Show progress and outcome confirmation</x:v>
      </x:c>
      <x:c r="H7" s="42" t="str">
        <x:v>Synthetic aggregate</x:v>
      </x:c>
    </x:row>
    <x:row r="8" ht="15" hidden="0" customHeight="1">
      <x:c r="A8" s="43" t="str">
        <x:v>Recovery support</x:v>
      </x:c>
      <x:c r="B8" s="54" t="n">
        <x:v>7</x:v>
      </x:c>
      <x:c r="C8" s="57" t="n">
        <x:f>B8/$H$11</x:f>
        <x:v>0.2916666666666667</x:v>
      </x:c>
      <x:c r="D8" s="44" t="n">
        <x:v>4</x:v>
      </x:c>
      <x:c r="E8" s="44" t="str">
        <x:v>Medium</x:v>
      </x:c>
      <x:c r="F8" s="44" t="str">
        <x:v>Recovery guidance</x:v>
      </x:c>
      <x:c r="G8" s="44" t="str">
        <x:v>Make recovery paths visible and reversible</x:v>
      </x:c>
      <x:c r="H8" s="45" t="str">
        <x:v>Synthetic aggregate</x:v>
      </x:c>
    </x:row>
    <x:row r="10">
      <x:c r="H10" s="48" t="str">
        <x:v>Anchor n</x:v>
      </x:c>
    </x:row>
    <x:row r="11">
      <x:c r="H11" s="51" t="n">
        <x:v>24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.44000244140625" hidden="0" customWidth="1"/>
    <x:col min="2" max="2" width="14.779999732971191" hidden="0" customWidth="1"/>
    <x:col min="3" max="3" width="17.219999313354492" hidden="0" customWidth="1"/>
    <x:col min="4" max="4" width="5.889999866485596" hidden="0" customWidth="1"/>
    <x:col min="5" max="5" width="6.78000020980835" hidden="0" customWidth="1"/>
    <x:col min="6" max="6" width="14.5600004196167" hidden="0" customWidth="1"/>
    <x:col min="7" max="7" width="10.890000343322754" hidden="0" customWidth="1"/>
    <x:col min="8" max="8" width="10.4399995803833" hidden="0" customWidth="1"/>
  </x:cols>
  <x:sheetData>
    <x:row r="1" ht="19.200000762939453" hidden="0" customHeight="1">
      <x:c r="A1" s="4" t="str">
        <x:v>Study Beta theme matrix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7" t="str">
        <x:v>Formula-driven rollup of synthetic evidence. Frequencies and rates reconcile to the n=24 Study Alpha anchor.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6" t="str">
        <x:v>Theme</x:v>
      </x:c>
      <x:c r="B4" s="17" t="str">
        <x:v>Observations</x:v>
      </x:c>
      <x:c r="C4" s="17" t="str">
        <x:v>Affected rate</x:v>
      </x:c>
      <x:c r="D4" s="17" t="str">
        <x:v>Impact</x:v>
      </x:c>
      <x:c r="E4" s="17" t="str">
        <x:v>Severity</x:v>
      </x:c>
      <x:c r="F4" s="17" t="str">
        <x:v>Confidence signal</x:v>
      </x:c>
      <x:c r="G4" s="17" t="str">
        <x:v>Priority score</x:v>
      </x:c>
      <x:c r="H4" s="18" t="str">
        <x:v>Priority band</x:v>
      </x:c>
    </x:row>
    <x:row r="5" ht="15" hidden="0" customHeight="1">
      <x:c r="A5" s="37" t="str">
        <x:f>'Theme data'!A5</x:f>
        <x:v>Comprehension barriers</x:v>
      </x:c>
      <x:c r="B5" s="38" t="n">
        <x:f>'Theme data'!B5</x:f>
        <x:v>10</x:v>
      </x:c>
      <x:c r="C5" s="55" t="n">
        <x:f>'Theme data'!C5</x:f>
        <x:v>0.4166666666666667</x:v>
      </x:c>
      <x:c r="D5" s="38" t="n">
        <x:f>'Theme data'!D5</x:f>
        <x:v>5</x:v>
      </x:c>
      <x:c r="E5" s="38" t="str">
        <x:f>'Theme data'!E5</x:f>
        <x:v>High</x:v>
      </x:c>
      <x:c r="F5" s="38" t="str">
        <x:f>'Theme data'!F5</x:f>
        <x:v>Label clarity</x:v>
      </x:c>
      <x:c r="G5" s="38" t="n">
        <x:f>B5*D5</x:f>
        <x:v>50</x:v>
      </x:c>
      <x:c r="H5" s="39" t="str">
        <x:f>IF(G5&gt;=40,"Focus now",IF(G5&gt;=28,"Plan next","Monitor"))</x:f>
        <x:v>Focus now</x:v>
      </x:c>
    </x:row>
    <x:row r="6" ht="15" hidden="0" customHeight="1">
      <x:c r="A6" s="40" t="str">
        <x:f>'Theme data'!A6</x:f>
        <x:v>Navigation ambiguity</x:v>
      </x:c>
      <x:c r="B6" s="41" t="n">
        <x:f>'Theme data'!B6</x:f>
        <x:v>9</x:v>
      </x:c>
      <x:c r="C6" s="56" t="n">
        <x:f>'Theme data'!C6</x:f>
        <x:v>0.375</x:v>
      </x:c>
      <x:c r="D6" s="41" t="n">
        <x:f>'Theme data'!D6</x:f>
        <x:v>5</x:v>
      </x:c>
      <x:c r="E6" s="41" t="str">
        <x:f>'Theme data'!E6</x:f>
        <x:v>High</x:v>
      </x:c>
      <x:c r="F6" s="41" t="str">
        <x:f>'Theme data'!F6</x:f>
        <x:v>Wayfinding</x:v>
      </x:c>
      <x:c r="G6" s="41" t="n">
        <x:f>B6*D6</x:f>
        <x:v>45</x:v>
      </x:c>
      <x:c r="H6" s="42" t="str">
        <x:f>IF(G6&gt;=40,"Focus now",IF(G6&gt;=28,"Plan next","Monitor"))</x:f>
        <x:v>Focus now</x:v>
      </x:c>
    </x:row>
    <x:row r="7" ht="15" hidden="0" customHeight="1">
      <x:c r="A7" s="40" t="str">
        <x:f>'Theme data'!A7</x:f>
        <x:v>Confidence signals</x:v>
      </x:c>
      <x:c r="B7" s="41" t="n">
        <x:f>'Theme data'!B7</x:f>
        <x:v>8</x:v>
      </x:c>
      <x:c r="C7" s="56" t="n">
        <x:f>'Theme data'!C7</x:f>
        <x:v>0.3333333333333333</x:v>
      </x:c>
      <x:c r="D7" s="41" t="n">
        <x:f>'Theme data'!D7</x:f>
        <x:v>4</x:v>
      </x:c>
      <x:c r="E7" s="41" t="str">
        <x:f>'Theme data'!E7</x:f>
        <x:v>Medium</x:v>
      </x:c>
      <x:c r="F7" s="41" t="str">
        <x:f>'Theme data'!F7</x:f>
        <x:v>Confirmation</x:v>
      </x:c>
      <x:c r="G7" s="41" t="n">
        <x:f>B7*D7</x:f>
        <x:v>32</x:v>
      </x:c>
      <x:c r="H7" s="42" t="str">
        <x:f>IF(G7&gt;=40,"Focus now",IF(G7&gt;=28,"Plan next","Monitor"))</x:f>
        <x:v>Plan next</x:v>
      </x:c>
    </x:row>
    <x:row r="8" ht="15" hidden="0" customHeight="1">
      <x:c r="A8" s="43" t="str">
        <x:f>'Theme data'!A8</x:f>
        <x:v>Recovery support</x:v>
      </x:c>
      <x:c r="B8" s="44" t="n">
        <x:f>'Theme data'!B8</x:f>
        <x:v>7</x:v>
      </x:c>
      <x:c r="C8" s="57" t="n">
        <x:f>'Theme data'!C8</x:f>
        <x:v>0.2916666666666667</x:v>
      </x:c>
      <x:c r="D8" s="44" t="n">
        <x:f>'Theme data'!D8</x:f>
        <x:v>4</x:v>
      </x:c>
      <x:c r="E8" s="44" t="str">
        <x:f>'Theme data'!E8</x:f>
        <x:v>Medium</x:v>
      </x:c>
      <x:c r="F8" s="44" t="str">
        <x:f>'Theme data'!F8</x:f>
        <x:v>Recovery guidance</x:v>
      </x:c>
      <x:c r="G8" s="44" t="n">
        <x:f>B8*D8</x:f>
        <x:v>28</x:v>
      </x:c>
      <x:c r="H8" s="45" t="str">
        <x:f>IF(G8&gt;=40,"Focus now",IF(G8&gt;=28,"Plan next","Monitor"))</x:f>
        <x:v>Plan next</x:v>
      </x:c>
    </x:row>
    <x:row r="9"/>
    <x:row r="10" ht="15" hidden="0" customHeight="1">
      <x:c r="B10" s="16" t="str">
        <x:v>Total observations</x:v>
      </x:c>
      <x:c r="C10" s="18" t="str">
        <x:v>Average affected rate</x:v>
      </x:c>
    </x:row>
    <x:row r="11" ht="15" hidden="0" customHeight="1">
      <x:c r="B11" s="50" t="n">
        <x:f>SUM(B5:B8)</x:f>
        <x:v>34</x:v>
      </x:c>
      <x:c r="C11" s="58" t="n">
        <x:f>AVERAGE(C5:C8)</x:f>
        <x:v>0.3541666666666667</x:v>
      </x:c>
    </x:row>
    <x:row r="12"/>
  </x:sheetData>
  <x:mergeCells>
    <x:mergeCell ref="A1:H1"/>
    <x:mergeCell ref="A2:H2"/>
  </x:mergeCells>
  <x:conditionalFormatting sqref="G5:G8">
    <x:cfRule type="colorScale" priority="1">
      <x:colorScale>
        <x:cfvo type="min"/>
        <x:cfvo type="percentile" val="50"/>
        <x:cfvo type="max"/>
        <x:color rgb="FFE7F2F2"/>
        <x:color rgb="FFF6D78B"/>
        <x:color rgb="FFE8654F"/>
      </x:colorScale>
    </x:cfRule>
  </x:conditionalFormatting>
  <x:conditionalFormatting sqref="H5:H8">
    <x:cfRule type="containsText" dxfId="0" priority="2" operator="containsText" text="Focus now"/>
  </x:conditionalFormatting>
  <x:pageMargins left="0.7" right="0.7" top="0.75" bottom="0.75" header="0.3" footer="0.3"/>
</x:worksheet>
</file>