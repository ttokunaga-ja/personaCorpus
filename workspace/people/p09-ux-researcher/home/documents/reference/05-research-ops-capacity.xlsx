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1905d6ac8b42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pacity Plan" sheetId="1" r:id="R9eb5da222c204d8d"/>
    <x:sheet xmlns:r="http://schemas.openxmlformats.org/officeDocument/2006/relationships" name="Assumptions" sheetId="2" r:id="R5adcfb738dbc47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i/>
      <x:sz val="9"/>
      <x:color rgb="FF50616A"/>
      <x:name val="Carlito"/>
    </x:font>
    <x:font>
      <x:b/>
      <x:sz val="11"/>
      <x:color rgb="FFFFFFFF"/>
      <x:name val="Carlito"/>
    </x:font>
    <x:font>
      <x:b/>
      <x:sz val="11"/>
      <x:color rgb="FF123B4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B4A"/>
      </x:patternFill>
    </x:fill>
    <x:fill>
      <x:patternFill patternType="solid">
        <x:fgColor rgb="FF176B87"/>
      </x:patternFill>
    </x:fill>
    <x:fill>
      <x:patternFill patternType="solid">
        <x:fgColor rgb="FFEAF4F6"/>
      </x:patternFill>
    </x:fill>
  </x:fills>
  <x:borders count="2">
    <x:border/>
    <x:border>
      <x:left style="thin">
        <x:color rgb="FFB9CED5"/>
      </x:left>
      <x:right style="thin">
        <x:color rgb="FFB9CED5"/>
      </x:right>
      <x:top style="thin">
        <x:color rgb="FFB9CED5"/>
      </x:top>
      <x:bottom style="thin">
        <x:color rgb="FFB9CED5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49461757ab4b30" /><Relationship Type="http://schemas.openxmlformats.org/officeDocument/2006/relationships/theme" Target="/xl/theme/theme1.xml" Id="R49979578b1c0400c" /><Relationship Type="http://schemas.openxmlformats.org/officeDocument/2006/relationships/sharedStrings" Target="/xl/sharedStrings.xml" Id="Rffb5058de2a74ae3" /><Relationship Type="http://schemas.openxmlformats.org/officeDocument/2006/relationships/worksheet" Target="/xl/worksheets/sheet1.xml" Id="R9eb5da222c204d8d" /><Relationship Type="http://schemas.openxmlformats.org/officeDocument/2006/relationships/worksheet" Target="/xl/worksheets/sheet2.xml" Id="R5adcfb738dbc47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6" hidden="0" customWidth="1"/>
    <x:col min="3" max="3" width="16" hidden="0" customWidth="1"/>
    <x:col min="4" max="4" width="18" hidden="0" customWidth="1"/>
    <x:col min="5" max="5" width="18" hidden="0" customWidth="1"/>
    <x:col min="6" max="6" width="21" hidden="0" customWidth="1"/>
  </x:cols>
  <x:sheetData>
    <x:row r="1" ht="30" customHeight="1">
      <x:c r="A1" s="3" t="str">
        <x:v>Research Ops Capacity</x:v>
      </x:c>
      <x:c r="B1" s="3"/>
      <x:c r="C1" s="3"/>
      <x:c r="D1" s="3"/>
      <x:c r="E1" s="3"/>
      <x:c r="F1" s="3"/>
    </x:row>
    <x:row r="2" ht="25" customHeight="1">
      <x:c r="A2" s="6" t="str">
        <x:v>Synthetic operating assumptions for Beacon Field Research. Study Alpha anchor: 2026-07-13 | UX-184 | planned n=24.</x:v>
      </x:c>
      <x:c r="B2" s="6"/>
      <x:c r="C2" s="6"/>
      <x:c r="D2" s="6"/>
      <x:c r="E2" s="6"/>
      <x:c r="F2" s="6"/>
    </x:row>
    <x:row r="4" ht="30" customHeight="1">
      <x:c r="A4" s="11" t="str">
        <x:v>Workstream</x:v>
      </x:c>
      <x:c r="B4" s="11" t="str">
        <x:v>Hours per session / item</x:v>
      </x:c>
      <x:c r="C4" s="11" t="str">
        <x:v>Volume</x:v>
      </x:c>
      <x:c r="D4" s="11" t="str">
        <x:v>Total hours</x:v>
      </x:c>
      <x:c r="E4" s="11" t="str">
        <x:v>Owner capacity (hrs/week)</x:v>
      </x:c>
      <x:c r="F4" s="11" t="str">
        <x:v>Weeks needed</x:v>
      </x:c>
    </x:row>
    <x:row r="5" ht="31" customHeight="1">
      <x:c r="A5" s="14" t="str">
        <x:v>Recruiting coordination</x:v>
      </x:c>
      <x:c r="B5" s="14" t="n">
        <x:v>0.75</x:v>
      </x:c>
      <x:c r="C5" s="14" t="n">
        <x:v>24</x:v>
      </x:c>
      <x:c r="D5" s="14" t="n">
        <x:f>B5*C5</x:f>
        <x:v>18</x:v>
      </x:c>
      <x:c r="E5" s="14" t="n">
        <x:v>20</x:v>
      </x:c>
      <x:c r="F5" s="14" t="n">
        <x:f>D5/E5</x:f>
        <x:v>0.9</x:v>
      </x:c>
    </x:row>
    <x:row r="6" ht="31" customHeight="1">
      <x:c r="A6" s="14" t="str">
        <x:v>Session moderation</x:v>
      </x:c>
      <x:c r="B6" s="14" t="n">
        <x:v>1.5</x:v>
      </x:c>
      <x:c r="C6" s="14" t="n">
        <x:v>24</x:v>
      </x:c>
      <x:c r="D6" s="14" t="n">
        <x:f>B6*C6</x:f>
        <x:v>36</x:v>
      </x:c>
      <x:c r="E6" s="14" t="n">
        <x:v>24</x:v>
      </x:c>
      <x:c r="F6" s="14" t="n">
        <x:f>D6/E6</x:f>
        <x:v>1.5</x:v>
      </x:c>
    </x:row>
    <x:row r="7" ht="31" customHeight="1">
      <x:c r="A7" s="14" t="str">
        <x:v>Note cleanup</x:v>
      </x:c>
      <x:c r="B7" s="14" t="n">
        <x:v>0.5</x:v>
      </x:c>
      <x:c r="C7" s="14" t="n">
        <x:v>24</x:v>
      </x:c>
      <x:c r="D7" s="14" t="n">
        <x:f>B7*C7</x:f>
        <x:v>12</x:v>
      </x:c>
      <x:c r="E7" s="14" t="n">
        <x:v>16</x:v>
      </x:c>
      <x:c r="F7" s="14" t="n">
        <x:f>D7/E7</x:f>
        <x:v>0.75</x:v>
      </x:c>
    </x:row>
    <x:row r="8" ht="31" customHeight="1">
      <x:c r="A8" s="14" t="str">
        <x:v>Synthesis and readout</x:v>
      </x:c>
      <x:c r="B8" s="14" t="n">
        <x:v>18</x:v>
      </x:c>
      <x:c r="C8" s="14" t="n">
        <x:v>1</x:v>
      </x:c>
      <x:c r="D8" s="14" t="n">
        <x:f>B8*C8</x:f>
        <x:v>18</x:v>
      </x:c>
      <x:c r="E8" s="14" t="n">
        <x:v>18</x:v>
      </x:c>
      <x:c r="F8" s="14" t="n">
        <x:f>D8/E8</x:f>
        <x:v>1</x:v>
      </x:c>
    </x:row>
    <x:row r="10">
      <x:c r="A10" s="17" t="str">
        <x:v>Total estimated hours</x:v>
      </x:c>
      <x:c r="B10" s="17"/>
      <x:c r="C10" s="17"/>
      <x:c r="D10" s="17" t="n">
        <x:f>SUM(D5:D8)</x:f>
        <x:v>84</x:v>
      </x:c>
      <x:c r="E10" s="17"/>
      <x:c r="F10" s="17"/>
    </x:row>
    <x:row r="11">
      <x:c r="A11" s="17" t="str">
        <x:v>Critical-path weeks (max)</x:v>
      </x:c>
      <x:c r="B11" s="17"/>
      <x:c r="C11" s="17"/>
      <x:c r="D11" s="17"/>
      <x:c r="E11" s="17"/>
      <x:c r="F11" s="17" t="n">
        <x:f>MAX(F5:F8)</x:f>
        <x:v>1.5</x:v>
      </x:c>
    </x:row>
    <x:row r="12">
      <x:c r="A12" t="str">
        <x:v>Note</x:v>
      </x:c>
      <x:c r="B12" s="19" t="str">
        <x:v>Assumptions are editable planning inputs. Capacity excludes unexpected accessibility accommodations, rescheduling, stakeholder review, and recruitment drop-off; record those separately before changing commitments.</x:v>
      </x:c>
      <x:c r="C12" s="19"/>
      <x:c r="D12" s="19"/>
      <x:c r="E12" s="19"/>
      <x:c r="F12" s="19"/>
    </x:row>
    <x:row r="13">
      <x:c r="B13" s="19"/>
      <x:c r="C13" s="19"/>
      <x:c r="D13" s="19"/>
      <x:c r="E13" s="19"/>
      <x:c r="F13" s="19"/>
    </x:row>
  </x:sheetData>
  <x:mergeCells>
    <x:mergeCell ref="A1:F1"/>
    <x:mergeCell ref="A2:F2"/>
    <x:mergeCell ref="B12:F13"/>
  </x:mergeCells>
  <x:dataValidations count="3">
    <x:dataValidation type="decimal" operator="between" sqref="B5:B8">
      <x:formula1>0</x:formula1>
      <x:formula2>999</x:formula2>
    </x:dataValidation>
    <x:dataValidation type="whole" operator="between" sqref="C5:C8">
      <x:formula1>0</x:formula1>
      <x:formula2>999</x:formula2>
    </x:dataValidation>
    <x:dataValidation type="decimal" operator="between" sqref="E5:E8">
      <x:formula1>0</x:formula1>
      <x:formula2>999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42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30" customHeight="1">
      <x:c r="A1" s="3" t="str">
        <x:v>Capacity assumptions</x:v>
      </x:c>
      <x:c r="B1" s="3"/>
      <x:c r="C1" s="3"/>
      <x:c r="D1" s="3"/>
      <x:c r="E1" s="3"/>
      <x:c r="F1" s="3"/>
    </x:row>
    <x:row r="2" ht="25" customHeight="1">
      <x:c r="A2" s="6" t="str">
        <x:v>Edit inputs here or in Capacity Plan; formulas remain visible for audit.</x:v>
      </x:c>
      <x:c r="B2" s="6"/>
      <x:c r="C2" s="6"/>
      <x:c r="D2" s="6"/>
      <x:c r="E2" s="6"/>
      <x:c r="F2" s="6"/>
    </x:row>
    <x:row r="4" ht="30" customHeight="1">
      <x:c r="A4" s="11" t="str">
        <x:v>Assumption</x:v>
      </x:c>
      <x:c r="B4" s="11" t="str">
        <x:v>Value</x:v>
      </x:c>
      <x:c r="C4" s="11" t="str">
        <x:v>Rationale</x:v>
      </x:c>
      <x:c r="D4" s="11" t="str">
        <x:v>Owner</x:v>
      </x:c>
      <x:c r="E4" s="11" t="str">
        <x:v>Review date</x:v>
      </x:c>
      <x:c r="F4" s="11" t="str">
        <x:v>Status</x:v>
      </x:c>
    </x:row>
    <x:row r="5" ht="31" customHeight="1">
      <x:c r="A5" s="14" t="str">
        <x:v>Planned sessions</x:v>
      </x:c>
      <x:c r="B5" s="14" t="n">
        <x:v>24</x:v>
      </x:c>
      <x:c r="C5" s="14" t="str">
        <x:v>Study Alpha planning anchor; not a completion count.</x:v>
      </x:c>
      <x:c r="D5" s="14" t="str">
        <x:v>Research lead</x:v>
      </x:c>
      <x:c r="E5" s="14" t="str">
        <x:v>2026-07-13</x:v>
      </x:c>
      <x:c r="F5" s="14" t="str">
        <x:v>Active</x:v>
      </x:c>
    </x:row>
    <x:row r="6" ht="31" customHeight="1">
      <x:c r="A6" s="14" t="str">
        <x:v>Session duration (hours)</x:v>
      </x:c>
      <x:c r="B6" s="14" t="n">
        <x:v>1</x:v>
      </x:c>
      <x:c r="C6" s="14" t="str">
        <x:v>Includes opening, discussion, and close.</x:v>
      </x:c>
      <x:c r="D6" s="14" t="str">
        <x:v>Moderator</x:v>
      </x:c>
      <x:c r="E6" s="14" t="str">
        <x:v>2026-07-13</x:v>
      </x:c>
      <x:c r="F6" s="14" t="str">
        <x:v>Active</x:v>
      </x:c>
    </x:row>
    <x:row r="7" ht="31" customHeight="1">
      <x:c r="A7" s="14" t="str">
        <x:v>Buffer factor</x:v>
      </x:c>
      <x:c r="B7" s="14" t="n">
        <x:v>0.2</x:v>
      </x:c>
      <x:c r="C7" s="14" t="str">
        <x:v>Use for schedule risk discussion; not included in base totals.</x:v>
      </x:c>
      <x:c r="D7" s="14" t="str">
        <x:v>Ops lead</x:v>
      </x:c>
      <x:c r="E7" s="14" t="str">
        <x:v>2026-07-13</x:v>
      </x:c>
      <x:c r="F7" s="14" t="str">
        <x:v>Review</x:v>
      </x:c>
    </x:row>
  </x:sheetData>
  <x:mergeCells>
    <x:mergeCell ref="A1:F1"/>
    <x:mergeCell ref="A2:F2"/>
  </x:mergeCells>
  <x:pageMargins left="0.7" right="0.7" top="0.75" bottom="0.75" header="0.3" footer="0.3"/>
</x:worksheet>
</file>