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b4e439a70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 Summary" sheetId="1" r:id="R25afde3863124a04"/>
    <x:sheet xmlns:r="http://schemas.openxmlformats.org/officeDocument/2006/relationships" name="Synthetic Records" sheetId="2" r:id="R3410a69c199a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1F4E2D"/>
      <x:name val="Carlito"/>
    </x:font>
    <x:font>
      <x:i/>
      <x:sz val="11"/>
      <x:color rgb="FF595959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2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4" borderId="4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de7f9711d4b02" /><Relationship Type="http://schemas.openxmlformats.org/officeDocument/2006/relationships/theme" Target="/xl/theme/theme1.xml" Id="R63d1e67b361d4a0a" /><Relationship Type="http://schemas.openxmlformats.org/officeDocument/2006/relationships/sharedStrings" Target="/xl/sharedStrings.xml" Id="R9fcd153dad074565" /><Relationship Type="http://schemas.openxmlformats.org/officeDocument/2006/relationships/worksheet" Target="/xl/worksheets/sheet1.xml" Id="R25afde3863124a04" /><Relationship Type="http://schemas.openxmlformats.org/officeDocument/2006/relationships/worksheet" Target="/xl/worksheets/sheet2.xml" Id="R3410a69c199a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0" hidden="0" customWidth="1"/>
    <x:col min="4" max="4" width="13" hidden="0" customWidth="1"/>
    <x:col min="5" max="5" width="21" hidden="0" customWidth="1"/>
    <x:col min="6" max="6" width="35" hidden="0" customWidth="1"/>
  </x:cols>
  <x:sheetData>
    <x:row r="1" ht="28" customHeight="1">
      <x:c r="A1" s="4" t="str">
        <x:v>BEACON FIELD RESEARCH | STUDY ALPHA CLOSEOUT</x:v>
      </x:c>
      <x:c r="B1" s="4"/>
      <x:c r="C1" s="4"/>
      <x:c r="D1" s="4"/>
      <x:c r="E1" s="4"/>
      <x:c r="F1" s="4"/>
    </x:row>
    <x:row r="3">
      <x:c r="A3" s="7" t="str">
        <x:v>Archive date</x:v>
      </x:c>
      <x:c r="B3" s="13" t="n">
        <x:v>46216.5</x:v>
      </x:c>
    </x:row>
    <x:row r="4">
      <x:c r="A4" s="8" t="str">
        <x:v>Study reference</x:v>
      </x:c>
      <x:c r="B4" s="11" t="str">
        <x:v>UX-184</x:v>
      </x:c>
    </x:row>
    <x:row r="5">
      <x:c r="A5" s="8" t="str">
        <x:v>Participant set</x:v>
      </x:c>
      <x:c r="B5" s="11" t="str">
        <x:v>n=24 synthetic participants</x:v>
      </x:c>
    </x:row>
    <x:row r="6">
      <x:c r="A6" s="8" t="str">
        <x:v>Research method</x:v>
      </x:c>
      <x:c r="B6" s="11" t="str">
        <x:v>Moderated field sessions</x:v>
      </x:c>
    </x:row>
    <x:row r="7">
      <x:c r="A7" s="9" t="str">
        <x:v>Record status</x:v>
      </x:c>
      <x:c r="B7" s="12" t="str">
        <x:v>Fully synthetic training archive</x:v>
      </x:c>
    </x:row>
    <x:row r="9">
      <x:c r="A9" s="16" t="str">
        <x:v>Closeout metrics</x:v>
      </x:c>
      <x:c r="B9" s="16" t="str">
        <x:v>Planned</x:v>
      </x:c>
      <x:c r="C9" s="16" t="str">
        <x:v>Completed / archived</x:v>
      </x:c>
      <x:c r="D9" s="16" t="str">
        <x:v>Variance</x:v>
      </x:c>
      <x:c r="E9" s="16" t="str">
        <x:v>Formula status</x:v>
      </x:c>
      <x:c r="F9" s="16" t="str">
        <x:v>Closeout disposition</x:v>
      </x:c>
    </x:row>
    <x:row r="10">
      <x:c r="A10" s="18" t="str">
        <x:v>Synthetic participants</x:v>
      </x:c>
      <x:c r="B10" s="19" t="n">
        <x:v>24</x:v>
      </x:c>
      <x:c r="C10" s="19" t="n">
        <x:f>COUNTIF('Synthetic Records'!B4:B27,"Yes")</x:f>
        <x:v>24</x:v>
      </x:c>
      <x:c r="D10" s="19" t="n">
        <x:f>C10-B10</x:f>
        <x:v>0</x:v>
      </x:c>
      <x:c r="E10" s="20" t="str">
        <x:f>IF(D10=0,"Reconciled","Check variance")</x:f>
        <x:v>Reconciled</x:v>
      </x:c>
      <x:c r="F10" s="20" t="str">
        <x:v>Complete</x:v>
      </x:c>
    </x:row>
    <x:row r="11">
      <x:c r="A11" s="18" t="str">
        <x:v>Moderated sessions</x:v>
      </x:c>
      <x:c r="B11" s="19" t="n">
        <x:v>24</x:v>
      </x:c>
      <x:c r="C11" s="19" t="n">
        <x:f>COUNTIF('Synthetic Records'!C4:C27,"Complete")</x:f>
        <x:v>24</x:v>
      </x:c>
      <x:c r="D11" s="19" t="n">
        <x:f>C11-B11</x:f>
        <x:v>0</x:v>
      </x:c>
      <x:c r="E11" s="20" t="str">
        <x:f>IF(D11=0,"Reconciled","Check variance")</x:f>
        <x:v>Reconciled</x:v>
      </x:c>
      <x:c r="F11" s="20" t="str">
        <x:v>Complete</x:v>
      </x:c>
    </x:row>
    <x:row r="12">
      <x:c r="A12" s="18" t="str">
        <x:v>Evidence records</x:v>
      </x:c>
      <x:c r="B12" s="19" t="n">
        <x:v>24</x:v>
      </x:c>
      <x:c r="C12" s="19" t="n">
        <x:f>COUNTIF('Synthetic Records'!D4:D27,"Archived")</x:f>
        <x:v>24</x:v>
      </x:c>
      <x:c r="D12" s="19" t="n">
        <x:f>C12-B12</x:f>
        <x:v>0</x:v>
      </x:c>
      <x:c r="E12" s="20" t="str">
        <x:f>IF(D12=0,"Reconciled","Check variance")</x:f>
        <x:v>Reconciled</x:v>
      </x:c>
      <x:c r="F12" s="20" t="str">
        <x:v>Complete</x:v>
      </x:c>
    </x:row>
    <x:row r="13">
      <x:c r="A13" s="18" t="str">
        <x:v>Retention tasks with disposition</x:v>
      </x:c>
      <x:c r="B13" s="19" t="n">
        <x:v>24</x:v>
      </x:c>
      <x:c r="C13" s="19" t="n">
        <x:f>COUNTIF('Synthetic Records'!E4:E27,"Assigned")</x:f>
        <x:v>24</x:v>
      </x:c>
      <x:c r="D13" s="19" t="n">
        <x:f>C13-B13</x:f>
        <x:v>0</x:v>
      </x:c>
      <x:c r="E13" s="20" t="str">
        <x:f>IF(D13=0,"Reconciled","Check variance")</x:f>
        <x:v>Reconciled</x:v>
      </x:c>
      <x:c r="F13" s="20" t="str">
        <x:v>Complete</x:v>
      </x:c>
    </x:row>
    <x:row r="16" ht="26" customHeight="1">
      <x:c r="A16" s="29" t="str">
        <x:f>IF(AND(D10=0,D11=0,D12=0,D13=0),"CLOSED - RECONCILED","REVIEW REQUIRED")</x:f>
        <x:v>CLOSED - RECONCILED</x:v>
      </x:c>
      <x:c r="B16" s="30"/>
      <x:c r="C16" s="30"/>
      <x:c r="D16" s="30"/>
      <x:c r="E16" s="30"/>
      <x:c r="F16" s="31"/>
    </x:row>
    <x:row r="18">
      <x:c r="A18" s="16" t="str">
        <x:v>Follow-up item</x:v>
      </x:c>
      <x:c r="B18" s="16" t="str">
        <x:v>Owner group</x:v>
      </x:c>
      <x:c r="C18" s="16" t="str">
        <x:v>Due date</x:v>
      </x:c>
      <x:c r="D18" s="16" t="str">
        <x:v>Status</x:v>
      </x:c>
      <x:c r="E18" s="16" t="str">
        <x:v>Completion criterion</x:v>
      </x:c>
      <x:c r="F18" s="16" t="str">
        <x:v>Scope note</x:v>
      </x:c>
    </x:row>
    <x:row r="19" ht="32" customHeight="1">
      <x:c r="A19" s="35" t="str">
        <x:v>Scheduled retention review</x:v>
      </x:c>
      <x:c r="B19" s="35" t="str">
        <x:v>Archive operations</x:v>
      </x:c>
      <x:c r="C19" s="36" t="n">
        <x:v>46308.5</x:v>
      </x:c>
      <x:c r="D19" s="35" t="str">
        <x:v>Scheduled</x:v>
      </x:c>
      <x:c r="E19" s="35" t="str">
        <x:v>Administrative review logged</x:v>
      </x:c>
      <x:c r="F19" s="35" t="str">
        <x:v>Does not change completed sessions or evidence counts</x:v>
      </x:c>
    </x:row>
    <x:row r="21" ht="28" customHeight="1">
      <x:c r="A21" s="38" t="str">
        <x:v>Formula note: completed counts are calculated from the Synthetic Records sheet. The scheduled retention review is a follow-up administrative task, not a closeout variance.</x:v>
      </x:c>
      <x:c r="B21" s="38"/>
      <x:c r="C21" s="38"/>
      <x:c r="D21" s="38"/>
      <x:c r="E21" s="38"/>
      <x:c r="F21" s="38"/>
    </x:row>
  </x:sheetData>
  <x:mergeCells>
    <x:mergeCell ref="A1:F1"/>
    <x:mergeCell ref="A16:F16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16" hidden="0" customWidth="1"/>
    <x:col min="9" max="9" width="24" hidden="0" customWidth="1"/>
    <x:col min="10" max="10" width="18" hidden="0" customWidth="1"/>
  </x:cols>
  <x:sheetData>
    <x:row r="1" ht="26" customHeight="1">
      <x:c r="A1" s="40" t="str">
        <x:v>SYNTHETIC PARTICIPANT-LEVEL CLOSEOUT RECORDS | STUDY ALPHA | UX-184</x:v>
      </x:c>
      <x:c r="B1" s="40"/>
      <x:c r="C1" s="40"/>
      <x:c r="D1" s="40"/>
      <x:c r="E1" s="40"/>
      <x:c r="F1" s="40"/>
      <x:c r="G1" s="40"/>
    </x:row>
    <x:row r="3">
      <x:c r="A3" s="71" t="str">
        <x:v>Synthetic record ID</x:v>
      </x:c>
      <x:c r="B3" s="71" t="str">
        <x:v>Participant represented</x:v>
      </x:c>
      <x:c r="C3" s="71" t="str">
        <x:v>Session status</x:v>
      </x:c>
      <x:c r="D3" s="71" t="str">
        <x:v>Evidence status</x:v>
      </x:c>
      <x:c r="E3" s="71" t="str">
        <x:v>Retention disposition</x:v>
      </x:c>
      <x:c r="F3" s="71" t="str">
        <x:v>Archive date</x:v>
      </x:c>
      <x:c r="G3" s="71" t="str">
        <x:v>Follow-up flag</x:v>
      </x:c>
      <x:c r="I3" s="75" t="str">
        <x:v>Reconciliation check</x:v>
      </x:c>
      <x:c r="J3" s="75" t="str">
        <x:v>Formula result</x:v>
      </x:c>
    </x:row>
    <x:row r="4">
      <x:c r="A4" s="72" t="str">
        <x:v>SYN-UX184-01</x:v>
      </x:c>
      <x:c r="B4" s="73" t="str">
        <x:v>Yes</x:v>
      </x:c>
      <x:c r="C4" s="73" t="str">
        <x:v>Complete</x:v>
      </x:c>
      <x:c r="D4" s="73" t="str">
        <x:v>Archived</x:v>
      </x:c>
      <x:c r="E4" s="73" t="str">
        <x:v>Assigned</x:v>
      </x:c>
      <x:c r="F4" s="74" t="n">
        <x:v>46216.5</x:v>
      </x:c>
      <x:c r="G4" s="73" t="str">
        <x:v>No</x:v>
      </x:c>
      <x:c r="I4" s="17" t="str">
        <x:v>Expected record count</x:v>
      </x:c>
      <x:c r="J4" s="17" t="n">
        <x:v>24</x:v>
      </x:c>
    </x:row>
    <x:row r="5">
      <x:c r="A5" s="72" t="str">
        <x:v>SYN-UX184-02</x:v>
      </x:c>
      <x:c r="B5" s="73" t="str">
        <x:v>Yes</x:v>
      </x:c>
      <x:c r="C5" s="73" t="str">
        <x:v>Complete</x:v>
      </x:c>
      <x:c r="D5" s="73" t="str">
        <x:v>Archived</x:v>
      </x:c>
      <x:c r="E5" s="73" t="str">
        <x:v>Assigned</x:v>
      </x:c>
      <x:c r="F5" s="74" t="n">
        <x:v>46216.5</x:v>
      </x:c>
      <x:c r="G5" s="73" t="str">
        <x:v>No</x:v>
      </x:c>
      <x:c r="I5" s="17" t="str">
        <x:v>Archived evidence count</x:v>
      </x:c>
      <x:c r="J5" s="17" t="n">
        <x:f>COUNTIF(D4:D27,"Archived")</x:f>
        <x:v>24</x:v>
      </x:c>
    </x:row>
    <x:row r="6">
      <x:c r="A6" s="72" t="str">
        <x:v>SYN-UX184-03</x:v>
      </x:c>
      <x:c r="B6" s="73" t="str">
        <x:v>Yes</x:v>
      </x:c>
      <x:c r="C6" s="73" t="str">
        <x:v>Complete</x:v>
      </x:c>
      <x:c r="D6" s="73" t="str">
        <x:v>Archived</x:v>
      </x:c>
      <x:c r="E6" s="73" t="str">
        <x:v>Assigned</x:v>
      </x:c>
      <x:c r="F6" s="74" t="n">
        <x:v>46216.5</x:v>
      </x:c>
      <x:c r="G6" s="73" t="str">
        <x:v>No</x:v>
      </x:c>
      <x:c r="I6" s="17" t="str">
        <x:v>Closeout consistency</x:v>
      </x:c>
      <x:c r="J6" s="17" t="str">
        <x:f>IF(AND(J5=J4,COUNTIF(C4:C27,"Complete")=J4),"Reconciled","Review")</x:f>
        <x:v>Reconciled</x:v>
      </x:c>
    </x:row>
    <x:row r="7">
      <x:c r="A7" s="72" t="str">
        <x:v>SYN-UX184-04</x:v>
      </x:c>
      <x:c r="B7" s="73" t="str">
        <x:v>Yes</x:v>
      </x:c>
      <x:c r="C7" s="73" t="str">
        <x:v>Complete</x:v>
      </x:c>
      <x:c r="D7" s="73" t="str">
        <x:v>Archived</x:v>
      </x:c>
      <x:c r="E7" s="73" t="str">
        <x:v>Assigned</x:v>
      </x:c>
      <x:c r="F7" s="74" t="n">
        <x:v>46216.5</x:v>
      </x:c>
      <x:c r="G7" s="73" t="str">
        <x:v>No</x:v>
      </x:c>
    </x:row>
    <x:row r="8">
      <x:c r="A8" s="72" t="str">
        <x:v>SYN-UX184-05</x:v>
      </x:c>
      <x:c r="B8" s="73" t="str">
        <x:v>Yes</x:v>
      </x:c>
      <x:c r="C8" s="73" t="str">
        <x:v>Complete</x:v>
      </x:c>
      <x:c r="D8" s="73" t="str">
        <x:v>Archived</x:v>
      </x:c>
      <x:c r="E8" s="73" t="str">
        <x:v>Assigned</x:v>
      </x:c>
      <x:c r="F8" s="74" t="n">
        <x:v>46216.5</x:v>
      </x:c>
      <x:c r="G8" s="73" t="str">
        <x:v>No</x:v>
      </x:c>
    </x:row>
    <x:row r="9">
      <x:c r="A9" s="72" t="str">
        <x:v>SYN-UX184-06</x:v>
      </x:c>
      <x:c r="B9" s="73" t="str">
        <x:v>Yes</x:v>
      </x:c>
      <x:c r="C9" s="73" t="str">
        <x:v>Complete</x:v>
      </x:c>
      <x:c r="D9" s="73" t="str">
        <x:v>Archived</x:v>
      </x:c>
      <x:c r="E9" s="73" t="str">
        <x:v>Assigned</x:v>
      </x:c>
      <x:c r="F9" s="74" t="n">
        <x:v>46216.5</x:v>
      </x:c>
      <x:c r="G9" s="73" t="str">
        <x:v>No</x:v>
      </x:c>
    </x:row>
    <x:row r="10">
      <x:c r="A10" s="72" t="str">
        <x:v>SYN-UX184-07</x:v>
      </x:c>
      <x:c r="B10" s="73" t="str">
        <x:v>Yes</x:v>
      </x:c>
      <x:c r="C10" s="73" t="str">
        <x:v>Complete</x:v>
      </x:c>
      <x:c r="D10" s="73" t="str">
        <x:v>Archived</x:v>
      </x:c>
      <x:c r="E10" s="73" t="str">
        <x:v>Assigned</x:v>
      </x:c>
      <x:c r="F10" s="74" t="n">
        <x:v>46216.5</x:v>
      </x:c>
      <x:c r="G10" s="73" t="str">
        <x:v>No</x:v>
      </x:c>
    </x:row>
    <x:row r="11">
      <x:c r="A11" s="72" t="str">
        <x:v>SYN-UX184-08</x:v>
      </x:c>
      <x:c r="B11" s="73" t="str">
        <x:v>Yes</x:v>
      </x:c>
      <x:c r="C11" s="73" t="str">
        <x:v>Complete</x:v>
      </x:c>
      <x:c r="D11" s="73" t="str">
        <x:v>Archived</x:v>
      </x:c>
      <x:c r="E11" s="73" t="str">
        <x:v>Assigned</x:v>
      </x:c>
      <x:c r="F11" s="74" t="n">
        <x:v>46216.5</x:v>
      </x:c>
      <x:c r="G11" s="73" t="str">
        <x:v>No</x:v>
      </x:c>
    </x:row>
    <x:row r="12">
      <x:c r="A12" s="72" t="str">
        <x:v>SYN-UX184-09</x:v>
      </x:c>
      <x:c r="B12" s="73" t="str">
        <x:v>Yes</x:v>
      </x:c>
      <x:c r="C12" s="73" t="str">
        <x:v>Complete</x:v>
      </x:c>
      <x:c r="D12" s="73" t="str">
        <x:v>Archived</x:v>
      </x:c>
      <x:c r="E12" s="73" t="str">
        <x:v>Assigned</x:v>
      </x:c>
      <x:c r="F12" s="74" t="n">
        <x:v>46216.5</x:v>
      </x:c>
      <x:c r="G12" s="73" t="str">
        <x:v>No</x:v>
      </x:c>
    </x:row>
    <x:row r="13">
      <x:c r="A13" s="72" t="str">
        <x:v>SYN-UX184-10</x:v>
      </x:c>
      <x:c r="B13" s="73" t="str">
        <x:v>Yes</x:v>
      </x:c>
      <x:c r="C13" s="73" t="str">
        <x:v>Complete</x:v>
      </x:c>
      <x:c r="D13" s="73" t="str">
        <x:v>Archived</x:v>
      </x:c>
      <x:c r="E13" s="73" t="str">
        <x:v>Assigned</x:v>
      </x:c>
      <x:c r="F13" s="74" t="n">
        <x:v>46216.5</x:v>
      </x:c>
      <x:c r="G13" s="73" t="str">
        <x:v>No</x:v>
      </x:c>
    </x:row>
    <x:row r="14">
      <x:c r="A14" s="72" t="str">
        <x:v>SYN-UX184-11</x:v>
      </x:c>
      <x:c r="B14" s="73" t="str">
        <x:v>Yes</x:v>
      </x:c>
      <x:c r="C14" s="73" t="str">
        <x:v>Complete</x:v>
      </x:c>
      <x:c r="D14" s="73" t="str">
        <x:v>Archived</x:v>
      </x:c>
      <x:c r="E14" s="73" t="str">
        <x:v>Assigned</x:v>
      </x:c>
      <x:c r="F14" s="74" t="n">
        <x:v>46216.5</x:v>
      </x:c>
      <x:c r="G14" s="73" t="str">
        <x:v>No</x:v>
      </x:c>
    </x:row>
    <x:row r="15">
      <x:c r="A15" s="72" t="str">
        <x:v>SYN-UX184-12</x:v>
      </x:c>
      <x:c r="B15" s="73" t="str">
        <x:v>Yes</x:v>
      </x:c>
      <x:c r="C15" s="73" t="str">
        <x:v>Complete</x:v>
      </x:c>
      <x:c r="D15" s="73" t="str">
        <x:v>Archived</x:v>
      </x:c>
      <x:c r="E15" s="73" t="str">
        <x:v>Assigned</x:v>
      </x:c>
      <x:c r="F15" s="74" t="n">
        <x:v>46216.5</x:v>
      </x:c>
      <x:c r="G15" s="73" t="str">
        <x:v>No</x:v>
      </x:c>
    </x:row>
    <x:row r="16">
      <x:c r="A16" s="72" t="str">
        <x:v>SYN-UX184-13</x:v>
      </x:c>
      <x:c r="B16" s="73" t="str">
        <x:v>Yes</x:v>
      </x:c>
      <x:c r="C16" s="73" t="str">
        <x:v>Complete</x:v>
      </x:c>
      <x:c r="D16" s="73" t="str">
        <x:v>Archived</x:v>
      </x:c>
      <x:c r="E16" s="73" t="str">
        <x:v>Assigned</x:v>
      </x:c>
      <x:c r="F16" s="74" t="n">
        <x:v>46216.5</x:v>
      </x:c>
      <x:c r="G16" s="73" t="str">
        <x:v>No</x:v>
      </x:c>
    </x:row>
    <x:row r="17">
      <x:c r="A17" s="72" t="str">
        <x:v>SYN-UX184-14</x:v>
      </x:c>
      <x:c r="B17" s="73" t="str">
        <x:v>Yes</x:v>
      </x:c>
      <x:c r="C17" s="73" t="str">
        <x:v>Complete</x:v>
      </x:c>
      <x:c r="D17" s="73" t="str">
        <x:v>Archived</x:v>
      </x:c>
      <x:c r="E17" s="73" t="str">
        <x:v>Assigned</x:v>
      </x:c>
      <x:c r="F17" s="74" t="n">
        <x:v>46216.5</x:v>
      </x:c>
      <x:c r="G17" s="73" t="str">
        <x:v>No</x:v>
      </x:c>
    </x:row>
    <x:row r="18">
      <x:c r="A18" s="72" t="str">
        <x:v>SYN-UX184-15</x:v>
      </x:c>
      <x:c r="B18" s="73" t="str">
        <x:v>Yes</x:v>
      </x:c>
      <x:c r="C18" s="73" t="str">
        <x:v>Complete</x:v>
      </x:c>
      <x:c r="D18" s="73" t="str">
        <x:v>Archived</x:v>
      </x:c>
      <x:c r="E18" s="73" t="str">
        <x:v>Assigned</x:v>
      </x:c>
      <x:c r="F18" s="74" t="n">
        <x:v>46216.5</x:v>
      </x:c>
      <x:c r="G18" s="73" t="str">
        <x:v>No</x:v>
      </x:c>
    </x:row>
    <x:row r="19">
      <x:c r="A19" s="72" t="str">
        <x:v>SYN-UX184-16</x:v>
      </x:c>
      <x:c r="B19" s="73" t="str">
        <x:v>Yes</x:v>
      </x:c>
      <x:c r="C19" s="73" t="str">
        <x:v>Complete</x:v>
      </x:c>
      <x:c r="D19" s="73" t="str">
        <x:v>Archived</x:v>
      </x:c>
      <x:c r="E19" s="73" t="str">
        <x:v>Assigned</x:v>
      </x:c>
      <x:c r="F19" s="74" t="n">
        <x:v>46216.5</x:v>
      </x:c>
      <x:c r="G19" s="73" t="str">
        <x:v>No</x:v>
      </x:c>
    </x:row>
    <x:row r="20">
      <x:c r="A20" s="72" t="str">
        <x:v>SYN-UX184-17</x:v>
      </x:c>
      <x:c r="B20" s="73" t="str">
        <x:v>Yes</x:v>
      </x:c>
      <x:c r="C20" s="73" t="str">
        <x:v>Complete</x:v>
      </x:c>
      <x:c r="D20" s="73" t="str">
        <x:v>Archived</x:v>
      </x:c>
      <x:c r="E20" s="73" t="str">
        <x:v>Assigned</x:v>
      </x:c>
      <x:c r="F20" s="74" t="n">
        <x:v>46216.5</x:v>
      </x:c>
      <x:c r="G20" s="73" t="str">
        <x:v>No</x:v>
      </x:c>
    </x:row>
    <x:row r="21">
      <x:c r="A21" s="72" t="str">
        <x:v>SYN-UX184-18</x:v>
      </x:c>
      <x:c r="B21" s="73" t="str">
        <x:v>Yes</x:v>
      </x:c>
      <x:c r="C21" s="73" t="str">
        <x:v>Complete</x:v>
      </x:c>
      <x:c r="D21" s="73" t="str">
        <x:v>Archived</x:v>
      </x:c>
      <x:c r="E21" s="73" t="str">
        <x:v>Assigned</x:v>
      </x:c>
      <x:c r="F21" s="74" t="n">
        <x:v>46216.5</x:v>
      </x:c>
      <x:c r="G21" s="73" t="str">
        <x:v>No</x:v>
      </x:c>
    </x:row>
    <x:row r="22">
      <x:c r="A22" s="72" t="str">
        <x:v>SYN-UX184-19</x:v>
      </x:c>
      <x:c r="B22" s="73" t="str">
        <x:v>Yes</x:v>
      </x:c>
      <x:c r="C22" s="73" t="str">
        <x:v>Complete</x:v>
      </x:c>
      <x:c r="D22" s="73" t="str">
        <x:v>Archived</x:v>
      </x:c>
      <x:c r="E22" s="73" t="str">
        <x:v>Assigned</x:v>
      </x:c>
      <x:c r="F22" s="74" t="n">
        <x:v>46216.5</x:v>
      </x:c>
      <x:c r="G22" s="73" t="str">
        <x:v>No</x:v>
      </x:c>
    </x:row>
    <x:row r="23">
      <x:c r="A23" s="72" t="str">
        <x:v>SYN-UX184-20</x:v>
      </x:c>
      <x:c r="B23" s="73" t="str">
        <x:v>Yes</x:v>
      </x:c>
      <x:c r="C23" s="73" t="str">
        <x:v>Complete</x:v>
      </x:c>
      <x:c r="D23" s="73" t="str">
        <x:v>Archived</x:v>
      </x:c>
      <x:c r="E23" s="73" t="str">
        <x:v>Assigned</x:v>
      </x:c>
      <x:c r="F23" s="74" t="n">
        <x:v>46216.5</x:v>
      </x:c>
      <x:c r="G23" s="73" t="str">
        <x:v>No</x:v>
      </x:c>
    </x:row>
    <x:row r="24">
      <x:c r="A24" s="72" t="str">
        <x:v>SYN-UX184-21</x:v>
      </x:c>
      <x:c r="B24" s="73" t="str">
        <x:v>Yes</x:v>
      </x:c>
      <x:c r="C24" s="73" t="str">
        <x:v>Complete</x:v>
      </x:c>
      <x:c r="D24" s="73" t="str">
        <x:v>Archived</x:v>
      </x:c>
      <x:c r="E24" s="73" t="str">
        <x:v>Assigned</x:v>
      </x:c>
      <x:c r="F24" s="74" t="n">
        <x:v>46216.5</x:v>
      </x:c>
      <x:c r="G24" s="73" t="str">
        <x:v>No</x:v>
      </x:c>
    </x:row>
    <x:row r="25">
      <x:c r="A25" s="72" t="str">
        <x:v>SYN-UX184-22</x:v>
      </x:c>
      <x:c r="B25" s="73" t="str">
        <x:v>Yes</x:v>
      </x:c>
      <x:c r="C25" s="73" t="str">
        <x:v>Complete</x:v>
      </x:c>
      <x:c r="D25" s="73" t="str">
        <x:v>Archived</x:v>
      </x:c>
      <x:c r="E25" s="73" t="str">
        <x:v>Assigned</x:v>
      </x:c>
      <x:c r="F25" s="74" t="n">
        <x:v>46216.5</x:v>
      </x:c>
      <x:c r="G25" s="73" t="str">
        <x:v>No</x:v>
      </x:c>
    </x:row>
    <x:row r="26">
      <x:c r="A26" s="72" t="str">
        <x:v>SYN-UX184-23</x:v>
      </x:c>
      <x:c r="B26" s="73" t="str">
        <x:v>Yes</x:v>
      </x:c>
      <x:c r="C26" s="73" t="str">
        <x:v>Complete</x:v>
      </x:c>
      <x:c r="D26" s="73" t="str">
        <x:v>Archived</x:v>
      </x:c>
      <x:c r="E26" s="73" t="str">
        <x:v>Assigned</x:v>
      </x:c>
      <x:c r="F26" s="74" t="n">
        <x:v>46216.5</x:v>
      </x:c>
      <x:c r="G26" s="73" t="str">
        <x:v>No</x:v>
      </x:c>
    </x:row>
    <x:row r="27">
      <x:c r="A27" s="72" t="str">
        <x:v>SYN-UX184-24</x:v>
      </x:c>
      <x:c r="B27" s="73" t="str">
        <x:v>Yes</x:v>
      </x:c>
      <x:c r="C27" s="73" t="str">
        <x:v>Complete</x:v>
      </x:c>
      <x:c r="D27" s="73" t="str">
        <x:v>Archived</x:v>
      </x:c>
      <x:c r="E27" s="73" t="str">
        <x:v>Assigned</x:v>
      </x:c>
      <x:c r="F27" s="74" t="n">
        <x:v>46216.5</x:v>
      </x:c>
      <x:c r="G27" s="73" t="str">
        <x:v>No</x:v>
      </x:c>
    </x:row>
  </x:sheetData>
  <x:mergeCells>
    <x:mergeCell ref="A1:G1"/>
  </x:mergeCells>
  <x:pageMargins left="0.7" right="0.7" top="0.75" bottom="0.75" header="0.3" footer="0.3"/>
</x:worksheet>
</file>